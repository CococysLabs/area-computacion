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x7sTTRqn/nEM8w+G0BlVVp+aXplvN+UM2OGhRNCjQY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<sst xmlns="http://schemas.openxmlformats.org/spreadsheetml/2006/main" count="1060" uniqueCount="240">
  <si>
    <t>Diseño de Contenido Curricular</t>
  </si>
  <si>
    <t>Curso</t>
  </si>
  <si>
    <t>285 - Sistemas Operativos 2</t>
  </si>
  <si>
    <t>Periodo al que aplica</t>
  </si>
  <si>
    <t>Primer Semestre 2026</t>
  </si>
  <si>
    <t>No.</t>
  </si>
  <si>
    <t>Competencia</t>
  </si>
  <si>
    <t>Nombre de la Unidad</t>
  </si>
  <si>
    <t>Tema</t>
  </si>
  <si>
    <t>Subtema</t>
  </si>
  <si>
    <t>Mes</t>
  </si>
  <si>
    <t>Semana</t>
  </si>
  <si>
    <t xml:space="preserve">El estudiante describe la arquitectura y los componentes fundamentales de un S.O. analizando la separación entre el espacio de usuario y el espacio de kernel para establecer las bases conceptuales necesarias para la modificación del sistema. </t>
  </si>
  <si>
    <t>Introducción y Configuración del Entorno</t>
  </si>
  <si>
    <t>Fundamentos de Sistemas Operativos</t>
  </si>
  <si>
    <t>Repaso de conceptos clave de SO. Introducción a la arquitectura del kernel linux</t>
  </si>
  <si>
    <t>Virtualización y Preparación</t>
  </si>
  <si>
    <t>Introducción al kernel USAX. Configuración del entorno con QEMU y el toolchain de compilación cruzada.</t>
  </si>
  <si>
    <t>Arranque y Depuración del Kernel</t>
  </si>
  <si>
    <t>Proceso de arranque de USAX en QEMU. Uso de GDB para depuración remota: puntos de ruptura, inspección de memoria y registros.</t>
  </si>
  <si>
    <t xml:space="preserve">El estudiante interpreta el flujo de ejecución y las interacciones clave dentro de un kernel mediante la compilación, ejecución y depuración del código fuente del kernel para comprender cómo el sistema operativo gestiona el hardware y los procesos desde el arranque. </t>
  </si>
  <si>
    <t>Gestión de Memoria</t>
  </si>
  <si>
    <t>Memoria Física y Virtual</t>
  </si>
  <si>
    <t>Proceso de arranque del kernel. Gestión de memoria física (mapa de memoria, alocadores básicos). Paginación y tablas de páginas.</t>
  </si>
  <si>
    <t>Aislamiento y Espacio de Direcciones</t>
  </si>
  <si>
    <t>Traducción de direcciones. Separación entre el espacio de usuario y el espacio de kernel.</t>
  </si>
  <si>
    <t>Procesos e Interacción</t>
  </si>
  <si>
    <t>Estructura y Ciclo de Vida de un Proceso</t>
  </si>
  <si>
    <t>El Process Control Block (task_struct). Estados (Running, Sleeping, Zombie, etc.) y transiciones de un proceso.</t>
  </si>
  <si>
    <t xml:space="preserve">El estudiante modifica el código fuente del kernel en lenguaje C para implementar nuevas llamadas al sistema (syscalls) que exponen funcionalidades y transfieren datos de forma segura entre el espacio de kernel y el de usuario. </t>
  </si>
  <si>
    <t>La Interfaz de Llamadas al Sistema</t>
  </si>
  <si>
    <t>Mecanismo de traps. Implementación de una syscall hello_world() directamente en el kernel para validar la comunicación.</t>
  </si>
  <si>
    <t>Modularizando el Kernel (LKM)</t>
  </si>
  <si>
    <t>Introducción a los Módulos Cargables del Kernel. Ventajas de la modularidad. Migración de la syscall hello_world() a un módulo.</t>
  </si>
  <si>
    <t>Primer Programa Cliente</t>
  </si>
  <si>
    <t>Creación de un programa en C que invoca la syscall hello_world() desde el espacio de usuario.</t>
  </si>
  <si>
    <t>Transferencia de Datos Estructurados</t>
  </si>
  <si>
    <t>Transfiriendo datos complejos del kernel al espacio de usuario.</t>
  </si>
  <si>
    <t xml:space="preserve">El estudiante analiza las estructuras de datos internas del kernel que gestionan procesos, memoria y tiempo mediante la lectura e interpretación de su código fuente para extraer métricas de rendimiento y estado del sistema, como la lista de procesos o el uso de CPU. </t>
  </si>
  <si>
    <t>Monitoreo del Sistema</t>
  </si>
  <si>
    <t>Estructura de un proceso</t>
  </si>
  <si>
    <t>Estructuras del kernel para obtener campos clave de procesos como PID, estado, PPID.</t>
  </si>
  <si>
    <t>-</t>
  </si>
  <si>
    <t>Concurrencia y Lectura Segura de Datos</t>
  </si>
  <si>
    <t>El problema de las condiciones de carrera al leer datos del kernel. Introducción a primitivas de sincronización.</t>
  </si>
  <si>
    <t>Medición de Tiempo y Carga del Sistema</t>
  </si>
  <si>
    <t>Estructuras del kernel para obtener el tiempo de actividad (uptime) y la carga promedio (load average).</t>
  </si>
  <si>
    <t>Medición de Memoria y Procesos</t>
  </si>
  <si>
    <t>Estructuras del kernel para obtener el uso total/libre de memoria y el número de procesos activos.</t>
  </si>
  <si>
    <t>Procesos en ejecucion</t>
  </si>
  <si>
    <t>Listado de procesos: Aprender a iterar la lista de tareas del kernel (usando for_each_process)</t>
  </si>
  <si>
    <t>Métricas Complejas de CPU</t>
  </si>
  <si>
    <t>Cálculo del uso de CPU: Entender los "jiffies" y las estadísticas por CPU. Investigar las estructuras del kernel para obtener los tiempos de CPU (usuario, sistema, idle).</t>
  </si>
  <si>
    <t xml:space="preserve">El estudiante diseña aplicaciónes en espacio de usuario integrando las llamadas al sistema para generar funcionalidad y expandir las capacidades del sistema operativo que el usuario puede aprovechar </t>
  </si>
  <si>
    <t>Alternativas de Comunicación</t>
  </si>
  <si>
    <t>El Sistema de Archivos /proc</t>
  </si>
  <si>
    <t>Fundamentos del sistema de archivos /proc. Comparativa entre syscalls y la exportación de datos a través de archivos virtuales.</t>
  </si>
  <si>
    <t>Exposicion de datos vía /proc</t>
  </si>
  <si>
    <t>Análisis de /proc/meminfo y /proc/stat y cómo exponer estas métricas en el kernel</t>
  </si>
  <si>
    <t>Tiempo</t>
  </si>
  <si>
    <t xml:space="preserve">1. Bienvenida y Presentación                                   </t>
  </si>
  <si>
    <t>Tiempo Aproximado</t>
  </si>
  <si>
    <t>No puedes excederte mas de 15 minutos</t>
  </si>
  <si>
    <t xml:space="preserve">Nombre y Formacion Academica </t>
  </si>
  <si>
    <t>Explicar en que semestre me encuentro, que cursos llevo</t>
  </si>
  <si>
    <t xml:space="preserve">Experiencia docente y profecional </t>
  </si>
  <si>
    <t>Explicar cuantos semestres de auxiliatura llevo, si tengo alguna otra experiencia enseñando o trabajando en mi area</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</si>
  <si>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</si>
  <si>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</si>
  <si>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Explicar mi rol, que hare durante el semestre, como contactarme, como resolver dudas</t>
  </si>
  <si>
    <t>Expectativas sobre la dinámica del curso</t>
  </si>
  <si>
    <t>Explicar que se aprendera en el curso</t>
  </si>
  <si>
    <t xml:space="preserve">Tiempo que emplearas </t>
  </si>
  <si>
    <t xml:space="preserve">2. Evaluación de Conocimientos Previos                             </t>
  </si>
  <si>
    <t>En los recuadors de la derecha deberas colocar las preguntas que planeas realizar con sus respectivas respuestas.  En el segundo recuadro deberas colocar un breve resumne de lo que tines planificado para la parte practica del curso previo al que estas impartiendo.</t>
  </si>
  <si>
    <t>No puedes excederte mas de 45 minutos</t>
  </si>
  <si>
    <t>Redactaras de 15 a 20 preguntas con sus respectivas respuestas , por lo que debes escoge los temas que evaluaras</t>
  </si>
  <si>
    <t>Se hara un cuestionario en kahoot con 20 preguntas, el mismo se encuentra en el portal de kahoot, usando las credenciales de sopes2</t>
  </si>
  <si>
    <t>Redactaras una parte practica</t>
  </si>
  <si>
    <t>Se realizaran ejemplos guiados durante las clases y se dejaran practicas que permitan progresivamente preparlos para el proyecto</t>
  </si>
  <si>
    <t xml:space="preserve">3. Presentación de los Estudiantes                                </t>
  </si>
  <si>
    <t xml:space="preserve">No puedes excederte mas de 30 minutos </t>
  </si>
  <si>
    <t>Seleccion al Azar de 5 Estudiantes</t>
  </si>
  <si>
    <t>Se dara oportunidad de presentarse voluntariamente o se escogera al azar en base a la lista de conectados de meet</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</si>
  <si>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</si>
  <si>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</si>
  <si>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Cual es su nombre, si tienen alguna experiencia laborar, y su expectativa o idea de lo que tratara el curso</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</si>
  <si>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</si>
  <si>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</si>
  <si>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</si>
  <si>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</si>
  <si>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El link se generará en base a la disponibilidad del auxiliar de turno</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</si>
  <si>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</si>
  <si>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</si>
  <si>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 xml:space="preserve">4.  Mostrar Programa del Curso                 </t>
  </si>
  <si>
    <t>No puedes excederte mas de 30 minutos</t>
  </si>
  <si>
    <t xml:space="preserve">2. Evaluación de Conocimientos del Curso Actual                                  </t>
  </si>
  <si>
    <t xml:space="preserve">Redactaras 20 preguntas con sus respectivas respuestas </t>
  </si>
  <si>
    <t>Cuestionario disponible en kahoot usando las credenciales de sopes2</t>
  </si>
  <si>
    <t>Diseño de la Sesión de Laboratorio</t>
  </si>
  <si>
    <t>Ponderación</t>
  </si>
  <si>
    <t>Validación de Tiempo</t>
  </si>
  <si>
    <t>1. Área Actitudinal (Saber Ser)</t>
  </si>
  <si>
    <t>Tiene que estar en un rango de 3 a 5 minutos</t>
  </si>
  <si>
    <t>Nombre del Valor</t>
  </si>
  <si>
    <t>Responsabilidad</t>
  </si>
  <si>
    <t>Descripcion</t>
  </si>
  <si>
    <t>Cumplir con los compromisos y obligaciones asumidas, respondiendo por las consecuencias de las propias acciones y decisiones.</t>
  </si>
  <si>
    <t>Como se relaciona con los conocimientos de la sesion y se aplicaria</t>
  </si>
  <si>
    <t>En contexto de programas libres como linux, se trata de codigo fuente de un sistema critico como linux, por lo que las modificaciones deben ser responsables y nunca con fines negativos.</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</si>
  <si>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</si>
  <si>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</si>
  <si>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</si>
  <si>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</si>
  <si>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</si>
  <si>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</si>
  <si>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</si>
  <si>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</si>
  <si>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</si>
  <si>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</si>
  <si>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</si>
  <si>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</si>
  <si>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</si>
  <si>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</si>
  <si>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</si>
  <si>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</si>
  <si>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</si>
  <si>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</si>
  <si>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</si>
  <si>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</si>
  <si>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</si>
  <si>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</si>
  <si>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 xml:space="preserve">El estudiante explica la historia de GNU/Linux usando puntos clave en el desarrollo del mismo para entender su origen y popularidad como sistema operativo libre </t>
  </si>
  <si>
    <t>Tipo de Actividad</t>
  </si>
  <si>
    <t>Cuestionario</t>
  </si>
  <si>
    <t>Coloca el tiempo que usar en la actividad, un tiempo sugerido 30 minutos</t>
  </si>
  <si>
    <t>Descripcion de la Actividad</t>
  </si>
  <si>
    <t>Cuestionario de 10 preguntas sobre los temas impartidos durante la clase de laboratorio</t>
  </si>
  <si>
    <t>Actividad 2 (Optativa puedes hacerla si lo consideras apropiado)</t>
  </si>
  <si>
    <t xml:space="preserve">El estudiante comprende la estructura fundamental de un sistema operativo mediante el analisis del codigo fuente del kernel Linux para comprender como este gestion y administra los programas de usuario </t>
  </si>
  <si>
    <t>otros</t>
  </si>
  <si>
    <t>Coloca el tiempo que usar en la actividad, un tiempo sugerido 20 minutos</t>
  </si>
  <si>
    <t>Un ejemplo de aplicacion sobre el tema visto durante la semana, el mismo se explica paso a paso para reforzar los temas teoricos.</t>
  </si>
  <si>
    <t>3. Cierre</t>
  </si>
  <si>
    <t>Tiene que estar en un rango de 10 a 15 minutos</t>
  </si>
  <si>
    <t>Asignacion de Actividades</t>
  </si>
  <si>
    <t>Resolver dudas sobre la clase, de practicas o de tareas</t>
  </si>
  <si>
    <t>Resuelve alguna duda, asigna las actividades que deben realizar, dudas de proyectos, etc</t>
  </si>
  <si>
    <t>Pensamiento Critico</t>
  </si>
  <si>
    <t>Analizar y evaluar información de manera objetiva, cuestionando supuestos y buscando evidencias antes de llegar a una conclusión.</t>
  </si>
  <si>
    <t>Es posible que el estudiante se enfrente por primera vez, ya sea a descubrir y modificar el codigo del kernel de linux, o bien a modificarlo tan a fondo, es importante que fortalezca su pensamiento critico, enfocandose en este nuevo reto.</t>
  </si>
  <si>
    <t xml:space="preserve">El estudiante desarrolla nuevos programas usando sus conocimientos en hilos y sincronizacion que hacen uso eficiente y optimo de los recursos del sistema </t>
  </si>
  <si>
    <t>Consistencia</t>
  </si>
  <si>
    <t>Mantener coherencia entre lo que se piensa, se dice y se hace, reflejando estabilidad y credibilidad en las acciones.</t>
  </si>
  <si>
    <t>El estudiante debe ser consistente en su participacion, en este punto (y varios mas adelante) sera necesario utilizar el cajon de herramientas que vamos formando con cada nuevo tema, el estudiante debe demostrar consistencia en su aprendizaje y el curso para poder avanzar de manera adecuada.</t>
  </si>
  <si>
    <t>Diciplina</t>
  </si>
  <si>
    <t>Seguir normas, métodos y hábitos de manera constante para alcanzar metas con esfuerzo y autocontrol.</t>
  </si>
  <si>
    <t>Trabajar con hilos y estructuras concurrentes, se cultiva diciplina y un pensamiento ordenado, que es fundamental para el diseño de sistemas.</t>
  </si>
  <si>
    <t>Criterio y toma de decisiones</t>
  </si>
  <si>
    <t>Capacidad de evaluar alternativas y seleccionar la opción más adecuada con base en la razón, la experiencia y la información disponible.</t>
  </si>
  <si>
    <t>Al enfrentarse a probleams como condiciones de carrera, la sincronizacion de procesos es necesario, esto significa que el estudiante debe formar un criterio para decidir de manera responsable que herramientas y metodos utilizar considerando la estabilidad y eficiencia.</t>
  </si>
  <si>
    <t xml:space="preserve">El estudiante explica las diferencias entre ejecución concurrente, ejecución paralela y paralelismo en el contexto de los sistemas operativos y aplica este conocimiento para seleccionar y emplear adecuadamente herramientas de gestión de memoria y procesos en sus desarrollos. </t>
  </si>
  <si>
    <t>Equidad</t>
  </si>
  <si>
    <t>Actuar con justicia e imparcialidad, reconociendo y respetando los derechos de todas las personas.</t>
  </si>
  <si>
    <t xml:space="preserve"> La planificacion/programacion de CPU se trata de darle el tiempo adecuado a cada proceso en ejecucion, muchas veces no se trata de igualdad y la igualdad no es lo optimo, sino de equidad, que en terminos generales significa darle a cada uno el tiempo que necesita para avanzar tanto como el resto. </t>
  </si>
  <si>
    <t>Precaucion</t>
  </si>
  <si>
    <t>Adoptar medidas preventivas para reducir riesgos y consecuencias negativas, actuando con cuidado y previsión</t>
  </si>
  <si>
    <t>La paginacion, segmentacion y proteccion de memoria son temas delicados, comprender la importacia de estos temas, es garantizar el buen funcionamiento del sistema</t>
  </si>
  <si>
    <t>Etica</t>
  </si>
  <si>
    <t>Guiarse por principios morales que orientan el comportamiento hacia lo correcto, honesto y justo.</t>
  </si>
  <si>
    <t>Los mecanismos de control de acceso, privilegio y seguridad deben programarse de manera responsable, siendo que somos personas que potencialmente estaran detras de sistemas que requieren seguridad importante, es escencial mantener una etica intachable</t>
  </si>
  <si>
    <t>Adaptabilidad</t>
  </si>
  <si>
    <t>Ajustarse con flexibilidad a nuevas circunstancias, cambios o desafíos sin perder efectividad.</t>
  </si>
  <si>
    <t>Explorar diferentes enfoques es indispensable para aumentar nuestra biblioteca personal de conocimiento. Una solucion puede ser implementada de muchas formas, elegir la forma correcta es critico para el futuro del sistema y por eso debe analizarse con cuidado como adaptarse a nuevos entorno</t>
  </si>
  <si>
    <t xml:space="preserve">El estudiante evalua las capacidades y características de distintos sistemas operativos identificando sus fortalezas y limitaciones con el fin de seleccionarlos y aplicarlos de manera estratégica en sus proyectos y tareas profesionales </t>
  </si>
  <si>
    <t>Trabajo en Equipo</t>
  </si>
  <si>
    <t>Colaborar y coordinarse con otros para alcanzar objetivos comunes, aportando habilidades individuales en beneficio del grupo.</t>
  </si>
  <si>
    <t>Cuando se trata de sistemas distribuidos, hablamos de que se logra mas teniendo muchos equipos trabajando juntos, esto aplica para todo, no solo la programacion, es importante saber adaptarse a un equipo y colaborar para lograr metas comunes, y a veces, individuales.</t>
  </si>
  <si>
    <t>Proyectos</t>
  </si>
  <si>
    <t>La sumatoria de los puntos de los proyectos debe superar el  70% del total de la nota, no puede ser un 100%</t>
  </si>
  <si>
    <t>1. Primer Proyecto</t>
  </si>
  <si>
    <t>Horas para realizarlo</t>
  </si>
  <si>
    <t xml:space="preserve">El estudiante crea nuevas llamadas al sistema para el kernel linux usando lenguaje C y sus librerias estandar para ampliar las capacidades del kernel para coprender como el kernel puede limitar o dificultar la creacion de un programa de usuario </t>
  </si>
  <si>
    <t>Titulo</t>
  </si>
  <si>
    <t xml:space="preserve">Sistema de Notificaciones y Acciones Automatizadas del Kernel						</t>
  </si>
  <si>
    <t>Qué tecnologías, lenguajes de programación, plataformas, hardware o software se utilizaran</t>
  </si>
  <si>
    <t>Linux Mint (VM)
Kernel Linux (modificado)
Lenguaje C
Módulos de kernel
Syscalls personalizadas
Hilos y sincronización en programas de usuario</t>
  </si>
  <si>
    <t>Descripción de lo que se realizara</t>
  </si>
  <si>
    <t>El estudiante desarrollará un sistema que detecta eventos del sistema y ejecuta acciones automatizadas, integrando todas las prácticas previas.
Componentes del proyecto:
Módulo de kernel:
Detecta eventos específicos del sistema, como creación o terminación de procesos, cambios en archivos específicos, o consumo excesivo de recursos por un proceso.
Envía notificaciones al espacio de usuario usando mecanismos internos del kernel.
Modificación del kernel:
Agregar soporte para nuevas funciones que permitan la captura de eventos y su registro interno.
Crear estructuras de datos en kernel para almacenar temporalmente los eventos y su metadata.
Syscalls personalizadas:
Una syscall para que programas de usuario puedan consultar eventos recientes.
Otra syscall que permita enviar comandos al kernel para registrar nuevas acciones automatizadas (ej. ejecutar scripts, cerrar procesos, enviar señales).
Programas de usuario:
Un programa principal que reciba eventos mediante las syscalls y ejecute acciones predefinidas de manera concurrente usando hilos.
Interfaz básica de configuración para seleccionar qué eventos se deben monitorear y qué acciones tomar.
Integración y sincronización:
Uso de mutexes y semáforos para manejar la comunicación entre el módulo de kernel y los programas de usuario de forma segura.
Manejo de buffers compartidos y protección de datos para evitar condiciones de carrera.
Pruebas y validación:
Probar la captura de distintos tipos de eventos del sistema.
Validar la ejecución correcta de acciones automatizadas.
Verificar la estabilidad del kernel modificado bajo carga.</t>
  </si>
  <si>
    <t>2. Segundo Proyecto</t>
  </si>
  <si>
    <t>3. Tercer Proyecto</t>
  </si>
  <si>
    <t>Optativa</t>
  </si>
  <si>
    <t>Practicas</t>
  </si>
  <si>
    <t>La sumatoria de los puntos de los practicas debe no debe super el  20%</t>
  </si>
  <si>
    <t>1. Primera Practica</t>
  </si>
  <si>
    <t>Obligatoria</t>
  </si>
  <si>
    <t>Instalación del virtualizador y Linux Mint</t>
  </si>
  <si>
    <t>VirtualBox o VMware, PC con capacidad de virtualización, Linux Mint ISO, gestor de particiones.</t>
  </si>
  <si>
    <t>El estudiante instalará y configurará un entorno de virtualización, creando una máquina virtual e instalando Linux Mint. Configurará CPU, RAM, disco, usuarios, permisos y red. Verificará que el sistema operativo funcione correctamente y que esté listo para desarrollo de sistemas.</t>
  </si>
  <si>
    <t>2. Segunda Practica</t>
  </si>
  <si>
    <t>Exploración del kernel y laboratorio de módulos básicos</t>
  </si>
  <si>
    <t xml:space="preserve">Linux Mint, kernel Linux, lenguaje C, herramientas de compilación y depuración.							
							</t>
  </si>
  <si>
    <t>El estudiante explorará la estructura del kernel Linux y desarrollará un módulo básico que se cargue y descargue. Se observará la interacción del módulo con dmesg y se analizará cómo el kernel registra eventos y maneja módulos externos.</t>
  </si>
  <si>
    <t>3. Tercera Practica</t>
  </si>
  <si>
    <t>Instalación y verificación de herramientas de compilación</t>
  </si>
  <si>
    <t>GCC, make, GDB, librerías de desarrollo de C, Linux Mint.</t>
  </si>
  <si>
    <t>El estudiante instalará y configurará herramientas de compilación y depuración. Se probará la compilación del kernel linux sin realizar mayores modificaciones.</t>
  </si>
  <si>
    <t>4. Cuarta Practica</t>
  </si>
  <si>
    <t>Modificación de funciones del kernel</t>
  </si>
  <si>
    <t>Linux Mint, kernel Linux, lenguaje C, herramientas de compilación y depuración.</t>
  </si>
  <si>
    <t>El estudiante modificará funciones existentes del kernel, compilando y cargando el kernel modificado en la VM. Se evaluará cómo los cambios afectan el comportamiento del sistema, incluyendo manejo de memoria y planificación de procesos.</t>
  </si>
  <si>
    <t>5. Quinta Practica</t>
  </si>
  <si>
    <t>Creación de una nueva llamada al sistema</t>
  </si>
  <si>
    <t>Linux Mint, kernel Linux, lenguaje C, editor de texto, terminal.</t>
  </si>
  <si>
    <t>El estudiante diseñará e implementará una syscall personalizada en el kernel. Se probará su funcionamiento desde un programa de usuario y se analizará cómo el kernel controla la interacción con aplicaciones externas.</t>
  </si>
  <si>
    <t>6. Sexta Practica</t>
  </si>
  <si>
    <t>Programas de usuario usando la syscall</t>
  </si>
  <si>
    <t>Linux Mint, kernel Linux con syscall implementada, lenguaje C, terminal.</t>
  </si>
  <si>
    <t>El estudiante desarrollará programas de usuario que invocan la syscall creada, manejando errores y utilizando adecuadamente los recursos del sistema para lograr tareas concretas.</t>
  </si>
  <si>
    <t>7. Septima Practica</t>
  </si>
  <si>
    <t>Tareas</t>
  </si>
  <si>
    <t>La sumatoria de los puntos de los practicas debe no debe super el  20% de la nota</t>
  </si>
  <si>
    <t>1. Primera Tarea</t>
  </si>
  <si>
    <t>2. Segunda Tarea</t>
  </si>
  <si>
    <t>3. Tercera Tarea</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</si>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</sst>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b/>
      <sz val="12.0"/>
      <color rgb="FFFF6D01"/>
      <name val="Arial"/>
    </font>
    <font>
      <b/>
      <sz val="12.0"/>
      <color rgb="FFFFFFFF"/>
      <name val="Arial"/>
    </font>
    <font>
      <color rgb="FFD9D9D9"/>
      <name val="Arial"/>
    </font>
    <font>
      <b/>
      <sz val="12.0"/>
      <color theme="1"/>
      <name val="Arial"/>
    </font>
    <font>
      <sz val="12.0"/>
      <color theme="4"/>
      <name val="Arial"/>
    </font>
    <font>
      <sz val="12.0"/>
      <color rgb="FFFFFFFF"/>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7"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Font="1"/>
    <xf borderId="0" fillId="0" fontId="10" numFmtId="0" xfId="0" applyAlignment="1" applyFont="1">
      <alignment shrinkToFit="0" wrapText="1"/>
    </xf>
    <xf borderId="0" fillId="3" fontId="1" numFmtId="0" xfId="0" applyFill="1" applyFont="1"/>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4" fontId="4" numFmtId="0" xfId="0" applyAlignment="1" applyBorder="1" applyFont="1">
      <alignment shrinkToFit="0" wrapText="1"/>
    </xf>
    <xf borderId="2" fillId="0" fontId="4" numFmtId="0" xfId="0" applyAlignment="1" applyBorder="1" applyFont="1">
      <alignment readingOrder="0"/>
    </xf>
    <xf borderId="1" fillId="4" fontId="4" numFmtId="0" xfId="0" applyBorder="1" applyFont="1"/>
    <xf borderId="0" fillId="0" fontId="12" numFmtId="0" xfId="0" applyFont="1"/>
    <xf borderId="0" fillId="0" fontId="13" numFmtId="0" xfId="0" applyAlignment="1" applyFont="1">
      <alignment shrinkToFit="0" wrapText="1"/>
    </xf>
    <xf borderId="0" fillId="0" fontId="4" numFmtId="0" xfId="0" applyAlignment="1" applyFont="1">
      <alignment horizontal="left" shrinkToFit="0" vertical="center" wrapText="1"/>
    </xf>
    <xf borderId="0" fillId="0" fontId="14" numFmtId="0" xfId="0" applyFont="1"/>
    <xf borderId="0" fillId="0" fontId="4" numFmtId="0" xfId="0" applyAlignment="1" applyFont="1">
      <alignment shrinkToFit="0" vertical="center" wrapText="1"/>
    </xf>
    <xf borderId="2" fillId="0" fontId="4" numFmtId="0" xfId="0" applyAlignment="1" applyBorder="1" applyFont="1">
      <alignment vertical="bottom"/>
    </xf>
    <xf borderId="0" fillId="0" fontId="15" numFmtId="0" xfId="0" applyFont="1"/>
    <xf borderId="1" fillId="0" fontId="4" numFmtId="0" xfId="0" applyAlignment="1" applyBorder="1" applyFont="1">
      <alignment shrinkToFit="0" wrapText="1"/>
    </xf>
    <xf borderId="0" fillId="0" fontId="13" numFmtId="0" xfId="0" applyFont="1"/>
    <xf borderId="0" fillId="5" fontId="16" numFmtId="0" xfId="0" applyFill="1" applyFont="1"/>
    <xf borderId="2" fillId="4"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5" fillId="0" fontId="4" numFmtId="0" xfId="0" applyAlignment="1" applyBorder="1" applyFont="1">
      <alignment shrinkToFit="0" vertical="bottom" wrapText="1"/>
    </xf>
    <xf borderId="0" fillId="0" fontId="10" numFmtId="0" xfId="0" applyFont="1"/>
    <xf borderId="1" fillId="6" fontId="4" numFmtId="0" xfId="0" applyBorder="1" applyFill="1" applyFont="1"/>
    <xf borderId="2" fillId="6" fontId="4" numFmtId="0" xfId="0" applyBorder="1" applyFont="1"/>
    <xf borderId="1" fillId="7" fontId="4" numFmtId="0" xfId="0" applyBorder="1" applyFill="1" applyFont="1"/>
    <xf borderId="2" fillId="7" fontId="4" numFmtId="0" xfId="0" applyBorder="1" applyFont="1"/>
    <xf borderId="2" fillId="0" fontId="4" numFmtId="0" xfId="0" applyAlignment="1" applyBorder="1" applyFont="1">
      <alignment horizontal="right" vertical="bottom"/>
    </xf>
    <xf borderId="2" fillId="0" fontId="4" numFmtId="0" xfId="0" applyAlignment="1" applyBorder="1" applyFont="1">
      <alignment horizontal="right" readingOrder="0" vertical="bottom"/>
    </xf>
    <xf borderId="2" fillId="0" fontId="14" numFmtId="0" xfId="0" applyBorder="1" applyFont="1"/>
    <xf borderId="5" fillId="0" fontId="4" numFmtId="0" xfId="0" applyAlignment="1" applyBorder="1" applyFont="1">
      <alignment readingOrder="0" vertical="bottom"/>
    </xf>
    <xf borderId="11" fillId="0" fontId="8" numFmtId="0" xfId="0" applyBorder="1" applyFont="1"/>
    <xf borderId="12" fillId="0" fontId="8" numFmtId="0" xfId="0" applyBorder="1" applyFont="1"/>
    <xf borderId="2" fillId="0" fontId="14" numFmtId="0" xfId="0" applyAlignment="1" applyBorder="1" applyFont="1">
      <alignment readingOrder="0"/>
    </xf>
    <xf borderId="0" fillId="0" fontId="17" numFmtId="0" xfId="0" applyFont="1"/>
    <xf borderId="5" fillId="0" fontId="4" numFmtId="0" xfId="0" applyAlignment="1" applyBorder="1" applyFont="1">
      <alignment vertical="bottom"/>
    </xf>
    <xf borderId="1" fillId="4" fontId="4" numFmtId="0" xfId="0" applyAlignment="1" applyBorder="1" applyFont="1">
      <alignment vertical="bottom"/>
    </xf>
    <xf borderId="2" fillId="4" fontId="4" numFmtId="0" xfId="0" applyAlignment="1" applyBorder="1" applyFont="1">
      <alignment vertical="bottom"/>
    </xf>
    <xf borderId="5" fillId="0" fontId="4" numFmtId="0" xfId="0" applyBorder="1" applyFont="1"/>
    <xf borderId="0" fillId="5" fontId="16" numFmtId="0" xfId="0" applyAlignment="1" applyFont="1">
      <alignment readingOrder="0"/>
    </xf>
    <xf borderId="5" fillId="0" fontId="4" numFmtId="0" xfId="0" applyAlignment="1" applyBorder="1" applyFont="1">
      <alignment shrinkToFit="0" vertical="top" wrapText="1"/>
    </xf>
    <xf borderId="1" fillId="6" fontId="4" numFmtId="0" xfId="0" applyAlignment="1" applyBorder="1" applyFont="1">
      <alignment vertical="bottom"/>
    </xf>
    <xf borderId="5" fillId="0" fontId="4" numFmtId="0" xfId="0" applyAlignment="1" applyBorder="1" applyFont="1">
      <alignment readingOrder="0" shrinkToFit="0" vertical="bottom" wrapText="1"/>
    </xf>
    <xf borderId="0" fillId="0" fontId="18" numFmtId="0" xfId="0" applyFont="1"/>
    <xf borderId="0" fillId="3" fontId="19" numFmtId="0" xfId="0" applyFont="1"/>
    <xf borderId="0" fillId="3" fontId="20" numFmtId="0" xfId="0" applyFont="1"/>
    <xf borderId="0" fillId="0" fontId="19" numFmtId="0" xfId="0" applyFont="1"/>
    <xf borderId="0" fillId="0" fontId="5" numFmtId="0" xfId="0" applyAlignment="1" applyFont="1">
      <alignment shrinkToFit="0" wrapText="1"/>
    </xf>
    <xf borderId="0" fillId="0" fontId="21" numFmtId="0" xfId="0" applyAlignment="1" applyFont="1">
      <alignment shrinkToFit="0" wrapText="1"/>
    </xf>
    <xf borderId="0" fillId="0" fontId="21" numFmtId="0" xfId="0" applyFont="1"/>
    <xf borderId="1" fillId="6" fontId="21" numFmtId="0" xfId="0" applyAlignment="1" applyBorder="1" applyFont="1">
      <alignment shrinkToFit="0" wrapText="1"/>
    </xf>
    <xf borderId="1" fillId="6" fontId="21"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33.88"/>
    <col customWidth="1" min="5" max="5" width="39.38"/>
    <col customWidth="1" min="6" max="6" width="47.63"/>
  </cols>
  <sheetData>
    <row r="1" ht="15.75" customHeight="1"/>
    <row r="2" ht="15.75" customHeight="1">
      <c r="A2" s="1">
        <f>VALUE(LEFT(C4,FIND(" - ",C4)-1))</f>
        <v>285</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27.75" customHeight="1">
      <c r="B9" s="10">
        <v>1.0</v>
      </c>
      <c r="C9" s="11" t="s">
        <v>12</v>
      </c>
      <c r="D9" s="12" t="s">
        <v>13</v>
      </c>
      <c r="E9" s="12" t="s">
        <v>14</v>
      </c>
      <c r="F9" s="12" t="s">
        <v>15</v>
      </c>
      <c r="G9" s="5"/>
      <c r="H9" s="13">
        <v>2.0</v>
      </c>
    </row>
    <row r="10" ht="15.75" customHeight="1">
      <c r="B10" s="10">
        <v>2.0</v>
      </c>
      <c r="C10" s="14" t="s">
        <v>12</v>
      </c>
      <c r="D10" s="15" t="s">
        <v>13</v>
      </c>
      <c r="E10" s="15" t="s">
        <v>16</v>
      </c>
      <c r="F10" s="15" t="s">
        <v>17</v>
      </c>
      <c r="H10" s="13">
        <v>2.0</v>
      </c>
    </row>
    <row r="11" ht="15.75" customHeight="1">
      <c r="B11" s="10">
        <v>3.0</v>
      </c>
      <c r="C11" s="14" t="s">
        <v>12</v>
      </c>
      <c r="D11" s="15" t="s">
        <v>13</v>
      </c>
      <c r="E11" s="15" t="s">
        <v>18</v>
      </c>
      <c r="F11" s="15" t="s">
        <v>19</v>
      </c>
      <c r="H11" s="13">
        <v>3.0</v>
      </c>
    </row>
    <row r="12" ht="15.75" customHeight="1">
      <c r="B12" s="10">
        <v>4.0</v>
      </c>
      <c r="C12" s="16" t="s">
        <v>20</v>
      </c>
      <c r="D12" s="15" t="s">
        <v>21</v>
      </c>
      <c r="E12" s="15" t="s">
        <v>22</v>
      </c>
      <c r="F12" s="15" t="s">
        <v>23</v>
      </c>
      <c r="H12" s="13">
        <v>4.0</v>
      </c>
    </row>
    <row r="13" ht="15.75" customHeight="1">
      <c r="B13" s="10">
        <v>5.0</v>
      </c>
      <c r="C13" s="16" t="s">
        <v>20</v>
      </c>
      <c r="D13" s="15" t="s">
        <v>21</v>
      </c>
      <c r="E13" s="15" t="s">
        <v>24</v>
      </c>
      <c r="F13" s="15" t="s">
        <v>25</v>
      </c>
      <c r="H13" s="13">
        <v>4.0</v>
      </c>
    </row>
    <row r="14" ht="15.75" customHeight="1">
      <c r="B14" s="10">
        <v>6.0</v>
      </c>
      <c r="C14" s="16" t="s">
        <v>20</v>
      </c>
      <c r="D14" s="15" t="s">
        <v>26</v>
      </c>
      <c r="E14" s="15" t="s">
        <v>27</v>
      </c>
      <c r="F14" s="15" t="s">
        <v>28</v>
      </c>
      <c r="H14" s="13">
        <v>5.0</v>
      </c>
    </row>
    <row r="15" ht="15.75" customHeight="1">
      <c r="B15" s="10">
        <v>7.0</v>
      </c>
      <c r="C15" s="16" t="s">
        <v>29</v>
      </c>
      <c r="D15" s="15" t="s">
        <v>26</v>
      </c>
      <c r="E15" s="15" t="s">
        <v>30</v>
      </c>
      <c r="F15" s="15" t="s">
        <v>31</v>
      </c>
      <c r="H15" s="13">
        <v>5.0</v>
      </c>
    </row>
    <row r="16" ht="15.75" customHeight="1">
      <c r="B16" s="10">
        <v>8.0</v>
      </c>
      <c r="C16" s="16" t="s">
        <v>29</v>
      </c>
      <c r="D16" s="15" t="s">
        <v>26</v>
      </c>
      <c r="E16" s="15" t="s">
        <v>32</v>
      </c>
      <c r="F16" s="15" t="s">
        <v>33</v>
      </c>
      <c r="H16" s="13">
        <v>6.0</v>
      </c>
    </row>
    <row r="17" ht="15.75" customHeight="1">
      <c r="B17" s="10">
        <v>9.0</v>
      </c>
      <c r="C17" s="16" t="s">
        <v>29</v>
      </c>
      <c r="D17" s="15" t="s">
        <v>26</v>
      </c>
      <c r="E17" s="15" t="s">
        <v>34</v>
      </c>
      <c r="F17" s="15" t="s">
        <v>35</v>
      </c>
      <c r="H17" s="13">
        <v>6.0</v>
      </c>
    </row>
    <row r="18" ht="15.75" customHeight="1">
      <c r="B18" s="10">
        <v>10.0</v>
      </c>
      <c r="C18" s="16" t="s">
        <v>29</v>
      </c>
      <c r="D18" s="15" t="s">
        <v>26</v>
      </c>
      <c r="E18" s="15" t="s">
        <v>36</v>
      </c>
      <c r="F18" s="15" t="s">
        <v>37</v>
      </c>
      <c r="H18" s="13">
        <v>7.0</v>
      </c>
    </row>
    <row r="19" ht="15.75" customHeight="1">
      <c r="B19" s="10">
        <v>11.0</v>
      </c>
      <c r="C19" s="16" t="s">
        <v>38</v>
      </c>
      <c r="D19" s="15" t="s">
        <v>39</v>
      </c>
      <c r="E19" s="15" t="s">
        <v>40</v>
      </c>
      <c r="F19" s="15" t="s">
        <v>41</v>
      </c>
      <c r="G19" s="10" t="s">
        <v>42</v>
      </c>
      <c r="H19" s="13">
        <v>7.0</v>
      </c>
    </row>
    <row r="20" ht="15.75" customHeight="1">
      <c r="B20" s="10">
        <v>12.0</v>
      </c>
      <c r="C20" s="16" t="s">
        <v>38</v>
      </c>
      <c r="D20" s="15" t="s">
        <v>39</v>
      </c>
      <c r="E20" s="15" t="s">
        <v>43</v>
      </c>
      <c r="F20" s="15" t="s">
        <v>44</v>
      </c>
      <c r="H20" s="13">
        <v>8.0</v>
      </c>
    </row>
    <row r="21" ht="15.75" customHeight="1">
      <c r="B21" s="10">
        <v>13.0</v>
      </c>
      <c r="C21" s="16" t="s">
        <v>38</v>
      </c>
      <c r="D21" s="15" t="s">
        <v>39</v>
      </c>
      <c r="E21" s="15" t="s">
        <v>45</v>
      </c>
      <c r="F21" s="15" t="s">
        <v>46</v>
      </c>
      <c r="H21" s="13">
        <v>8.0</v>
      </c>
    </row>
    <row r="22" ht="15.75" customHeight="1">
      <c r="B22" s="10">
        <v>14.0</v>
      </c>
      <c r="C22" s="16" t="s">
        <v>38</v>
      </c>
      <c r="D22" s="15" t="s">
        <v>39</v>
      </c>
      <c r="E22" s="15" t="s">
        <v>47</v>
      </c>
      <c r="F22" s="15" t="s">
        <v>48</v>
      </c>
      <c r="H22" s="13">
        <v>9.0</v>
      </c>
    </row>
    <row r="23" ht="15.75" customHeight="1">
      <c r="B23" s="10">
        <v>15.0</v>
      </c>
      <c r="C23" s="16" t="s">
        <v>38</v>
      </c>
      <c r="D23" s="15" t="s">
        <v>39</v>
      </c>
      <c r="E23" s="15" t="s">
        <v>49</v>
      </c>
      <c r="F23" s="15" t="s">
        <v>50</v>
      </c>
      <c r="H23" s="13">
        <v>9.0</v>
      </c>
    </row>
    <row r="24" ht="15.75" customHeight="1">
      <c r="B24" s="10">
        <v>16.0</v>
      </c>
      <c r="C24" s="16" t="s">
        <v>38</v>
      </c>
      <c r="D24" s="15" t="s">
        <v>39</v>
      </c>
      <c r="E24" s="15" t="s">
        <v>51</v>
      </c>
      <c r="F24" s="15" t="s">
        <v>52</v>
      </c>
      <c r="H24" s="13">
        <v>10.0</v>
      </c>
    </row>
    <row r="25" ht="15.75" customHeight="1">
      <c r="B25" s="10">
        <v>17.0</v>
      </c>
      <c r="C25" s="16" t="s">
        <v>53</v>
      </c>
      <c r="D25" s="15" t="s">
        <v>54</v>
      </c>
      <c r="E25" s="15" t="s">
        <v>55</v>
      </c>
      <c r="F25" s="15" t="s">
        <v>56</v>
      </c>
      <c r="H25" s="13">
        <v>10.0</v>
      </c>
    </row>
    <row r="26" ht="15.75" customHeight="1">
      <c r="B26" s="10">
        <v>18.0</v>
      </c>
      <c r="C26" s="16" t="s">
        <v>53</v>
      </c>
      <c r="D26" s="15" t="s">
        <v>54</v>
      </c>
      <c r="E26" s="15" t="s">
        <v>57</v>
      </c>
      <c r="F26" s="15" t="s">
        <v>58</v>
      </c>
      <c r="H26" s="13">
        <v>11.0</v>
      </c>
    </row>
    <row r="27" ht="15.75" customHeight="1">
      <c r="C27" s="16"/>
      <c r="D27" s="17"/>
      <c r="E27" s="17"/>
      <c r="F27" s="17"/>
      <c r="H27" s="13"/>
    </row>
    <row r="28" ht="15.75" customHeight="1">
      <c r="C28" s="16"/>
      <c r="D28" s="17"/>
      <c r="E28" s="17"/>
      <c r="F28" s="17"/>
      <c r="H28" s="13"/>
    </row>
    <row r="29" ht="15.75" customHeight="1">
      <c r="C29" s="16"/>
      <c r="D29" s="17"/>
      <c r="E29" s="17"/>
      <c r="F29" s="17"/>
      <c r="H29" s="13"/>
    </row>
    <row r="30" ht="15.75" customHeight="1">
      <c r="C30" s="16"/>
      <c r="D30" s="17"/>
      <c r="E30" s="17"/>
      <c r="F30" s="17"/>
      <c r="H30" s="13"/>
    </row>
    <row r="31" ht="15.75" customHeight="1">
      <c r="C31" s="16"/>
      <c r="D31" s="17"/>
      <c r="E31" s="17"/>
      <c r="F31" s="17"/>
      <c r="H31" s="13"/>
    </row>
    <row r="32" ht="15.75" customHeight="1">
      <c r="C32" s="16"/>
      <c r="D32" s="17"/>
      <c r="E32" s="17"/>
      <c r="F32" s="17"/>
      <c r="H32" s="13"/>
    </row>
    <row r="33" ht="15.75" customHeight="1">
      <c r="C33" s="16"/>
      <c r="D33" s="17"/>
      <c r="E33" s="17"/>
      <c r="F33" s="17"/>
      <c r="H33" s="13"/>
    </row>
    <row r="34" ht="15.75" customHeight="1">
      <c r="C34" s="16"/>
      <c r="D34" s="17"/>
      <c r="E34" s="17"/>
      <c r="F34" s="17"/>
      <c r="H34" s="13"/>
    </row>
    <row r="35" ht="15.75" customHeight="1">
      <c r="C35" s="16"/>
      <c r="D35" s="17"/>
      <c r="E35" s="17"/>
      <c r="F35" s="17"/>
      <c r="H35" s="13"/>
    </row>
    <row r="36" ht="15.75" customHeight="1">
      <c r="C36" s="16"/>
      <c r="D36" s="17"/>
      <c r="E36" s="17"/>
      <c r="F36" s="17"/>
      <c r="H36" s="13"/>
    </row>
    <row r="37" ht="15.75" customHeight="1">
      <c r="C37" s="16"/>
      <c r="D37" s="17"/>
      <c r="E37" s="17"/>
      <c r="F37" s="17"/>
      <c r="H37" s="13"/>
    </row>
    <row r="38" ht="15.75" customHeight="1">
      <c r="C38" s="16"/>
      <c r="D38" s="17"/>
      <c r="E38" s="17"/>
      <c r="F38" s="17"/>
      <c r="H38" s="13"/>
    </row>
    <row r="39" ht="15.75" customHeight="1">
      <c r="C39" s="16"/>
      <c r="D39" s="17"/>
      <c r="E39" s="17"/>
      <c r="F39" s="17"/>
      <c r="H39" s="13"/>
    </row>
    <row r="40" ht="15.75" customHeight="1">
      <c r="C40" s="16"/>
      <c r="D40" s="17"/>
      <c r="E40" s="17"/>
      <c r="F40" s="17"/>
      <c r="H40" s="13"/>
    </row>
    <row r="41" ht="15.75" customHeight="1">
      <c r="C41" s="16"/>
      <c r="D41" s="17"/>
      <c r="E41" s="17"/>
      <c r="F41" s="17"/>
      <c r="H41" s="13"/>
    </row>
    <row r="42" ht="15.75" customHeight="1">
      <c r="C42" s="16"/>
      <c r="D42" s="17"/>
      <c r="E42" s="17"/>
      <c r="F42" s="17"/>
      <c r="H42" s="13"/>
    </row>
    <row r="43" ht="15.75" customHeight="1">
      <c r="C43" s="16"/>
      <c r="D43" s="17"/>
      <c r="E43" s="17"/>
      <c r="F43" s="17"/>
      <c r="H43" s="13"/>
    </row>
    <row r="44" ht="15.75" customHeight="1">
      <c r="C44" s="16"/>
      <c r="D44" s="17"/>
      <c r="E44" s="17"/>
      <c r="F44" s="17"/>
      <c r="H44" s="13"/>
    </row>
    <row r="45" ht="15.75" customHeight="1">
      <c r="C45" s="16"/>
      <c r="D45" s="17"/>
      <c r="E45" s="17"/>
      <c r="F45" s="17"/>
      <c r="H45" s="13"/>
    </row>
    <row r="46" ht="15.75" customHeight="1">
      <c r="C46" s="16"/>
      <c r="D46" s="17"/>
      <c r="E46" s="17"/>
      <c r="F46" s="17"/>
      <c r="H46" s="13"/>
    </row>
    <row r="47" ht="15.75" customHeight="1">
      <c r="C47" s="16"/>
      <c r="D47" s="17"/>
      <c r="E47" s="17"/>
      <c r="F47" s="17"/>
      <c r="H47" s="13"/>
    </row>
    <row r="48" ht="15.75" customHeight="1">
      <c r="C48" s="16"/>
      <c r="D48" s="17"/>
      <c r="E48" s="17"/>
      <c r="F48" s="18"/>
      <c r="H48" s="13"/>
    </row>
    <row r="49" ht="15.75" customHeight="1">
      <c r="C49" s="16"/>
      <c r="D49" s="17"/>
      <c r="E49" s="17"/>
      <c r="F49" s="17"/>
      <c r="H49" s="13"/>
    </row>
    <row r="50" ht="15.75" customHeight="1">
      <c r="C50" s="16"/>
      <c r="D50" s="17"/>
      <c r="E50" s="17"/>
      <c r="F50" s="17"/>
      <c r="H50" s="13"/>
    </row>
    <row r="51" ht="15.75" customHeight="1">
      <c r="C51" s="16"/>
      <c r="D51" s="17"/>
      <c r="E51" s="17"/>
      <c r="F51" s="17"/>
      <c r="H51" s="13"/>
    </row>
    <row r="52" ht="15.75" customHeight="1">
      <c r="C52" s="16"/>
      <c r="D52" s="17"/>
      <c r="E52" s="17"/>
      <c r="F52" s="17"/>
      <c r="H52" s="13"/>
    </row>
    <row r="53" ht="15.75" customHeight="1">
      <c r="C53" s="16"/>
      <c r="D53" s="17"/>
      <c r="E53" s="17"/>
      <c r="F53" s="17"/>
      <c r="H53" s="13"/>
    </row>
    <row r="54" ht="15.75" customHeight="1">
      <c r="C54" s="16"/>
      <c r="D54" s="17"/>
      <c r="E54" s="17"/>
      <c r="F54" s="17"/>
      <c r="H54" s="13"/>
    </row>
    <row r="55" ht="15.75" customHeight="1">
      <c r="C55" s="16"/>
      <c r="D55" s="17"/>
      <c r="E55" s="17"/>
      <c r="F55" s="17"/>
      <c r="H55" s="13"/>
    </row>
    <row r="56" ht="15.75" customHeight="1">
      <c r="C56" s="16"/>
      <c r="D56" s="17"/>
      <c r="E56" s="17"/>
      <c r="F56" s="17"/>
      <c r="H56" s="13"/>
    </row>
    <row r="57" ht="15.75" customHeight="1">
      <c r="C57" s="16"/>
      <c r="D57" s="17"/>
      <c r="E57" s="17"/>
      <c r="F57" s="17"/>
      <c r="H57" s="13"/>
    </row>
    <row r="58" ht="15.75" customHeight="1">
      <c r="C58" s="16"/>
      <c r="D58" s="17"/>
      <c r="E58" s="17"/>
      <c r="F58" s="17"/>
      <c r="H58" s="13"/>
    </row>
    <row r="59" ht="15.75" customHeight="1">
      <c r="C59" s="16"/>
      <c r="D59" s="17"/>
      <c r="E59" s="17"/>
      <c r="F59" s="17"/>
      <c r="H59" s="13"/>
    </row>
    <row r="60" ht="15.75" customHeight="1">
      <c r="C60" s="16"/>
      <c r="D60" s="17"/>
      <c r="E60" s="17"/>
      <c r="F60" s="17"/>
      <c r="H60" s="13"/>
    </row>
    <row r="61" ht="15.75" customHeight="1">
      <c r="C61" s="16"/>
      <c r="D61" s="17"/>
      <c r="E61" s="17"/>
      <c r="F61" s="17"/>
      <c r="H61" s="13"/>
    </row>
    <row r="62" ht="15.75" customHeight="1">
      <c r="C62" s="19"/>
      <c r="H62" s="13"/>
    </row>
    <row r="63" ht="15.75" customHeight="1">
      <c r="C63" s="19"/>
      <c r="H63" s="13"/>
    </row>
    <row r="64" ht="15.75" customHeight="1">
      <c r="C64" s="19"/>
      <c r="H64" s="13"/>
    </row>
    <row r="65" ht="15.75" customHeight="1">
      <c r="C65" s="19"/>
      <c r="H65" s="13"/>
    </row>
    <row r="66" ht="15.75" customHeight="1">
      <c r="C66" s="19"/>
      <c r="H66" s="13"/>
    </row>
    <row r="67" ht="15.75" customHeight="1">
      <c r="C67" s="19"/>
      <c r="H67" s="13"/>
    </row>
    <row r="68" ht="15.75" customHeight="1">
      <c r="C68" s="19"/>
      <c r="H68" s="13"/>
    </row>
    <row r="69" ht="15.75" customHeight="1">
      <c r="C69" s="19"/>
      <c r="H69" s="5"/>
    </row>
    <row r="70" ht="15.75" customHeight="1">
      <c r="C70" s="19"/>
      <c r="H70" s="5"/>
    </row>
    <row r="71" ht="15.75" customHeight="1">
      <c r="C71" s="19"/>
      <c r="H71" s="5"/>
    </row>
    <row r="72" ht="15.75" customHeight="1">
      <c r="C72" s="19"/>
      <c r="H72" s="5"/>
    </row>
    <row r="73" ht="15.75" customHeight="1">
      <c r="C73" s="19"/>
      <c r="H73" s="5"/>
    </row>
    <row r="74" ht="15.75" customHeight="1">
      <c r="C74" s="19"/>
      <c r="H74" s="5"/>
    </row>
    <row r="75" ht="15.75" customHeight="1">
      <c r="C75" s="19"/>
      <c r="H75" s="5"/>
    </row>
    <row r="76" ht="15.75" customHeight="1">
      <c r="C76" s="19"/>
      <c r="H76" s="5"/>
    </row>
    <row r="77" ht="15.75" customHeight="1">
      <c r="C77" s="19"/>
      <c r="H77" s="5"/>
    </row>
    <row r="78" ht="15.75" customHeight="1">
      <c r="C78" s="19"/>
      <c r="H78" s="5"/>
    </row>
    <row r="79" ht="15.75" customHeight="1">
      <c r="C79" s="19"/>
      <c r="H79" s="5"/>
    </row>
    <row r="80" ht="15.75" customHeight="1">
      <c r="C80" s="19"/>
      <c r="H80" s="5"/>
    </row>
    <row r="81" ht="15.75" customHeight="1">
      <c r="C81" s="19"/>
      <c r="H81" s="5"/>
    </row>
    <row r="82" ht="15.75" customHeight="1">
      <c r="C82" s="19"/>
      <c r="H82" s="5"/>
    </row>
    <row r="83" ht="15.75" customHeight="1">
      <c r="C83" s="19"/>
      <c r="H83" s="5"/>
    </row>
    <row r="84" ht="15.75" customHeight="1">
      <c r="C84" s="19"/>
      <c r="H84" s="5"/>
    </row>
    <row r="85" ht="15.75" customHeight="1">
      <c r="C85" s="19"/>
      <c r="H85" s="5"/>
    </row>
    <row r="86" ht="15.75" customHeight="1">
      <c r="C86" s="19"/>
      <c r="H86" s="5"/>
    </row>
    <row r="87" ht="15.75" customHeight="1">
      <c r="C87" s="19"/>
      <c r="H87" s="5"/>
    </row>
    <row r="88" ht="15.75" customHeight="1">
      <c r="C88" s="19"/>
      <c r="H88" s="5"/>
    </row>
    <row r="89" ht="15.75" customHeight="1">
      <c r="C89" s="19"/>
      <c r="H89" s="5"/>
    </row>
    <row r="90" ht="15.75" customHeight="1">
      <c r="C90" s="19"/>
      <c r="H90" s="5"/>
    </row>
    <row r="91" ht="15.75" customHeight="1">
      <c r="C91" s="19"/>
      <c r="H91" s="5"/>
    </row>
    <row r="92" ht="15.75" customHeight="1">
      <c r="C92" s="19"/>
      <c r="H92" s="5"/>
    </row>
    <row r="93" ht="15.75" customHeight="1">
      <c r="C93" s="19"/>
      <c r="H93" s="5"/>
    </row>
    <row r="94" ht="15.75" customHeight="1">
      <c r="C94" s="19"/>
      <c r="H94" s="5"/>
    </row>
    <row r="95" ht="15.75" customHeight="1">
      <c r="C95" s="19"/>
      <c r="H95" s="5"/>
    </row>
    <row r="96" ht="15.75" customHeight="1">
      <c r="C96" s="19"/>
    </row>
    <row r="97" ht="15.75" customHeight="1">
      <c r="C97" s="19"/>
    </row>
    <row r="98" ht="15.75" customHeight="1">
      <c r="C98" s="19"/>
    </row>
    <row r="99" ht="15.75" customHeight="1">
      <c r="C99" s="19"/>
    </row>
    <row r="100" ht="15.75" customHeight="1">
      <c r="C100" s="19"/>
    </row>
    <row r="101" ht="15.75" customHeight="1">
      <c r="C101" s="19"/>
    </row>
    <row r="102" ht="15.75" customHeight="1">
      <c r="C102" s="19"/>
    </row>
    <row r="103" ht="15.75" customHeight="1">
      <c r="C103" s="19"/>
    </row>
    <row r="104" ht="15.75" customHeight="1">
      <c r="C104" s="19"/>
    </row>
    <row r="105" ht="15.75" customHeight="1">
      <c r="C105" s="19"/>
    </row>
    <row r="106" ht="15.75" customHeight="1">
      <c r="C106" s="19"/>
    </row>
    <row r="107" ht="15.75" customHeight="1">
      <c r="C107" s="19"/>
    </row>
    <row r="108" ht="15.75" customHeight="1">
      <c r="C108" s="19"/>
    </row>
    <row r="109" ht="15.75" customHeight="1">
      <c r="C109" s="19"/>
    </row>
    <row r="110" ht="15.75" customHeight="1">
      <c r="C110" s="19"/>
    </row>
    <row r="111" ht="15.75" customHeight="1">
      <c r="C111" s="19"/>
    </row>
    <row r="112" ht="15.75" customHeight="1">
      <c r="C112" s="19"/>
    </row>
    <row r="113" ht="15.75" customHeight="1">
      <c r="C113" s="19"/>
    </row>
    <row r="114" ht="15.75" customHeight="1">
      <c r="C114" s="19"/>
    </row>
    <row r="115" ht="15.75" customHeight="1">
      <c r="C115" s="19"/>
    </row>
    <row r="116" ht="15.75" customHeight="1">
      <c r="C116" s="19"/>
    </row>
    <row r="117" ht="15.75" customHeight="1">
      <c r="C117" s="19"/>
    </row>
    <row r="118" ht="15.75" customHeight="1">
      <c r="C118" s="19"/>
    </row>
    <row r="119" ht="15.75" customHeight="1">
      <c r="C119" s="19"/>
    </row>
    <row r="120" ht="15.75" customHeight="1">
      <c r="C120" s="19"/>
    </row>
    <row r="121" ht="15.75" customHeight="1">
      <c r="C121" s="19"/>
    </row>
    <row r="122" ht="15.75" customHeight="1">
      <c r="C122" s="19"/>
    </row>
    <row r="123" ht="15.75" customHeight="1">
      <c r="C123" s="19"/>
    </row>
    <row r="124" ht="15.75" customHeight="1">
      <c r="C124" s="19"/>
    </row>
    <row r="125" ht="15.75" customHeight="1">
      <c r="C125" s="19"/>
    </row>
    <row r="126" ht="15.75" customHeight="1">
      <c r="C126" s="19"/>
    </row>
    <row r="127" ht="15.75" customHeight="1">
      <c r="C127" s="19"/>
    </row>
    <row r="128" ht="15.75" customHeight="1">
      <c r="C128" s="19"/>
    </row>
    <row r="129" ht="15.75" customHeight="1">
      <c r="C129" s="19"/>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
    <mergeCell ref="C4:H4"/>
    <mergeCell ref="C5:H5"/>
  </mergeCells>
  <dataValidations>
    <dataValidation type="list" allowBlank="1" showErrorMessage="1" sqref="C9:C95">
      <formula1>METADATA!$I$17:$I$37</formula1>
    </dataValidation>
    <dataValidation type="list" allowBlank="1" showErrorMessage="1" sqref="C4">
      <formula1>METADATA!$A$2:$A$80</formula1>
    </dataValidation>
    <dataValidation type="list" allowBlank="1" showErrorMessage="1" sqref="H9:H95">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20" t="s">
        <v>1</v>
      </c>
      <c r="C4" s="21" t="str">
        <f>'Diseño'!C4</f>
        <v>285 - Sistemas Operativos 2</v>
      </c>
      <c r="D4" s="22"/>
      <c r="E4" s="22"/>
      <c r="F4" s="22"/>
      <c r="G4" s="23"/>
    </row>
    <row r="5" ht="15.75" customHeight="1">
      <c r="B5" s="24" t="s">
        <v>11</v>
      </c>
      <c r="C5" s="21">
        <v>1.0</v>
      </c>
      <c r="D5" s="22"/>
      <c r="E5" s="22"/>
      <c r="F5" s="22"/>
      <c r="G5" s="23"/>
    </row>
    <row r="6" ht="15.75" customHeight="1">
      <c r="B6" s="24" t="s">
        <v>59</v>
      </c>
      <c r="C6" s="21">
        <f>B15+B22+B29+B41+B47+C48</f>
        <v>100</v>
      </c>
      <c r="D6" s="22"/>
      <c r="E6" s="22"/>
      <c r="F6" s="22"/>
      <c r="G6" s="23"/>
    </row>
    <row r="7" ht="15.75" customHeight="1"/>
    <row r="8" ht="15.75" customHeight="1"/>
    <row r="9" ht="15.75" customHeight="1">
      <c r="A9" s="25" t="s">
        <v>60</v>
      </c>
      <c r="G9" s="26" t="s">
        <v>61</v>
      </c>
      <c r="H9" s="27">
        <f>B15</f>
        <v>15</v>
      </c>
    </row>
    <row r="10" ht="15.75" customHeight="1">
      <c r="G10" s="28" t="s">
        <v>62</v>
      </c>
    </row>
    <row r="11">
      <c r="A11" s="29" t="s">
        <v>63</v>
      </c>
      <c r="B11" s="30" t="s">
        <v>64</v>
      </c>
      <c r="C11" s="22"/>
      <c r="D11" s="22"/>
      <c r="E11" s="22"/>
      <c r="F11" s="22"/>
      <c r="G11" s="22"/>
      <c r="H11" s="23"/>
    </row>
    <row r="12">
      <c r="A12" s="29" t="s">
        <v>65</v>
      </c>
      <c r="B12" s="30" t="s">
        <v>66</v>
      </c>
      <c r="C12" s="22"/>
      <c r="D12" s="22"/>
      <c r="E12" s="22"/>
      <c r="F12" s="22"/>
      <c r="G12" s="22"/>
      <c r="H12" s="23"/>
      <c r="K12" s="31" t="s">
        <v>67</v>
      </c>
    </row>
    <row r="13">
      <c r="A13" s="32" t="s">
        <v>68</v>
      </c>
      <c r="B13" s="33" t="s">
        <v>69</v>
      </c>
      <c r="C13" s="22"/>
      <c r="D13" s="22"/>
      <c r="E13" s="22"/>
      <c r="F13" s="22"/>
      <c r="G13" s="22"/>
      <c r="H13" s="23"/>
    </row>
    <row r="14">
      <c r="A14" s="32" t="s">
        <v>70</v>
      </c>
      <c r="B14" s="33" t="s">
        <v>71</v>
      </c>
      <c r="C14" s="22"/>
      <c r="D14" s="22"/>
      <c r="E14" s="22"/>
      <c r="F14" s="22"/>
      <c r="G14" s="22"/>
      <c r="H14" s="23"/>
    </row>
    <row r="15">
      <c r="A15" s="34" t="s">
        <v>72</v>
      </c>
      <c r="B15" s="33">
        <v>15.0</v>
      </c>
      <c r="C15" s="22"/>
      <c r="D15" s="22"/>
      <c r="E15" s="22"/>
      <c r="F15" s="22"/>
      <c r="G15" s="22"/>
      <c r="H15" s="23"/>
    </row>
    <row r="16" ht="15.75" customHeight="1"/>
    <row r="17" ht="15.75" customHeight="1"/>
    <row r="18" ht="15.75" customHeight="1">
      <c r="A18" s="35" t="s">
        <v>73</v>
      </c>
      <c r="G18" s="26" t="s">
        <v>61</v>
      </c>
      <c r="H18" s="27">
        <f>B22</f>
        <v>25</v>
      </c>
      <c r="K18" s="31" t="s">
        <v>74</v>
      </c>
    </row>
    <row r="19" ht="15.75" customHeight="1">
      <c r="G19" s="28" t="s">
        <v>75</v>
      </c>
    </row>
    <row r="20" ht="15.75" customHeight="1">
      <c r="A20" s="29" t="s">
        <v>76</v>
      </c>
      <c r="B20" s="30" t="s">
        <v>77</v>
      </c>
      <c r="C20" s="22"/>
      <c r="D20" s="22"/>
      <c r="E20" s="22"/>
      <c r="F20" s="22"/>
      <c r="G20" s="22"/>
      <c r="H20" s="23"/>
    </row>
    <row r="21" ht="15.75" customHeight="1">
      <c r="A21" s="29" t="s">
        <v>78</v>
      </c>
      <c r="B21" s="30" t="s">
        <v>79</v>
      </c>
      <c r="C21" s="22"/>
      <c r="D21" s="22"/>
      <c r="E21" s="22"/>
      <c r="F21" s="22"/>
      <c r="G21" s="22"/>
      <c r="H21" s="23"/>
    </row>
    <row r="22" ht="15.75" customHeight="1">
      <c r="A22" s="34" t="s">
        <v>72</v>
      </c>
      <c r="B22" s="33">
        <v>25.0</v>
      </c>
      <c r="C22" s="22"/>
      <c r="D22" s="22"/>
      <c r="E22" s="22"/>
      <c r="F22" s="22"/>
      <c r="G22" s="22"/>
      <c r="H22" s="23"/>
    </row>
    <row r="23" ht="15.75" customHeight="1"/>
    <row r="24" ht="15.75" customHeight="1"/>
    <row r="25" ht="15.75" customHeight="1">
      <c r="A25" s="35" t="s">
        <v>80</v>
      </c>
      <c r="G25" s="36" t="s">
        <v>61</v>
      </c>
      <c r="H25" s="27">
        <f>B29</f>
        <v>30</v>
      </c>
    </row>
    <row r="26" ht="15.75" customHeight="1">
      <c r="G26" s="28" t="s">
        <v>81</v>
      </c>
      <c r="H26" s="28"/>
      <c r="I26" s="28"/>
      <c r="J26" s="28"/>
    </row>
    <row r="27" ht="39.75" customHeight="1">
      <c r="A27" s="29" t="s">
        <v>82</v>
      </c>
      <c r="B27" s="30" t="s">
        <v>83</v>
      </c>
      <c r="C27" s="22"/>
      <c r="D27" s="22"/>
      <c r="E27" s="22"/>
      <c r="F27" s="22"/>
      <c r="G27" s="22"/>
      <c r="H27" s="23"/>
      <c r="K27" s="37" t="s">
        <v>84</v>
      </c>
    </row>
    <row r="28" ht="69.75" customHeight="1">
      <c r="A28" s="29" t="s">
        <v>85</v>
      </c>
      <c r="B28" s="30" t="s">
        <v>86</v>
      </c>
      <c r="C28" s="22"/>
      <c r="D28" s="22"/>
      <c r="E28" s="22"/>
      <c r="F28" s="22"/>
      <c r="G28" s="22"/>
      <c r="H28" s="23"/>
    </row>
    <row r="29" ht="15.75" customHeight="1">
      <c r="A29" s="34" t="s">
        <v>72</v>
      </c>
      <c r="B29" s="33">
        <v>30.0</v>
      </c>
      <c r="C29" s="22"/>
      <c r="D29" s="22"/>
      <c r="E29" s="22"/>
      <c r="F29" s="22"/>
      <c r="G29" s="22"/>
      <c r="H29" s="23"/>
    </row>
    <row r="30" ht="15.75" customHeight="1"/>
    <row r="31" ht="15.75" customHeight="1"/>
    <row r="32" ht="15.75" customHeight="1">
      <c r="A32" s="35" t="s">
        <v>87</v>
      </c>
      <c r="G32" s="36" t="s">
        <v>61</v>
      </c>
      <c r="H32" s="27">
        <f>B36</f>
        <v>5</v>
      </c>
    </row>
    <row r="33" ht="15.75" customHeight="1">
      <c r="A33" s="6" t="s">
        <v>88</v>
      </c>
      <c r="G33" s="6" t="s">
        <v>89</v>
      </c>
      <c r="H33" s="38"/>
      <c r="I33" s="38"/>
    </row>
    <row r="34" ht="15.75" customHeight="1">
      <c r="A34" s="29" t="s">
        <v>90</v>
      </c>
      <c r="B34" s="30" t="s">
        <v>91</v>
      </c>
      <c r="C34" s="22"/>
      <c r="D34" s="22"/>
      <c r="E34" s="22"/>
      <c r="F34" s="22"/>
      <c r="G34" s="22"/>
      <c r="H34" s="23"/>
      <c r="K34" s="39" t="s">
        <v>92</v>
      </c>
    </row>
    <row r="35" ht="15.75" customHeight="1">
      <c r="A35" s="29" t="s">
        <v>93</v>
      </c>
      <c r="B35" s="40"/>
      <c r="C35" s="22"/>
      <c r="D35" s="22"/>
      <c r="E35" s="22"/>
      <c r="F35" s="22"/>
      <c r="G35" s="22"/>
      <c r="H35" s="23"/>
    </row>
    <row r="36" ht="15.75" customHeight="1">
      <c r="A36" s="34" t="s">
        <v>72</v>
      </c>
      <c r="B36" s="33">
        <v>5.0</v>
      </c>
      <c r="C36" s="22"/>
      <c r="D36" s="22"/>
      <c r="E36" s="22"/>
      <c r="F36" s="22"/>
      <c r="G36" s="22"/>
      <c r="H36" s="23"/>
    </row>
    <row r="37" ht="15.75" customHeight="1"/>
    <row r="38" ht="15.75" customHeight="1"/>
    <row r="39" ht="15.75" customHeight="1">
      <c r="A39" s="35" t="s">
        <v>94</v>
      </c>
      <c r="G39" s="36" t="s">
        <v>61</v>
      </c>
      <c r="H39" s="27">
        <f>B41</f>
        <v>15</v>
      </c>
    </row>
    <row r="40" ht="15.75" customHeight="1">
      <c r="G40" s="28" t="s">
        <v>95</v>
      </c>
    </row>
    <row r="41" ht="15.75" customHeight="1">
      <c r="A41" s="34" t="s">
        <v>72</v>
      </c>
      <c r="B41" s="33">
        <v>15.0</v>
      </c>
      <c r="C41" s="22"/>
      <c r="D41" s="22"/>
      <c r="E41" s="22"/>
      <c r="F41" s="22"/>
      <c r="G41" s="22"/>
      <c r="H41" s="23"/>
    </row>
    <row r="42" ht="15.75" customHeight="1"/>
    <row r="43" ht="15.75" customHeight="1"/>
    <row r="44" ht="15.75" customHeight="1">
      <c r="A44" s="35" t="s">
        <v>96</v>
      </c>
      <c r="G44" s="36" t="s">
        <v>61</v>
      </c>
      <c r="H44" s="27">
        <f>B47</f>
        <v>15</v>
      </c>
    </row>
    <row r="45" ht="15.75" customHeight="1">
      <c r="G45" s="28" t="s">
        <v>62</v>
      </c>
    </row>
    <row r="46" ht="15.75" customHeight="1">
      <c r="A46" s="29" t="s">
        <v>97</v>
      </c>
      <c r="B46" s="30" t="s">
        <v>98</v>
      </c>
      <c r="C46" s="22"/>
      <c r="D46" s="22"/>
      <c r="E46" s="22"/>
      <c r="F46" s="22"/>
      <c r="G46" s="22"/>
      <c r="H46" s="23"/>
    </row>
    <row r="47" ht="15.75" customHeight="1">
      <c r="A47" s="34" t="s">
        <v>72</v>
      </c>
      <c r="B47" s="33">
        <v>15.0</v>
      </c>
      <c r="C47" s="22"/>
      <c r="D47" s="22"/>
      <c r="E47" s="22"/>
      <c r="F47" s="22"/>
      <c r="G47" s="22"/>
      <c r="H47" s="23"/>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G19:I19"/>
    <mergeCell ref="B20:H20"/>
    <mergeCell ref="B21:H21"/>
    <mergeCell ref="B22:H22"/>
    <mergeCell ref="B12:H12"/>
    <mergeCell ref="K12:M13"/>
    <mergeCell ref="B13:H13"/>
    <mergeCell ref="B14:H14"/>
    <mergeCell ref="B15:H15"/>
    <mergeCell ref="A18:F18"/>
    <mergeCell ref="K18:M25"/>
    <mergeCell ref="K27:M29"/>
    <mergeCell ref="K34:M36"/>
    <mergeCell ref="A25:F25"/>
    <mergeCell ref="B27:H27"/>
    <mergeCell ref="B28:H28"/>
    <mergeCell ref="B29:H29"/>
    <mergeCell ref="A32:F32"/>
    <mergeCell ref="A33:F33"/>
    <mergeCell ref="B34:H34"/>
    <mergeCell ref="B46:H46"/>
    <mergeCell ref="B47:H47"/>
    <mergeCell ref="B35:H35"/>
    <mergeCell ref="B36:H36"/>
    <mergeCell ref="A39:F39"/>
    <mergeCell ref="G40:I40"/>
    <mergeCell ref="B41:H41"/>
    <mergeCell ref="A44:F44"/>
    <mergeCell ref="G45:I4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5.63"/>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2.0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32" t="s">
        <v>104</v>
      </c>
      <c r="B12" s="40" t="s">
        <v>105</v>
      </c>
      <c r="C12" s="22"/>
      <c r="D12" s="22"/>
      <c r="E12" s="22"/>
      <c r="F12" s="22"/>
      <c r="G12" s="22"/>
      <c r="H12" s="23"/>
    </row>
    <row r="13" ht="15.75" customHeight="1">
      <c r="A13" s="34" t="s">
        <v>61</v>
      </c>
      <c r="B13" s="33">
        <v>5.0</v>
      </c>
      <c r="C13" s="22"/>
      <c r="D13" s="22"/>
      <c r="E13" s="22"/>
      <c r="F13" s="22"/>
      <c r="G13" s="22"/>
      <c r="H13" s="23"/>
    </row>
    <row r="14" ht="15.75" customHeight="1">
      <c r="A14" s="45" t="s">
        <v>106</v>
      </c>
      <c r="B14" s="22"/>
      <c r="C14" s="22"/>
      <c r="D14" s="22"/>
      <c r="E14" s="22"/>
      <c r="F14" s="22"/>
      <c r="G14" s="22"/>
      <c r="H14" s="23"/>
    </row>
    <row r="15" ht="15.75" customHeight="1">
      <c r="A15" s="46" t="s">
        <v>107</v>
      </c>
      <c r="B15" s="47"/>
      <c r="C15" s="47"/>
      <c r="D15" s="47"/>
      <c r="E15" s="47"/>
      <c r="F15" s="47"/>
      <c r="G15" s="47"/>
      <c r="H15" s="48"/>
    </row>
    <row r="16" ht="15.75" customHeight="1">
      <c r="A16" s="49"/>
      <c r="B16" s="50"/>
      <c r="C16" s="50"/>
      <c r="D16" s="50"/>
      <c r="E16" s="50"/>
      <c r="F16" s="50"/>
      <c r="G16" s="50"/>
      <c r="H16" s="51"/>
    </row>
    <row r="17" ht="15.75" customHeight="1">
      <c r="A17" s="45" t="s">
        <v>108</v>
      </c>
      <c r="B17" s="22"/>
      <c r="C17" s="22"/>
      <c r="D17" s="22"/>
      <c r="E17" s="22"/>
      <c r="F17" s="22"/>
      <c r="G17" s="22"/>
      <c r="H17" s="23"/>
    </row>
    <row r="18" ht="15.75" customHeight="1">
      <c r="A18" s="52" t="s">
        <v>109</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12</v>
      </c>
      <c r="C23" s="22"/>
      <c r="D23" s="22"/>
      <c r="E23" s="22"/>
      <c r="F23" s="22"/>
      <c r="G23" s="22"/>
      <c r="H23" s="23"/>
    </row>
    <row r="24" ht="15.75" customHeight="1">
      <c r="A24" s="32" t="s">
        <v>112</v>
      </c>
      <c r="B24" s="33" t="s">
        <v>12</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IFERROR(__xludf.DUMMYFUNCTION("FILTER('Diseño'!D:D,'Diseño'!H:H=$C$5)"),"Introducción y Configuración del Entorno")</f>
        <v>Introducción y Configuración del Entorno</v>
      </c>
      <c r="C28" s="23"/>
      <c r="D28" s="21" t="str">
        <f>IFERROR(__xludf.DUMMYFUNCTION("FILTER('Diseño'!E:E,'Diseño'!H:H=$C$5)"),"Fundamentos de Sistemas Operativos")</f>
        <v>Fundamentos de Sistemas Operativos</v>
      </c>
      <c r="E28" s="23"/>
      <c r="F28" s="21" t="str">
        <f>IFERROR(__xludf.DUMMYFUNCTION("FILTER('Diseño'!F:F,'Diseño'!H:H=$C$5)"),"Repaso de conceptos clave de SO. Introducción a la arquitectura del kernel linux")</f>
        <v>Repaso de conceptos clave de SO. Introducción a la arquitectura del kernel linux</v>
      </c>
      <c r="G28" s="22"/>
      <c r="H28" s="23"/>
    </row>
    <row r="29" ht="15.75" customHeight="1">
      <c r="A29" s="24">
        <v>2.0</v>
      </c>
      <c r="B29" s="21" t="str">
        <f>IFERROR(__xludf.DUMMYFUNCTION("""COMPUTED_VALUE"""),"Introducción y Configuración del Entorno")</f>
        <v>Introducción y Configuración del Entorno</v>
      </c>
      <c r="C29" s="23"/>
      <c r="D29" s="21" t="str">
        <f>IFERROR(__xludf.DUMMYFUNCTION("""COMPUTED_VALUE"""),"Virtualización y Preparación")</f>
        <v>Virtualización y Preparación</v>
      </c>
      <c r="E29" s="23"/>
      <c r="F29" s="21" t="str">
        <f>IFERROR(__xludf.DUMMYFUNCTION("""COMPUTED_VALUE"""),"Introducción al kernel USAX. Configuración del entorno con QEMU y el toolchain de compilación cruzada.")</f>
        <v>Introducción al kernel USAX. Configuración del entorno con QEMU y el toolchain de compilación cruzada.</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c r="A47" s="32" t="s">
        <v>131</v>
      </c>
      <c r="B47" s="33" t="s">
        <v>132</v>
      </c>
      <c r="C47" s="22"/>
      <c r="D47" s="22"/>
      <c r="E47" s="22"/>
      <c r="F47" s="22"/>
      <c r="G47" s="22"/>
      <c r="H47" s="23"/>
    </row>
    <row r="48">
      <c r="A48" s="32" t="s">
        <v>133</v>
      </c>
      <c r="B48" s="33" t="s">
        <v>134</v>
      </c>
      <c r="C48" s="22"/>
      <c r="D48" s="22"/>
      <c r="E48" s="22"/>
      <c r="F48" s="22"/>
      <c r="G48" s="22"/>
      <c r="H48" s="23"/>
    </row>
    <row r="49">
      <c r="A49" s="32" t="s">
        <v>100</v>
      </c>
      <c r="B49" s="60">
        <v>0.0</v>
      </c>
      <c r="C49" s="22"/>
      <c r="D49" s="22"/>
      <c r="E49" s="22"/>
      <c r="F49" s="22"/>
      <c r="G49" s="22"/>
      <c r="H49" s="23"/>
    </row>
    <row r="50">
      <c r="A50" s="32" t="s">
        <v>61</v>
      </c>
      <c r="B50" s="33">
        <v>5.0</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1" t="s">
        <v>137</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33" t="s">
        <v>140</v>
      </c>
      <c r="C59" s="22"/>
      <c r="D59" s="22"/>
      <c r="E59" s="22"/>
      <c r="F59" s="22"/>
      <c r="G59" s="22"/>
      <c r="H59" s="23"/>
    </row>
    <row r="60" ht="15.75" customHeight="1">
      <c r="A60" s="32" t="s">
        <v>100</v>
      </c>
      <c r="B60" s="64">
        <v>0.0</v>
      </c>
      <c r="C60" s="22"/>
      <c r="D60" s="22"/>
      <c r="E60" s="22"/>
      <c r="F60" s="22"/>
      <c r="G60" s="22"/>
      <c r="H60" s="23"/>
    </row>
    <row r="61" ht="15.75" customHeight="1">
      <c r="A61" s="32" t="s">
        <v>61</v>
      </c>
      <c r="B61" s="64">
        <v>25.0</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6" t="s">
        <v>142</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6" t="s">
        <v>146</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3.0</v>
      </c>
      <c r="D5" s="22"/>
      <c r="E5" s="22"/>
      <c r="F5" s="22"/>
      <c r="G5" s="23"/>
    </row>
    <row r="6" ht="15.75" customHeight="1">
      <c r="B6" s="42" t="s">
        <v>59</v>
      </c>
      <c r="C6" s="21">
        <f>H10+H21+H44+H68</f>
        <v>90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148</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10" t="s">
        <v>149</v>
      </c>
      <c r="H15" s="63"/>
    </row>
    <row r="16" ht="15.75" customHeight="1">
      <c r="A16" s="50"/>
      <c r="B16" s="50"/>
      <c r="C16" s="50"/>
      <c r="D16" s="50"/>
      <c r="E16" s="50"/>
      <c r="F16" s="50"/>
      <c r="G16" s="50"/>
      <c r="H16" s="51"/>
    </row>
    <row r="17" ht="15.75" customHeight="1">
      <c r="A17" s="68" t="s">
        <v>108</v>
      </c>
      <c r="B17" s="22"/>
      <c r="C17" s="22"/>
      <c r="D17" s="22"/>
      <c r="E17" s="22"/>
      <c r="F17" s="22"/>
      <c r="G17" s="22"/>
      <c r="H17" s="23"/>
    </row>
    <row r="18" ht="15.75" customHeight="1">
      <c r="A18" s="52" t="s">
        <v>150</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12</v>
      </c>
      <c r="C23" s="22"/>
      <c r="D23" s="22"/>
      <c r="E23" s="22"/>
      <c r="F23" s="22"/>
      <c r="G23" s="22"/>
      <c r="H23" s="23"/>
    </row>
    <row r="24" ht="15.75" customHeight="1">
      <c r="A24" s="32" t="s">
        <v>112</v>
      </c>
      <c r="B24" s="33" t="s">
        <v>12</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IFERROR(__xludf.DUMMYFUNCTION("FILTER('Diseño'!D:D,'Diseño'!H:H=$C$5)"),"Introducción y Configuración del Entorno")</f>
        <v>Introducción y Configuración del Entorno</v>
      </c>
      <c r="C28" s="23"/>
      <c r="D28" s="21" t="str">
        <f>IFERROR(__xludf.DUMMYFUNCTION("FILTER('Diseño'!E:E,'Diseño'!H:H=$C$5)"),"Arranque y Depuración del Kernel")</f>
        <v>Arranque y Depuración del Kernel</v>
      </c>
      <c r="E28" s="23"/>
      <c r="F28" s="21" t="str">
        <f>IFERROR(__xludf.DUMMYFUNCTION("FILTER('Diseño'!F:F,'Diseño'!H:H=$C$5)"),"Proceso de arranque de USAX en QEMU. Uso de GDB para depuración remota: puntos de ruptura, inspección de memoria y registros.")</f>
        <v>Proceso de arranque de USAX en QEMU. Uso de GDB para depuración remota: puntos de ruptura, inspección de memoria y registros.</v>
      </c>
      <c r="G28" s="22"/>
      <c r="H28" s="23"/>
    </row>
    <row r="29" ht="15.75" customHeight="1">
      <c r="A29" s="24">
        <v>2.0</v>
      </c>
      <c r="B29" s="21"/>
      <c r="C29" s="23"/>
      <c r="D29" s="21"/>
      <c r="E29" s="23"/>
      <c r="F29" s="21"/>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139</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151</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t="str">
        <f>B70</f>
        <v/>
      </c>
    </row>
    <row r="69" ht="15.75" customHeight="1">
      <c r="G69" s="28" t="s">
        <v>144</v>
      </c>
    </row>
    <row r="70" ht="15.75" customHeight="1">
      <c r="A70" s="32" t="s">
        <v>61</v>
      </c>
      <c r="B70" s="60"/>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4.0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152</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153</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66" t="s">
        <v>154</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20</v>
      </c>
      <c r="C23" s="22"/>
      <c r="D23" s="22"/>
      <c r="E23" s="22"/>
      <c r="F23" s="22"/>
      <c r="G23" s="22"/>
      <c r="H23" s="23"/>
    </row>
    <row r="24" ht="15.75" customHeight="1">
      <c r="A24" s="32" t="s">
        <v>112</v>
      </c>
      <c r="B24" s="33" t="s">
        <v>20</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IFERROR(__xludf.DUMMYFUNCTION("FILTER('Diseño'!D:D,'Diseño'!H:H=$C$5)"),"Gestión de Memoria")</f>
        <v>Gestión de Memoria</v>
      </c>
      <c r="C28" s="23"/>
      <c r="D28" s="21" t="str">
        <f>IFERROR(__xludf.DUMMYFUNCTION("FILTER('Diseño'!E:E,'Diseño'!H:H=$C$5)"),"Memoria Física y Virtual")</f>
        <v>Memoria Física y Virtual</v>
      </c>
      <c r="E28" s="23"/>
      <c r="F28" s="21" t="str">
        <f>IFERROR(__xludf.DUMMYFUNCTION("FILTER('Diseño'!F:F,'Diseño'!H:H=$C$5)"),"Proceso de arranque del kernel. Gestión de memoria física (mapa de memoria, alocadores básicos). Paginación y tablas de páginas.")</f>
        <v>Proceso de arranque del kernel. Gestión de memoria física (mapa de memoria, alocadores básicos). Paginación y tablas de páginas.</v>
      </c>
      <c r="G28" s="22"/>
      <c r="H28" s="23"/>
    </row>
    <row r="29" ht="15.75" customHeight="1">
      <c r="A29" s="24">
        <v>2.0</v>
      </c>
      <c r="B29" s="21" t="str">
        <f>IFERROR(__xludf.DUMMYFUNCTION("""COMPUTED_VALUE"""),"Gestión de Memoria")</f>
        <v>Gestión de Memoria</v>
      </c>
      <c r="C29" s="23"/>
      <c r="D29" s="21" t="str">
        <f>IFERROR(__xludf.DUMMYFUNCTION("""COMPUTED_VALUE"""),"Aislamiento y Espacio de Direcciones")</f>
        <v>Aislamiento y Espacio de Direcciones</v>
      </c>
      <c r="E29" s="23"/>
      <c r="F29" s="21" t="str">
        <f>IFERROR(__xludf.DUMMYFUNCTION("""COMPUTED_VALUE"""),"Traducción de direcciones. Separación entre el espacio de usuario y el espacio de kernel.")</f>
        <v>Traducción de direcciones. Separación entre el espacio de usuario y el espacio de kernel.</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139</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5.0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155</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156</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66" t="s">
        <v>157</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20</v>
      </c>
      <c r="C23" s="22"/>
      <c r="D23" s="22"/>
      <c r="E23" s="22"/>
      <c r="F23" s="22"/>
      <c r="G23" s="22"/>
      <c r="H23" s="23"/>
    </row>
    <row r="24" ht="15.75" customHeight="1">
      <c r="A24" s="32" t="s">
        <v>112</v>
      </c>
      <c r="B24" s="33" t="s">
        <v>29</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IFERROR(__xludf.DUMMYFUNCTION("FILTER('Diseño'!D:D,'Diseño'!H:H=$C$5)"),"Procesos e Interacción")</f>
        <v>Procesos e Interacción</v>
      </c>
      <c r="C28" s="23"/>
      <c r="D28" s="21" t="str">
        <f>IFERROR(__xludf.DUMMYFUNCTION("FILTER('Diseño'!E:E,'Diseño'!H:H=$C$5)"),"Estructura y Ciclo de Vida de un Proceso")</f>
        <v>Estructura y Ciclo de Vida de un Proceso</v>
      </c>
      <c r="E28" s="23"/>
      <c r="F28" s="21" t="str">
        <f>IFERROR(__xludf.DUMMYFUNCTION("FILTER('Diseño'!F:F,'Diseño'!H:H=$C$5)"),"El Process Control Block (task_struct). Estados (Running, Sleeping, Zombie, etc.) y transiciones de un proceso.")</f>
        <v>El Process Control Block (task_struct). Estados (Running, Sleeping, Zombie, etc.) y transiciones de un proceso.</v>
      </c>
      <c r="G28" s="22"/>
      <c r="H28" s="23"/>
    </row>
    <row r="29" ht="15.75" customHeight="1">
      <c r="A29" s="24">
        <v>2.0</v>
      </c>
      <c r="B29" s="21" t="str">
        <f>IFERROR(__xludf.DUMMYFUNCTION("""COMPUTED_VALUE"""),"Procesos e Interacción")</f>
        <v>Procesos e Interacción</v>
      </c>
      <c r="C29" s="23"/>
      <c r="D29" s="21" t="str">
        <f>IFERROR(__xludf.DUMMYFUNCTION("""COMPUTED_VALUE"""),"La Interfaz de Llamadas al Sistema")</f>
        <v>La Interfaz de Llamadas al Sistema</v>
      </c>
      <c r="E29" s="23"/>
      <c r="F29" s="21" t="str">
        <f>IFERROR(__xludf.DUMMYFUNCTION("""COMPUTED_VALUE"""),"Mecanismo de traps. Implementación de una syscall hello_world() directamente en el kernel para validar la comunicación.")</f>
        <v>Mecanismo de traps. Implementación de una syscall hello_world() directamente en el kernel para validar la comunicación.</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151</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151</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6.0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158</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159</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52" t="s">
        <v>160</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29</v>
      </c>
      <c r="C23" s="22"/>
      <c r="D23" s="22"/>
      <c r="E23" s="22"/>
      <c r="F23" s="22"/>
      <c r="G23" s="22"/>
      <c r="H23" s="23"/>
    </row>
    <row r="24" ht="15.75" customHeight="1">
      <c r="A24" s="32" t="s">
        <v>112</v>
      </c>
      <c r="B24" s="33" t="s">
        <v>29</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IFERROR(__xludf.DUMMYFUNCTION("FILTER('Diseño'!D:D,'Diseño'!H:H=$C$5)"),"Procesos e Interacción")</f>
        <v>Procesos e Interacción</v>
      </c>
      <c r="C28" s="23"/>
      <c r="D28" s="21" t="str">
        <f>IFERROR(__xludf.DUMMYFUNCTION("FILTER('Diseño'!E:E,'Diseño'!H:H=$C$5)"),"Modularizando el Kernel (LKM)")</f>
        <v>Modularizando el Kernel (LKM)</v>
      </c>
      <c r="E28" s="23"/>
      <c r="F28" s="21" t="str">
        <f>IFERROR(__xludf.DUMMYFUNCTION("FILTER('Diseño'!F:F,'Diseño'!H:H=$C$5)"),"Introducción a los Módulos Cargables del Kernel. Ventajas de la modularidad. Migración de la syscall hello_world() a un módulo.")</f>
        <v>Introducción a los Módulos Cargables del Kernel. Ventajas de la modularidad. Migración de la syscall hello_world() a un módulo.</v>
      </c>
      <c r="G28" s="22"/>
      <c r="H28" s="23"/>
    </row>
    <row r="29" ht="15.75" customHeight="1">
      <c r="A29" s="24">
        <v>2.0</v>
      </c>
      <c r="B29" s="21" t="str">
        <f>IFERROR(__xludf.DUMMYFUNCTION("""COMPUTED_VALUE"""),"Procesos e Interacción")</f>
        <v>Procesos e Interacción</v>
      </c>
      <c r="C29" s="23"/>
      <c r="D29" s="21" t="str">
        <f>IFERROR(__xludf.DUMMYFUNCTION("""COMPUTED_VALUE"""),"Primer Programa Cliente")</f>
        <v>Primer Programa Cliente</v>
      </c>
      <c r="E29" s="23"/>
      <c r="F29" s="21" t="str">
        <f>IFERROR(__xludf.DUMMYFUNCTION("""COMPUTED_VALUE"""),"Creación de un programa en C que invoca la syscall hello_world() desde el espacio de usuario.")</f>
        <v>Creación de un programa en C que invoca la syscall hello_world() desde el espacio de usuario.</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161</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161</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7.0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162</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163</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20.25" customHeight="1">
      <c r="A18" s="52" t="s">
        <v>164</v>
      </c>
      <c r="B18" s="47"/>
      <c r="C18" s="47"/>
      <c r="D18" s="47"/>
      <c r="E18" s="47"/>
      <c r="F18" s="47"/>
      <c r="G18" s="47"/>
      <c r="H18" s="48"/>
    </row>
    <row r="19" ht="20.2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29</v>
      </c>
      <c r="C23" s="22"/>
      <c r="D23" s="22"/>
      <c r="E23" s="22"/>
      <c r="F23" s="22"/>
      <c r="G23" s="22"/>
      <c r="H23" s="23"/>
    </row>
    <row r="24" ht="15.75" customHeight="1">
      <c r="A24" s="32" t="s">
        <v>112</v>
      </c>
      <c r="B24" s="33" t="s">
        <v>38</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IFERROR(__xludf.DUMMYFUNCTION("FILTER('Diseño'!D:D,'Diseño'!H:H=$C$5)"),"Procesos e Interacción")</f>
        <v>Procesos e Interacción</v>
      </c>
      <c r="C28" s="23"/>
      <c r="D28" s="21" t="str">
        <f>IFERROR(__xludf.DUMMYFUNCTION("FILTER('Diseño'!E:E,'Diseño'!H:H=$C$5)"),"Transferencia de Datos Estructurados")</f>
        <v>Transferencia de Datos Estructurados</v>
      </c>
      <c r="E28" s="23"/>
      <c r="F28" s="21" t="str">
        <f>IFERROR(__xludf.DUMMYFUNCTION("FILTER('Diseño'!F:F,'Diseño'!H:H=$C$5)"),"Transfiriendo datos complejos del kernel al espacio de usuario.")</f>
        <v>Transfiriendo datos complejos del kernel al espacio de usuario.</v>
      </c>
      <c r="G28" s="22"/>
      <c r="H28" s="23"/>
    </row>
    <row r="29" ht="15.75" customHeight="1">
      <c r="A29" s="24">
        <v>2.0</v>
      </c>
      <c r="B29" s="21" t="str">
        <f>IFERROR(__xludf.DUMMYFUNCTION("""COMPUTED_VALUE"""),"Monitoreo del Sistema")</f>
        <v>Monitoreo del Sistema</v>
      </c>
      <c r="C29" s="23"/>
      <c r="D29" s="21" t="str">
        <f>IFERROR(__xludf.DUMMYFUNCTION("""COMPUTED_VALUE"""),"Estructura de un proceso")</f>
        <v>Estructura de un proceso</v>
      </c>
      <c r="E29" s="23"/>
      <c r="F29" s="21" t="str">
        <f>IFERROR(__xludf.DUMMYFUNCTION("""COMPUTED_VALUE"""),"Estructuras del kernel para obtener campos clave de procesos como PID, estado, PPID.")</f>
        <v>Estructuras del kernel para obtener campos clave de procesos como PID, estado, PPID.</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161</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8.0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165</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166</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52" t="s">
        <v>167</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38</v>
      </c>
      <c r="C23" s="22"/>
      <c r="D23" s="22"/>
      <c r="E23" s="22"/>
      <c r="F23" s="22"/>
      <c r="G23" s="22"/>
      <c r="H23" s="23"/>
    </row>
    <row r="24" ht="15.75" customHeight="1">
      <c r="A24" s="32" t="s">
        <v>112</v>
      </c>
      <c r="B24" s="33" t="s">
        <v>38</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IFERROR(__xludf.DUMMYFUNCTION("FILTER('Diseño'!D:D,'Diseño'!H:H=$C$5)"),"Monitoreo del Sistema")</f>
        <v>Monitoreo del Sistema</v>
      </c>
      <c r="C28" s="23"/>
      <c r="D28" s="21" t="str">
        <f>IFERROR(__xludf.DUMMYFUNCTION("FILTER('Diseño'!E:E,'Diseño'!H:H=$C$5)"),"Concurrencia y Lectura Segura de Datos")</f>
        <v>Concurrencia y Lectura Segura de Datos</v>
      </c>
      <c r="E28" s="23"/>
      <c r="F28" s="21" t="str">
        <f>IFERROR(__xludf.DUMMYFUNCTION("FILTER('Diseño'!F:F,'Diseño'!H:H=$C$5)"),"El problema de las condiciones de carrera al leer datos del kernel. Introducción a primitivas de sincronización.")</f>
        <v>El problema de las condiciones de carrera al leer datos del kernel. Introducción a primitivas de sincronización.</v>
      </c>
      <c r="G28" s="22"/>
      <c r="H28" s="23"/>
    </row>
    <row r="29" ht="15.75" customHeight="1">
      <c r="A29" s="24">
        <v>2.0</v>
      </c>
      <c r="B29" s="21" t="str">
        <f>IFERROR(__xludf.DUMMYFUNCTION("""COMPUTED_VALUE"""),"Monitoreo del Sistema")</f>
        <v>Monitoreo del Sistema</v>
      </c>
      <c r="C29" s="23"/>
      <c r="D29" s="21" t="str">
        <f>IFERROR(__xludf.DUMMYFUNCTION("""COMPUTED_VALUE"""),"Medición de Tiempo y Carga del Sistema")</f>
        <v>Medición de Tiempo y Carga del Sistema</v>
      </c>
      <c r="E29" s="23"/>
      <c r="F29" s="21" t="str">
        <f>IFERROR(__xludf.DUMMYFUNCTION("""COMPUTED_VALUE"""),"Estructuras del kernel para obtener el tiempo de actividad (uptime) y la carga promedio (load average).")</f>
        <v>Estructuras del kernel para obtener el tiempo de actividad (uptime) y la carga promedio (load average).</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139</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9.0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168</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169</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66" t="s">
        <v>170</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38</v>
      </c>
      <c r="C23" s="22"/>
      <c r="D23" s="22"/>
      <c r="E23" s="22"/>
      <c r="F23" s="22"/>
      <c r="G23" s="22"/>
      <c r="H23" s="23"/>
    </row>
    <row r="24" ht="15.75" customHeight="1">
      <c r="A24" s="32" t="s">
        <v>112</v>
      </c>
      <c r="B24" s="33" t="s">
        <v>38</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IFERROR(__xludf.DUMMYFUNCTION("FILTER('Diseño'!D:D,'Diseño'!H:H=$C$5)"),"Monitoreo del Sistema")</f>
        <v>Monitoreo del Sistema</v>
      </c>
      <c r="C28" s="23"/>
      <c r="D28" s="21" t="str">
        <f>IFERROR(__xludf.DUMMYFUNCTION("FILTER('Diseño'!E:E,'Diseño'!H:H=$C$5)"),"Medición de Memoria y Procesos")</f>
        <v>Medición de Memoria y Procesos</v>
      </c>
      <c r="E28" s="23"/>
      <c r="F28" s="21" t="str">
        <f>IFERROR(__xludf.DUMMYFUNCTION("FILTER('Diseño'!F:F,'Diseño'!H:H=$C$5)"),"Estructuras del kernel para obtener el uso total/libre de memoria y el número de procesos activos.")</f>
        <v>Estructuras del kernel para obtener el uso total/libre de memoria y el número de procesos activos.</v>
      </c>
      <c r="G28" s="22"/>
      <c r="H28" s="23"/>
    </row>
    <row r="29" ht="15.75" customHeight="1">
      <c r="A29" s="24">
        <v>2.0</v>
      </c>
      <c r="B29" s="21" t="str">
        <f>IFERROR(__xludf.DUMMYFUNCTION("""COMPUTED_VALUE"""),"Monitoreo del Sistema")</f>
        <v>Monitoreo del Sistema</v>
      </c>
      <c r="C29" s="23"/>
      <c r="D29" s="21" t="str">
        <f>IFERROR(__xludf.DUMMYFUNCTION("""COMPUTED_VALUE"""),"Procesos en ejecucion")</f>
        <v>Procesos en ejecucion</v>
      </c>
      <c r="E29" s="23"/>
      <c r="F29" s="21" t="str">
        <f>IFERROR(__xludf.DUMMYFUNCTION("""COMPUTED_VALUE"""),"Listado de procesos: Aprender a iterar la lista de tareas del kernel (usando for_each_process)")</f>
        <v>Listado de procesos: Aprender a iterar la lista de tareas del kernel (usando for_each_process)</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139</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139</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10.0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171</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172</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52" t="s">
        <v>173</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38</v>
      </c>
      <c r="C23" s="22"/>
      <c r="D23" s="22"/>
      <c r="E23" s="22"/>
      <c r="F23" s="22"/>
      <c r="G23" s="22"/>
      <c r="H23" s="23"/>
    </row>
    <row r="24" ht="15.75" customHeight="1">
      <c r="A24" s="32" t="s">
        <v>112</v>
      </c>
      <c r="B24" s="33" t="s">
        <v>53</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IFERROR(__xludf.DUMMYFUNCTION("FILTER('Diseño'!D:D,'Diseño'!H:H=$C$5)"),"Monitoreo del Sistema")</f>
        <v>Monitoreo del Sistema</v>
      </c>
      <c r="C28" s="23"/>
      <c r="D28" s="21" t="str">
        <f>IFERROR(__xludf.DUMMYFUNCTION("FILTER('Diseño'!E:E,'Diseño'!H:H=$C$5)"),"Métricas Complejas de CPU")</f>
        <v>Métricas Complejas de CPU</v>
      </c>
      <c r="E28" s="23"/>
      <c r="F28" s="21" t="str">
        <f>IFERROR(__xludf.DUMMYFUNCTION("FILTER('Diseño'!F:F,'Diseño'!H:H=$C$5)"),"Cálculo del uso de CPU: Entender los ""jiffies"" y las estadísticas por CPU. Investigar las estructuras del kernel para obtener los tiempos de CPU (usuario, sistema, idle).")</f>
        <v>Cálculo del uso de CPU: Entender los "jiffies" y las estadísticas por CPU. Investigar las estructuras del kernel para obtener los tiempos de CPU (usuario, sistema, idle).</v>
      </c>
      <c r="G28" s="22"/>
      <c r="H28" s="23"/>
    </row>
    <row r="29" ht="15.75" customHeight="1">
      <c r="A29" s="24">
        <v>2.0</v>
      </c>
      <c r="B29" s="21" t="str">
        <f>IFERROR(__xludf.DUMMYFUNCTION("""COMPUTED_VALUE"""),"Alternativas de Comunicación")</f>
        <v>Alternativas de Comunicación</v>
      </c>
      <c r="C29" s="23"/>
      <c r="D29" s="21" t="str">
        <f>IFERROR(__xludf.DUMMYFUNCTION("""COMPUTED_VALUE"""),"El Sistema de Archivos /proc")</f>
        <v>El Sistema de Archivos /proc</v>
      </c>
      <c r="E29" s="23"/>
      <c r="F29" s="21" t="str">
        <f>IFERROR(__xludf.DUMMYFUNCTION("""COMPUTED_VALUE"""),"Fundamentos del sistema de archivos /proc. Comparativa entre syscalls y la exportación de datos a través de archivos virtuales.")</f>
        <v>Fundamentos del sistema de archivos /proc. Comparativa entre syscalls y la exportación de datos a través de archivos virtuales.</v>
      </c>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174</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174</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1" t="s">
        <v>99</v>
      </c>
    </row>
    <row r="3" ht="15.75" customHeight="1"/>
    <row r="4" ht="15.75" customHeight="1">
      <c r="B4" s="20" t="s">
        <v>1</v>
      </c>
      <c r="C4" s="21" t="str">
        <f>'Diseño'!C4</f>
        <v>285 - Sistemas Operativos 2</v>
      </c>
      <c r="D4" s="22"/>
      <c r="E4" s="22"/>
      <c r="F4" s="22"/>
      <c r="G4" s="23"/>
    </row>
    <row r="5" ht="15.75" customHeight="1">
      <c r="B5" s="24" t="s">
        <v>11</v>
      </c>
      <c r="C5" s="21">
        <v>11.0</v>
      </c>
      <c r="D5" s="22"/>
      <c r="E5" s="22"/>
      <c r="F5" s="22"/>
      <c r="G5" s="23"/>
    </row>
    <row r="6" ht="15.75" customHeight="1">
      <c r="B6" s="42" t="s">
        <v>59</v>
      </c>
      <c r="C6" s="21">
        <f>H10+H21+H44+H68</f>
        <v>100</v>
      </c>
      <c r="D6" s="22"/>
      <c r="E6" s="22"/>
      <c r="F6" s="22"/>
      <c r="G6" s="23"/>
      <c r="I6" s="5"/>
    </row>
    <row r="7" ht="15.75" customHeight="1">
      <c r="B7" s="42" t="s">
        <v>100</v>
      </c>
      <c r="C7" s="21">
        <f>B49+B60</f>
        <v>0</v>
      </c>
      <c r="D7" s="22"/>
      <c r="E7" s="22"/>
      <c r="F7" s="22"/>
      <c r="G7" s="23"/>
    </row>
    <row r="8" ht="15.75" customHeight="1">
      <c r="B8" s="42" t="s">
        <v>101</v>
      </c>
      <c r="C8" s="21"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2"/>
      <c r="E8" s="22"/>
      <c r="F8" s="22"/>
      <c r="G8" s="23"/>
      <c r="I8" s="5"/>
      <c r="J8" s="5"/>
      <c r="K8" s="5"/>
    </row>
    <row r="9" ht="15.75" customHeight="1"/>
    <row r="10" ht="15.75" customHeight="1">
      <c r="A10" s="43" t="s">
        <v>102</v>
      </c>
      <c r="G10" s="36" t="s">
        <v>61</v>
      </c>
      <c r="H10" s="44">
        <f>B13</f>
        <v>5</v>
      </c>
    </row>
    <row r="11" ht="15.75" customHeight="1">
      <c r="G11" s="28" t="s">
        <v>103</v>
      </c>
    </row>
    <row r="12" ht="15.75" customHeight="1">
      <c r="A12" s="29" t="s">
        <v>104</v>
      </c>
      <c r="B12" s="40" t="s">
        <v>175</v>
      </c>
      <c r="C12" s="22"/>
      <c r="D12" s="22"/>
      <c r="E12" s="22"/>
      <c r="F12" s="22"/>
      <c r="G12" s="22"/>
      <c r="H12" s="23"/>
    </row>
    <row r="13" ht="15.75" customHeight="1">
      <c r="A13" s="67" t="s">
        <v>61</v>
      </c>
      <c r="B13" s="58">
        <f>S.2!B13</f>
        <v>5</v>
      </c>
      <c r="C13" s="22"/>
      <c r="D13" s="22"/>
      <c r="E13" s="22"/>
      <c r="F13" s="22"/>
      <c r="G13" s="22"/>
      <c r="H13" s="23"/>
    </row>
    <row r="14" ht="15.75" customHeight="1">
      <c r="A14" s="68" t="s">
        <v>106</v>
      </c>
      <c r="B14" s="22"/>
      <c r="C14" s="22"/>
      <c r="D14" s="22"/>
      <c r="E14" s="22"/>
      <c r="F14" s="22"/>
      <c r="G14" s="22"/>
      <c r="H14" s="23"/>
    </row>
    <row r="15" ht="15.75" customHeight="1">
      <c r="A15" s="61" t="s">
        <v>176</v>
      </c>
      <c r="B15" s="47"/>
      <c r="C15" s="47"/>
      <c r="D15" s="47"/>
      <c r="E15" s="47"/>
      <c r="F15" s="47"/>
      <c r="G15" s="47"/>
      <c r="H15" s="48"/>
    </row>
    <row r="16" ht="15.75" customHeight="1">
      <c r="A16" s="49"/>
      <c r="B16" s="50"/>
      <c r="C16" s="50"/>
      <c r="D16" s="50"/>
      <c r="E16" s="50"/>
      <c r="F16" s="50"/>
      <c r="G16" s="50"/>
      <c r="H16" s="51"/>
    </row>
    <row r="17" ht="15.75" customHeight="1">
      <c r="A17" s="68" t="s">
        <v>108</v>
      </c>
      <c r="B17" s="22"/>
      <c r="C17" s="22"/>
      <c r="D17" s="22"/>
      <c r="E17" s="22"/>
      <c r="F17" s="22"/>
      <c r="G17" s="22"/>
      <c r="H17" s="23"/>
    </row>
    <row r="18" ht="15.75" customHeight="1">
      <c r="A18" s="52" t="s">
        <v>177</v>
      </c>
      <c r="B18" s="47"/>
      <c r="C18" s="47"/>
      <c r="D18" s="47"/>
      <c r="E18" s="47"/>
      <c r="F18" s="47"/>
      <c r="G18" s="47"/>
      <c r="H18" s="48"/>
    </row>
    <row r="19" ht="15.75" customHeight="1">
      <c r="A19" s="49"/>
      <c r="B19" s="50"/>
      <c r="C19" s="50"/>
      <c r="D19" s="50"/>
      <c r="E19" s="50"/>
      <c r="F19" s="50"/>
      <c r="G19" s="50"/>
      <c r="H19" s="51"/>
    </row>
    <row r="20" ht="15.75" customHeight="1"/>
    <row r="21" ht="15.75" customHeight="1">
      <c r="A21" s="43" t="s">
        <v>110</v>
      </c>
      <c r="G21" s="36" t="s">
        <v>61</v>
      </c>
      <c r="H21" s="44">
        <f>D39+D40+D41+D42</f>
        <v>55</v>
      </c>
      <c r="I21" s="5"/>
    </row>
    <row r="22" ht="15.75" customHeight="1">
      <c r="G22" s="28" t="s">
        <v>111</v>
      </c>
    </row>
    <row r="23" ht="15.75" customHeight="1">
      <c r="A23" s="32" t="s">
        <v>112</v>
      </c>
      <c r="B23" s="33" t="s">
        <v>53</v>
      </c>
      <c r="C23" s="22"/>
      <c r="D23" s="22"/>
      <c r="E23" s="22"/>
      <c r="F23" s="22"/>
      <c r="G23" s="22"/>
      <c r="H23" s="23"/>
    </row>
    <row r="24" ht="15.75" customHeight="1">
      <c r="A24" s="32" t="s">
        <v>112</v>
      </c>
      <c r="B24" s="33" t="s">
        <v>53</v>
      </c>
      <c r="C24" s="22"/>
      <c r="D24" s="22"/>
      <c r="E24" s="22"/>
      <c r="F24" s="22"/>
      <c r="G24" s="22"/>
      <c r="H24" s="23"/>
    </row>
    <row r="25" ht="15.75" customHeight="1"/>
    <row r="26" ht="15.75" customHeight="1">
      <c r="A26" s="53" t="s">
        <v>113</v>
      </c>
      <c r="B26" s="5"/>
      <c r="C26" s="5"/>
      <c r="D26" s="5"/>
    </row>
    <row r="27" ht="15.75" customHeight="1">
      <c r="A27" s="54" t="s">
        <v>5</v>
      </c>
      <c r="B27" s="55" t="s">
        <v>114</v>
      </c>
      <c r="C27" s="23"/>
      <c r="D27" s="55" t="s">
        <v>115</v>
      </c>
      <c r="E27" s="23"/>
      <c r="F27" s="55" t="s">
        <v>116</v>
      </c>
      <c r="G27" s="22"/>
      <c r="H27" s="23"/>
    </row>
    <row r="28" ht="15.75" customHeight="1">
      <c r="A28" s="24">
        <v>1.0</v>
      </c>
      <c r="B28" s="21" t="str">
        <f>IFERROR(__xludf.DUMMYFUNCTION("FILTER('Diseño'!D:D,'Diseño'!H:H=$C$5)"),"Alternativas de Comunicación")</f>
        <v>Alternativas de Comunicación</v>
      </c>
      <c r="C28" s="23"/>
      <c r="D28" s="21" t="str">
        <f>IFERROR(__xludf.DUMMYFUNCTION("FILTER('Diseño'!E:E,'Diseño'!H:H=$C$5)"),"Exposicion de datos vía /proc")</f>
        <v>Exposicion de datos vía /proc</v>
      </c>
      <c r="E28" s="23"/>
      <c r="F28" s="21" t="str">
        <f>IFERROR(__xludf.DUMMYFUNCTION("FILTER('Diseño'!F:F,'Diseño'!H:H=$C$5)"),"Análisis de /proc/meminfo y /proc/stat y cómo exponer estas métricas en el kernel")</f>
        <v>Análisis de /proc/meminfo y /proc/stat y cómo exponer estas métricas en el kernel</v>
      </c>
      <c r="G28" s="22"/>
      <c r="H28" s="23"/>
    </row>
    <row r="29" ht="15.75" customHeight="1">
      <c r="A29" s="24">
        <v>2.0</v>
      </c>
      <c r="B29" s="21"/>
      <c r="C29" s="23"/>
      <c r="D29" s="21"/>
      <c r="E29" s="23"/>
      <c r="F29" s="21"/>
      <c r="G29" s="22"/>
      <c r="H29" s="23"/>
    </row>
    <row r="30" ht="15.75" customHeight="1">
      <c r="A30" s="24">
        <v>3.0</v>
      </c>
      <c r="B30" s="21"/>
      <c r="C30" s="23"/>
      <c r="D30" s="21"/>
      <c r="E30" s="23"/>
      <c r="F30" s="21"/>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3" t="s">
        <v>117</v>
      </c>
    </row>
    <row r="37" ht="15.75" customHeight="1">
      <c r="A37" s="5"/>
      <c r="B37" s="5"/>
      <c r="C37" s="5"/>
      <c r="D37" s="5"/>
      <c r="E37" s="5"/>
      <c r="F37" s="5"/>
      <c r="G37" s="5"/>
      <c r="H37" s="5"/>
    </row>
    <row r="38" ht="15.75" customHeight="1">
      <c r="A38" s="54" t="s">
        <v>118</v>
      </c>
      <c r="B38" s="54" t="s">
        <v>119</v>
      </c>
      <c r="C38" s="56" t="s">
        <v>120</v>
      </c>
      <c r="D38" s="57" t="s">
        <v>61</v>
      </c>
      <c r="E38" s="22"/>
      <c r="F38" s="22"/>
      <c r="G38" s="22"/>
      <c r="H38" s="23"/>
    </row>
    <row r="39" ht="15.75" customHeight="1">
      <c r="A39" s="24" t="s">
        <v>121</v>
      </c>
      <c r="B39" s="24" t="s">
        <v>122</v>
      </c>
      <c r="C39" s="24"/>
      <c r="D39" s="58">
        <v>25.0</v>
      </c>
      <c r="E39" s="22"/>
      <c r="F39" s="22"/>
      <c r="G39" s="22"/>
      <c r="H39" s="23"/>
    </row>
    <row r="40" ht="15.75" customHeight="1">
      <c r="A40" s="24" t="s">
        <v>123</v>
      </c>
      <c r="B40" s="24" t="s">
        <v>122</v>
      </c>
      <c r="C40" s="24" t="s">
        <v>124</v>
      </c>
      <c r="D40" s="58">
        <v>5.0</v>
      </c>
      <c r="E40" s="22"/>
      <c r="F40" s="22"/>
      <c r="G40" s="22"/>
      <c r="H40" s="23"/>
    </row>
    <row r="41" ht="15.75" customHeight="1">
      <c r="A41" s="24" t="s">
        <v>125</v>
      </c>
      <c r="B41" s="24" t="s">
        <v>126</v>
      </c>
      <c r="C41" s="24"/>
      <c r="D41" s="59">
        <v>0.0</v>
      </c>
      <c r="E41" s="22"/>
      <c r="F41" s="22"/>
      <c r="G41" s="22"/>
      <c r="H41" s="23"/>
    </row>
    <row r="42" ht="15.75" customHeight="1">
      <c r="A42" s="24" t="s">
        <v>127</v>
      </c>
      <c r="B42" s="24" t="s">
        <v>122</v>
      </c>
      <c r="C42" s="24"/>
      <c r="D42" s="59">
        <v>25.0</v>
      </c>
      <c r="E42" s="22"/>
      <c r="F42" s="22"/>
      <c r="G42" s="22"/>
      <c r="H42" s="23"/>
    </row>
    <row r="43" ht="15.75" customHeight="1"/>
    <row r="44" ht="15.75" customHeight="1">
      <c r="A44" s="43" t="s">
        <v>128</v>
      </c>
      <c r="G44" s="36" t="s">
        <v>61</v>
      </c>
      <c r="H44" s="44">
        <f>B50+B61</f>
        <v>30</v>
      </c>
    </row>
    <row r="45" ht="15.75" customHeight="1">
      <c r="G45" s="28" t="s">
        <v>129</v>
      </c>
    </row>
    <row r="46" ht="15.75" customHeight="1">
      <c r="A46" s="28" t="s">
        <v>130</v>
      </c>
    </row>
    <row r="47" ht="15.75" customHeight="1">
      <c r="A47" s="32" t="s">
        <v>131</v>
      </c>
      <c r="B47" s="33" t="s">
        <v>174</v>
      </c>
      <c r="C47" s="22"/>
      <c r="D47" s="22"/>
      <c r="E47" s="22"/>
      <c r="F47" s="22"/>
      <c r="G47" s="22"/>
      <c r="H47" s="23"/>
    </row>
    <row r="48" ht="15.75" customHeight="1">
      <c r="A48" s="32" t="s">
        <v>133</v>
      </c>
      <c r="B48" s="21" t="str">
        <f>S.2!B48</f>
        <v>Cuestionario</v>
      </c>
      <c r="C48" s="22"/>
      <c r="D48" s="22"/>
      <c r="E48" s="22"/>
      <c r="F48" s="22"/>
      <c r="G48" s="22"/>
      <c r="H48" s="23"/>
    </row>
    <row r="49" ht="15.75" customHeight="1">
      <c r="A49" s="32" t="s">
        <v>100</v>
      </c>
      <c r="B49" s="60">
        <v>0.0</v>
      </c>
      <c r="C49" s="22"/>
      <c r="D49" s="22"/>
      <c r="E49" s="22"/>
      <c r="F49" s="22"/>
      <c r="G49" s="22"/>
      <c r="H49" s="23"/>
    </row>
    <row r="50" ht="15.75" customHeight="1">
      <c r="A50" s="32" t="s">
        <v>61</v>
      </c>
      <c r="B50" s="21">
        <f>S.2!B50</f>
        <v>5</v>
      </c>
      <c r="C50" s="22"/>
      <c r="D50" s="22"/>
      <c r="E50" s="22"/>
      <c r="F50" s="22"/>
      <c r="G50" s="22"/>
      <c r="H50" s="23"/>
    </row>
    <row r="51" ht="15.75" customHeight="1">
      <c r="A51" s="38" t="s">
        <v>135</v>
      </c>
      <c r="B51" s="5"/>
      <c r="C51" s="5"/>
      <c r="D51" s="5"/>
      <c r="E51" s="5"/>
      <c r="F51" s="5"/>
      <c r="G51" s="5"/>
      <c r="H51" s="5"/>
    </row>
    <row r="52" ht="15.75" customHeight="1">
      <c r="A52" s="45" t="s">
        <v>136</v>
      </c>
      <c r="B52" s="22"/>
      <c r="C52" s="22"/>
      <c r="D52" s="22"/>
      <c r="E52" s="22"/>
      <c r="F52" s="22"/>
      <c r="G52" s="22"/>
      <c r="H52" s="23"/>
    </row>
    <row r="53" ht="15.75" customHeight="1">
      <c r="A53" s="69" t="str">
        <f>S.2!A53</f>
        <v>Cuestionario de 10 preguntas sobre los temas impartidos durante la clase de laboratorio</v>
      </c>
      <c r="B53" s="47"/>
      <c r="C53" s="47"/>
      <c r="D53" s="47"/>
      <c r="E53" s="47"/>
      <c r="F53" s="47"/>
      <c r="G53" s="47"/>
      <c r="H53" s="48"/>
    </row>
    <row r="54" ht="15.75" customHeight="1">
      <c r="A54" s="62"/>
      <c r="H54" s="63"/>
    </row>
    <row r="55" ht="15.75" customHeight="1">
      <c r="A55" s="49"/>
      <c r="B55" s="50"/>
      <c r="C55" s="50"/>
      <c r="D55" s="50"/>
      <c r="E55" s="50"/>
      <c r="F55" s="50"/>
      <c r="G55" s="50"/>
      <c r="H55" s="51"/>
    </row>
    <row r="56" ht="15.75" customHeight="1"/>
    <row r="57" ht="15.75" customHeight="1">
      <c r="A57" s="28" t="s">
        <v>138</v>
      </c>
    </row>
    <row r="58" ht="15.75" customHeight="1">
      <c r="A58" s="32" t="s">
        <v>131</v>
      </c>
      <c r="B58" s="33" t="s">
        <v>174</v>
      </c>
      <c r="C58" s="22"/>
      <c r="D58" s="22"/>
      <c r="E58" s="22"/>
      <c r="F58" s="22"/>
      <c r="G58" s="22"/>
      <c r="H58" s="23"/>
    </row>
    <row r="59" ht="15.75" customHeight="1">
      <c r="A59" s="32" t="s">
        <v>133</v>
      </c>
      <c r="B59" s="21" t="str">
        <f>S.2!B59</f>
        <v>otros</v>
      </c>
      <c r="C59" s="22"/>
      <c r="D59" s="22"/>
      <c r="E59" s="22"/>
      <c r="F59" s="22"/>
      <c r="G59" s="22"/>
      <c r="H59" s="23"/>
    </row>
    <row r="60" ht="15.75" customHeight="1">
      <c r="A60" s="32" t="s">
        <v>100</v>
      </c>
      <c r="B60" s="60"/>
      <c r="C60" s="22"/>
      <c r="D60" s="22"/>
      <c r="E60" s="22"/>
      <c r="F60" s="22"/>
      <c r="G60" s="22"/>
      <c r="H60" s="23"/>
    </row>
    <row r="61" ht="15.75" customHeight="1">
      <c r="A61" s="32" t="s">
        <v>61</v>
      </c>
      <c r="B61" s="60">
        <f>S.2!B61</f>
        <v>25</v>
      </c>
      <c r="C61" s="22"/>
      <c r="D61" s="22"/>
      <c r="E61" s="22"/>
      <c r="F61" s="22"/>
      <c r="G61" s="22"/>
      <c r="H61" s="23"/>
    </row>
    <row r="62" ht="15.75" customHeight="1">
      <c r="A62" s="65" t="s">
        <v>141</v>
      </c>
      <c r="B62" s="5"/>
      <c r="C62" s="5"/>
      <c r="D62" s="5"/>
      <c r="E62" s="5"/>
      <c r="F62" s="5"/>
      <c r="G62" s="5"/>
      <c r="H62" s="5"/>
    </row>
    <row r="63" ht="15.75" customHeight="1">
      <c r="A63" s="45" t="s">
        <v>136</v>
      </c>
      <c r="B63" s="22"/>
      <c r="C63" s="22"/>
      <c r="D63" s="22"/>
      <c r="E63" s="22"/>
      <c r="F63" s="22"/>
      <c r="G63" s="22"/>
      <c r="H63" s="23"/>
    </row>
    <row r="64" ht="15.75" customHeight="1">
      <c r="A64" s="69" t="str">
        <f>S.2!A64</f>
        <v>Un ejemplo de aplicacion sobre el tema visto durante la semana, el mismo se explica paso a paso para reforzar los temas teoricos.</v>
      </c>
      <c r="B64" s="47"/>
      <c r="C64" s="47"/>
      <c r="D64" s="47"/>
      <c r="E64" s="47"/>
      <c r="F64" s="47"/>
      <c r="G64" s="47"/>
      <c r="H64" s="48"/>
    </row>
    <row r="65" ht="15.75" customHeight="1">
      <c r="A65" s="62"/>
      <c r="H65" s="63"/>
    </row>
    <row r="66" ht="15.75" customHeight="1">
      <c r="A66" s="49"/>
      <c r="B66" s="50"/>
      <c r="C66" s="50"/>
      <c r="D66" s="50"/>
      <c r="E66" s="50"/>
      <c r="F66" s="50"/>
      <c r="G66" s="50"/>
      <c r="H66" s="51"/>
    </row>
    <row r="67" ht="15.75" customHeight="1"/>
    <row r="68" ht="15.75" customHeight="1">
      <c r="A68" s="43" t="s">
        <v>143</v>
      </c>
      <c r="G68" s="36" t="s">
        <v>61</v>
      </c>
      <c r="H68" s="44">
        <f>B70</f>
        <v>10</v>
      </c>
    </row>
    <row r="69" ht="15.75" customHeight="1">
      <c r="G69" s="28" t="s">
        <v>144</v>
      </c>
    </row>
    <row r="70" ht="15.75" customHeight="1">
      <c r="A70" s="32" t="s">
        <v>61</v>
      </c>
      <c r="B70" s="64">
        <v>10.0</v>
      </c>
      <c r="C70" s="22"/>
      <c r="D70" s="22"/>
      <c r="E70" s="22"/>
      <c r="F70" s="22"/>
      <c r="G70" s="22"/>
      <c r="H70" s="23"/>
    </row>
    <row r="71" ht="15.75" customHeight="1">
      <c r="A71" s="57" t="s">
        <v>145</v>
      </c>
      <c r="B71" s="22"/>
      <c r="C71" s="22"/>
      <c r="D71" s="22"/>
      <c r="E71" s="22"/>
      <c r="F71" s="22"/>
      <c r="G71" s="22"/>
      <c r="H71" s="23"/>
    </row>
    <row r="72" ht="15.75" customHeight="1">
      <c r="A72" s="69" t="str">
        <f>S.2!A72</f>
        <v>Resolver dudas sobre la clase, de practicas o de tareas</v>
      </c>
      <c r="B72" s="47"/>
      <c r="C72" s="47"/>
      <c r="D72" s="47"/>
      <c r="E72" s="47"/>
      <c r="F72" s="47"/>
      <c r="G72" s="47"/>
      <c r="H72" s="48"/>
    </row>
    <row r="73" ht="15.75" customHeight="1">
      <c r="A73" s="49"/>
      <c r="B73" s="50"/>
      <c r="C73" s="50"/>
      <c r="D73" s="50"/>
      <c r="E73" s="50"/>
      <c r="F73" s="50"/>
      <c r="G73" s="50"/>
      <c r="H73" s="51"/>
    </row>
    <row r="74" ht="15.75" customHeight="1">
      <c r="A74" s="28" t="s">
        <v>147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1" t="s">
        <v>178</v>
      </c>
    </row>
    <row r="3" ht="15.75" customHeight="1"/>
    <row r="4" ht="15.75" customHeight="1">
      <c r="B4" s="20" t="s">
        <v>1</v>
      </c>
      <c r="C4" s="21" t="str">
        <f>'Diseño'!C4</f>
        <v>285 - Sistemas Operativos 2</v>
      </c>
      <c r="D4" s="22"/>
      <c r="E4" s="22"/>
      <c r="F4" s="22"/>
      <c r="G4" s="23"/>
    </row>
    <row r="5" ht="15.75" customHeight="1">
      <c r="B5" s="42" t="s">
        <v>59</v>
      </c>
      <c r="C5" s="21">
        <f>H9+H26+H43</f>
        <v>40</v>
      </c>
      <c r="D5" s="22"/>
      <c r="E5" s="22"/>
      <c r="F5" s="22"/>
      <c r="G5" s="23"/>
    </row>
    <row r="6" ht="15.75" customHeight="1">
      <c r="B6" s="42" t="s">
        <v>100</v>
      </c>
      <c r="C6" s="21">
        <f>F9+F26+F43</f>
        <v>80</v>
      </c>
      <c r="D6" s="22"/>
      <c r="E6" s="22"/>
      <c r="F6" s="22"/>
      <c r="G6" s="23"/>
    </row>
    <row r="7" ht="15.75" customHeight="1">
      <c r="B7" s="6" t="s">
        <v>179</v>
      </c>
    </row>
    <row r="8" ht="15.75" customHeight="1"/>
    <row r="9" ht="15.75" customHeight="1">
      <c r="A9" s="43" t="s">
        <v>180</v>
      </c>
      <c r="E9" s="36" t="s">
        <v>100</v>
      </c>
      <c r="F9" s="70">
        <v>80.0</v>
      </c>
      <c r="G9" s="36" t="s">
        <v>181</v>
      </c>
      <c r="H9" s="70">
        <v>40.0</v>
      </c>
    </row>
    <row r="10" ht="15.75" customHeight="1">
      <c r="A10" s="6" t="s">
        <v>122</v>
      </c>
    </row>
    <row r="11" ht="15.75" customHeight="1">
      <c r="A11" s="54" t="s">
        <v>112</v>
      </c>
      <c r="B11" s="33" t="s">
        <v>139</v>
      </c>
      <c r="C11" s="22"/>
      <c r="D11" s="22"/>
      <c r="E11" s="22"/>
      <c r="F11" s="22"/>
      <c r="G11" s="22"/>
      <c r="H11" s="23"/>
    </row>
    <row r="12" ht="15.75" customHeight="1">
      <c r="A12" s="54" t="s">
        <v>112</v>
      </c>
      <c r="B12" s="33" t="s">
        <v>151</v>
      </c>
      <c r="C12" s="22"/>
      <c r="D12" s="22"/>
      <c r="E12" s="22"/>
      <c r="F12" s="22"/>
      <c r="G12" s="22"/>
      <c r="H12" s="23"/>
    </row>
    <row r="13" ht="15.75" customHeight="1">
      <c r="A13" s="54" t="s">
        <v>112</v>
      </c>
      <c r="B13" s="33" t="s">
        <v>182</v>
      </c>
      <c r="C13" s="22"/>
      <c r="D13" s="22"/>
      <c r="E13" s="22"/>
      <c r="F13" s="22"/>
      <c r="G13" s="22"/>
      <c r="H13" s="23"/>
    </row>
    <row r="14" ht="15.75" customHeight="1">
      <c r="A14" s="54" t="s">
        <v>183</v>
      </c>
      <c r="B14" s="33" t="s">
        <v>184</v>
      </c>
      <c r="C14" s="22"/>
      <c r="D14" s="22"/>
      <c r="E14" s="22"/>
      <c r="F14" s="22"/>
      <c r="G14" s="22"/>
      <c r="H14" s="23"/>
    </row>
    <row r="15" ht="15.75" customHeight="1">
      <c r="A15" s="45" t="s">
        <v>185</v>
      </c>
      <c r="B15" s="22"/>
      <c r="C15" s="22"/>
      <c r="D15" s="22"/>
      <c r="E15" s="22"/>
      <c r="F15" s="22"/>
      <c r="G15" s="22"/>
      <c r="H15" s="23"/>
    </row>
    <row r="16" ht="15.75" customHeight="1">
      <c r="A16" s="66" t="s">
        <v>186</v>
      </c>
      <c r="B16" s="47"/>
      <c r="C16" s="47"/>
      <c r="D16" s="47"/>
      <c r="E16" s="47"/>
      <c r="F16" s="47"/>
      <c r="G16" s="47"/>
      <c r="H16" s="48"/>
    </row>
    <row r="17" ht="15.75" customHeight="1">
      <c r="A17" s="62"/>
      <c r="H17" s="63"/>
    </row>
    <row r="18" ht="15.75" customHeight="1">
      <c r="A18" s="49"/>
      <c r="B18" s="50"/>
      <c r="C18" s="50"/>
      <c r="D18" s="50"/>
      <c r="E18" s="50"/>
      <c r="F18" s="50"/>
      <c r="G18" s="50"/>
      <c r="H18" s="51"/>
    </row>
    <row r="19" ht="15.75" customHeight="1">
      <c r="A19" s="45" t="s">
        <v>187</v>
      </c>
      <c r="B19" s="22"/>
      <c r="C19" s="22"/>
      <c r="D19" s="22"/>
      <c r="E19" s="22"/>
      <c r="F19" s="22"/>
      <c r="G19" s="22"/>
      <c r="H19" s="23"/>
    </row>
    <row r="20" ht="15.75" customHeight="1">
      <c r="A20" s="71" t="s">
        <v>188</v>
      </c>
      <c r="B20" s="47"/>
      <c r="C20" s="47"/>
      <c r="D20" s="47"/>
      <c r="E20" s="47"/>
      <c r="F20" s="47"/>
      <c r="G20" s="47"/>
      <c r="H20" s="48"/>
    </row>
    <row r="21" ht="15.75" customHeight="1">
      <c r="A21" s="62"/>
      <c r="H21" s="63"/>
    </row>
    <row r="22" ht="15.75" customHeight="1">
      <c r="A22" s="62"/>
      <c r="H22" s="63"/>
    </row>
    <row r="23" ht="15.75" customHeight="1">
      <c r="A23" s="49"/>
      <c r="B23" s="50"/>
      <c r="C23" s="50"/>
      <c r="D23" s="50"/>
      <c r="E23" s="50"/>
      <c r="F23" s="50"/>
      <c r="G23" s="50"/>
      <c r="H23" s="51"/>
    </row>
    <row r="24" ht="15.75" customHeight="1"/>
    <row r="25" ht="15.75" customHeight="1"/>
    <row r="26" ht="15.75" customHeight="1">
      <c r="A26" s="43" t="s">
        <v>189</v>
      </c>
      <c r="E26" s="36" t="s">
        <v>100</v>
      </c>
      <c r="F26" s="44"/>
      <c r="G26" s="36" t="s">
        <v>181</v>
      </c>
      <c r="H26" s="44"/>
    </row>
    <row r="27" ht="15.75" customHeight="1">
      <c r="A27" s="6" t="s">
        <v>122</v>
      </c>
    </row>
    <row r="28" ht="15.75" customHeight="1">
      <c r="A28" s="54" t="s">
        <v>112</v>
      </c>
      <c r="B28" s="21"/>
      <c r="C28" s="22"/>
      <c r="D28" s="22"/>
      <c r="E28" s="22"/>
      <c r="F28" s="22"/>
      <c r="G28" s="22"/>
      <c r="H28" s="23"/>
    </row>
    <row r="29" ht="15.75" customHeight="1">
      <c r="A29" s="54" t="s">
        <v>112</v>
      </c>
      <c r="B29" s="21"/>
      <c r="C29" s="22"/>
      <c r="D29" s="22"/>
      <c r="E29" s="22"/>
      <c r="F29" s="22"/>
      <c r="G29" s="22"/>
      <c r="H29" s="23"/>
    </row>
    <row r="30" ht="15.75" customHeight="1">
      <c r="A30" s="54" t="s">
        <v>112</v>
      </c>
      <c r="B30" s="21"/>
      <c r="C30" s="22"/>
      <c r="D30" s="22"/>
      <c r="E30" s="22"/>
      <c r="F30" s="22"/>
      <c r="G30" s="22"/>
      <c r="H30" s="23"/>
    </row>
    <row r="31" ht="15.75" customHeight="1">
      <c r="A31" s="54" t="s">
        <v>183</v>
      </c>
      <c r="B31" s="21"/>
      <c r="C31" s="22"/>
      <c r="D31" s="22"/>
      <c r="E31" s="22"/>
      <c r="F31" s="22"/>
      <c r="G31" s="22"/>
      <c r="H31" s="23"/>
    </row>
    <row r="32" ht="15.75" customHeight="1">
      <c r="A32" s="45" t="s">
        <v>185</v>
      </c>
      <c r="B32" s="22"/>
      <c r="C32" s="22"/>
      <c r="D32" s="22"/>
      <c r="E32" s="22"/>
      <c r="F32" s="22"/>
      <c r="G32" s="22"/>
      <c r="H32" s="23"/>
    </row>
    <row r="33" ht="15.75" customHeight="1">
      <c r="A33" s="69"/>
      <c r="B33" s="47"/>
      <c r="C33" s="47"/>
      <c r="D33" s="47"/>
      <c r="E33" s="47"/>
      <c r="F33" s="47"/>
      <c r="G33" s="47"/>
      <c r="H33" s="48"/>
    </row>
    <row r="34" ht="15.75" customHeight="1">
      <c r="A34" s="62"/>
      <c r="H34" s="63"/>
    </row>
    <row r="35" ht="15.75" customHeight="1">
      <c r="A35" s="49"/>
      <c r="B35" s="50"/>
      <c r="C35" s="50"/>
      <c r="D35" s="50"/>
      <c r="E35" s="50"/>
      <c r="F35" s="50"/>
      <c r="G35" s="50"/>
      <c r="H35" s="51"/>
    </row>
    <row r="36" ht="15.75" customHeight="1">
      <c r="A36" s="45" t="s">
        <v>187</v>
      </c>
      <c r="B36" s="22"/>
      <c r="C36" s="22"/>
      <c r="D36" s="22"/>
      <c r="E36" s="22"/>
      <c r="F36" s="22"/>
      <c r="G36" s="22"/>
      <c r="H36" s="23"/>
    </row>
    <row r="37" ht="15.75" customHeight="1">
      <c r="A37" s="69"/>
      <c r="B37" s="47"/>
      <c r="C37" s="47"/>
      <c r="D37" s="47"/>
      <c r="E37" s="47"/>
      <c r="F37" s="47"/>
      <c r="G37" s="47"/>
      <c r="H37" s="48"/>
    </row>
    <row r="38" ht="15.75" customHeight="1">
      <c r="A38" s="62"/>
      <c r="H38" s="63"/>
    </row>
    <row r="39" ht="15.75" customHeight="1">
      <c r="A39" s="62"/>
      <c r="H39" s="63"/>
    </row>
    <row r="40" ht="15.75" customHeight="1">
      <c r="A40" s="49"/>
      <c r="B40" s="50"/>
      <c r="C40" s="50"/>
      <c r="D40" s="50"/>
      <c r="E40" s="50"/>
      <c r="F40" s="50"/>
      <c r="G40" s="50"/>
      <c r="H40" s="51"/>
    </row>
    <row r="41" ht="15.75" customHeight="1"/>
    <row r="42" ht="15.75" customHeight="1"/>
    <row r="43" ht="15.75" customHeight="1">
      <c r="A43" s="43" t="s">
        <v>190</v>
      </c>
      <c r="E43" s="36" t="s">
        <v>100</v>
      </c>
      <c r="F43" s="44"/>
      <c r="G43" s="36" t="s">
        <v>181</v>
      </c>
      <c r="H43" s="44"/>
    </row>
    <row r="44" ht="15.75" customHeight="1">
      <c r="A44" s="38" t="s">
        <v>191</v>
      </c>
    </row>
    <row r="45" ht="15.75" customHeight="1">
      <c r="A45" s="54" t="s">
        <v>112</v>
      </c>
      <c r="B45" s="21"/>
      <c r="C45" s="22"/>
      <c r="D45" s="22"/>
      <c r="E45" s="22"/>
      <c r="F45" s="22"/>
      <c r="G45" s="22"/>
      <c r="H45" s="23"/>
    </row>
    <row r="46" ht="15.75" customHeight="1">
      <c r="A46" s="54" t="s">
        <v>112</v>
      </c>
      <c r="B46" s="21"/>
      <c r="C46" s="22"/>
      <c r="D46" s="22"/>
      <c r="E46" s="22"/>
      <c r="F46" s="22"/>
      <c r="G46" s="22"/>
      <c r="H46" s="23"/>
    </row>
    <row r="47" ht="15.75" customHeight="1">
      <c r="A47" s="54" t="s">
        <v>112</v>
      </c>
      <c r="B47" s="21"/>
      <c r="C47" s="22"/>
      <c r="D47" s="22"/>
      <c r="E47" s="22"/>
      <c r="F47" s="22"/>
      <c r="G47" s="22"/>
      <c r="H47" s="23"/>
    </row>
    <row r="48" ht="15.75" customHeight="1">
      <c r="A48" s="54" t="s">
        <v>183</v>
      </c>
      <c r="B48" s="21"/>
      <c r="C48" s="22"/>
      <c r="D48" s="22"/>
      <c r="E48" s="22"/>
      <c r="F48" s="22"/>
      <c r="G48" s="22"/>
      <c r="H48" s="23"/>
    </row>
    <row r="49" ht="15.75" customHeight="1">
      <c r="A49" s="45" t="s">
        <v>185</v>
      </c>
      <c r="B49" s="22"/>
      <c r="C49" s="22"/>
      <c r="D49" s="22"/>
      <c r="E49" s="22"/>
      <c r="F49" s="22"/>
      <c r="G49" s="22"/>
      <c r="H49" s="23"/>
    </row>
    <row r="50" ht="15.75" customHeight="1">
      <c r="A50" s="69"/>
      <c r="B50" s="47"/>
      <c r="C50" s="47"/>
      <c r="D50" s="47"/>
      <c r="E50" s="47"/>
      <c r="F50" s="47"/>
      <c r="G50" s="47"/>
      <c r="H50" s="48"/>
    </row>
    <row r="51" ht="15.75" customHeight="1">
      <c r="A51" s="62"/>
      <c r="H51" s="63"/>
    </row>
    <row r="52" ht="15.75" customHeight="1">
      <c r="A52" s="49"/>
      <c r="B52" s="50"/>
      <c r="C52" s="50"/>
      <c r="D52" s="50"/>
      <c r="E52" s="50"/>
      <c r="F52" s="50"/>
      <c r="G52" s="50"/>
      <c r="H52" s="51"/>
    </row>
    <row r="53" ht="15.75" customHeight="1">
      <c r="A53" s="45" t="s">
        <v>187</v>
      </c>
      <c r="B53" s="22"/>
      <c r="C53" s="22"/>
      <c r="D53" s="22"/>
      <c r="E53" s="22"/>
      <c r="F53" s="22"/>
      <c r="G53" s="22"/>
      <c r="H53" s="23"/>
    </row>
    <row r="54" ht="15.75" customHeight="1">
      <c r="A54" s="69"/>
      <c r="B54" s="47"/>
      <c r="C54" s="47"/>
      <c r="D54" s="47"/>
      <c r="E54" s="47"/>
      <c r="F54" s="47"/>
      <c r="G54" s="47"/>
      <c r="H54" s="48"/>
    </row>
    <row r="55" ht="15.75" customHeight="1">
      <c r="A55" s="62"/>
      <c r="H55" s="63"/>
    </row>
    <row r="56" ht="15.75" customHeight="1">
      <c r="A56" s="62"/>
      <c r="H56" s="63"/>
    </row>
    <row r="57" ht="15.75" customHeight="1">
      <c r="A57" s="49"/>
      <c r="B57" s="50"/>
      <c r="C57" s="50"/>
      <c r="D57" s="50"/>
      <c r="E57" s="50"/>
      <c r="F57" s="50"/>
      <c r="G57" s="50"/>
      <c r="H57" s="5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1" t="s">
        <v>192</v>
      </c>
    </row>
    <row r="3" ht="15.75" customHeight="1"/>
    <row r="4" ht="15.75" customHeight="1">
      <c r="B4" s="20" t="s">
        <v>1</v>
      </c>
      <c r="C4" s="21" t="str">
        <f>'Diseño'!C4</f>
        <v>285 - Sistemas Operativos 2</v>
      </c>
      <c r="D4" s="22"/>
      <c r="E4" s="22"/>
      <c r="F4" s="22"/>
      <c r="G4" s="23"/>
    </row>
    <row r="5" ht="15.75" customHeight="1">
      <c r="B5" s="42" t="s">
        <v>59</v>
      </c>
      <c r="C5" s="21">
        <f>H9+H26+H43+H60+H77+H94+H111</f>
        <v>34</v>
      </c>
      <c r="D5" s="22"/>
      <c r="E5" s="22"/>
      <c r="F5" s="22"/>
      <c r="G5" s="23"/>
    </row>
    <row r="6" ht="15.75" customHeight="1">
      <c r="B6" s="42" t="s">
        <v>100</v>
      </c>
      <c r="C6" s="21">
        <f>F9+F26+F43+F60+F77+F94+F111</f>
        <v>20</v>
      </c>
      <c r="D6" s="22"/>
      <c r="E6" s="22"/>
      <c r="F6" s="22"/>
      <c r="G6" s="23"/>
    </row>
    <row r="7" ht="15.75" customHeight="1">
      <c r="B7" s="6" t="s">
        <v>193</v>
      </c>
    </row>
    <row r="8" ht="15.75" customHeight="1"/>
    <row r="9" ht="15.75" customHeight="1">
      <c r="A9" s="43" t="s">
        <v>194</v>
      </c>
      <c r="E9" s="36" t="s">
        <v>100</v>
      </c>
      <c r="F9" s="70">
        <v>2.0</v>
      </c>
      <c r="G9" s="36" t="s">
        <v>181</v>
      </c>
      <c r="H9" s="70">
        <v>2.0</v>
      </c>
    </row>
    <row r="10" ht="15.75" customHeight="1">
      <c r="A10" s="6" t="s">
        <v>195</v>
      </c>
    </row>
    <row r="11" ht="15.75" customHeight="1">
      <c r="A11" s="54" t="s">
        <v>112</v>
      </c>
      <c r="B11" s="33" t="s">
        <v>132</v>
      </c>
      <c r="C11" s="22"/>
      <c r="D11" s="22"/>
      <c r="E11" s="22"/>
      <c r="F11" s="22"/>
      <c r="G11" s="22"/>
      <c r="H11" s="23"/>
    </row>
    <row r="12" ht="15.75" customHeight="1">
      <c r="A12" s="54" t="s">
        <v>112</v>
      </c>
      <c r="B12" s="33" t="s">
        <v>174</v>
      </c>
      <c r="C12" s="22"/>
      <c r="D12" s="22"/>
      <c r="E12" s="22"/>
      <c r="F12" s="22"/>
      <c r="G12" s="22"/>
      <c r="H12" s="23"/>
    </row>
    <row r="13" ht="15.75" customHeight="1">
      <c r="A13" s="54" t="s">
        <v>112</v>
      </c>
      <c r="B13" s="33" t="s">
        <v>139</v>
      </c>
      <c r="C13" s="22"/>
      <c r="D13" s="22"/>
      <c r="E13" s="22"/>
      <c r="F13" s="22"/>
      <c r="G13" s="22"/>
      <c r="H13" s="23"/>
    </row>
    <row r="14" ht="15.75" customHeight="1">
      <c r="A14" s="72" t="s">
        <v>183</v>
      </c>
      <c r="B14" s="40" t="s">
        <v>196</v>
      </c>
      <c r="C14" s="22"/>
      <c r="D14" s="22"/>
      <c r="E14" s="22"/>
      <c r="F14" s="22"/>
      <c r="G14" s="22"/>
      <c r="H14" s="23"/>
    </row>
    <row r="15" ht="15.75" customHeight="1">
      <c r="A15" s="68" t="s">
        <v>185</v>
      </c>
      <c r="B15" s="22"/>
      <c r="C15" s="22"/>
      <c r="D15" s="22"/>
      <c r="E15" s="22"/>
      <c r="F15" s="22"/>
      <c r="G15" s="22"/>
      <c r="H15" s="23"/>
    </row>
    <row r="16" ht="15.75" customHeight="1">
      <c r="A16" s="52" t="s">
        <v>197</v>
      </c>
      <c r="B16" s="47"/>
      <c r="C16" s="47"/>
      <c r="D16" s="47"/>
      <c r="E16" s="47"/>
      <c r="F16" s="47"/>
      <c r="G16" s="47"/>
      <c r="H16" s="48"/>
    </row>
    <row r="17" ht="15.75" customHeight="1">
      <c r="A17" s="62"/>
      <c r="H17" s="63"/>
    </row>
    <row r="18" ht="15.75" customHeight="1">
      <c r="A18" s="49"/>
      <c r="B18" s="50"/>
      <c r="C18" s="50"/>
      <c r="D18" s="50"/>
      <c r="E18" s="50"/>
      <c r="F18" s="50"/>
      <c r="G18" s="50"/>
      <c r="H18" s="51"/>
    </row>
    <row r="19" ht="15.75" customHeight="1">
      <c r="A19" s="68" t="s">
        <v>187</v>
      </c>
      <c r="B19" s="22"/>
      <c r="C19" s="22"/>
      <c r="D19" s="22"/>
      <c r="E19" s="22"/>
      <c r="F19" s="22"/>
      <c r="G19" s="22"/>
      <c r="H19" s="23"/>
    </row>
    <row r="20" ht="15.75" customHeight="1">
      <c r="A20" s="52" t="s">
        <v>198</v>
      </c>
      <c r="B20" s="47"/>
      <c r="C20" s="47"/>
      <c r="D20" s="47"/>
      <c r="E20" s="47"/>
      <c r="F20" s="47"/>
      <c r="G20" s="47"/>
      <c r="H20" s="48"/>
    </row>
    <row r="21" ht="15.75" customHeight="1">
      <c r="A21" s="62"/>
      <c r="H21" s="63"/>
    </row>
    <row r="22" ht="15.75" customHeight="1">
      <c r="A22" s="62"/>
      <c r="H22" s="63"/>
    </row>
    <row r="23" ht="15.75" customHeight="1">
      <c r="A23" s="49"/>
      <c r="B23" s="50"/>
      <c r="C23" s="50"/>
      <c r="D23" s="50"/>
      <c r="E23" s="50"/>
      <c r="F23" s="50"/>
      <c r="G23" s="50"/>
      <c r="H23" s="51"/>
    </row>
    <row r="24" ht="15.75" customHeight="1"/>
    <row r="25" ht="15.75" customHeight="1"/>
    <row r="26" ht="15.75" customHeight="1">
      <c r="A26" s="43" t="s">
        <v>199</v>
      </c>
      <c r="E26" s="36" t="s">
        <v>100</v>
      </c>
      <c r="F26" s="70">
        <v>2.0</v>
      </c>
      <c r="G26" s="36" t="s">
        <v>181</v>
      </c>
      <c r="H26" s="70">
        <v>2.0</v>
      </c>
    </row>
    <row r="27" ht="15.75" customHeight="1">
      <c r="A27" s="38" t="s">
        <v>191</v>
      </c>
    </row>
    <row r="28" ht="15.75" customHeight="1">
      <c r="A28" s="54" t="s">
        <v>112</v>
      </c>
      <c r="B28" s="33" t="s">
        <v>139</v>
      </c>
      <c r="C28" s="22"/>
      <c r="D28" s="22"/>
      <c r="E28" s="22"/>
      <c r="F28" s="22"/>
      <c r="G28" s="22"/>
      <c r="H28" s="23"/>
    </row>
    <row r="29" ht="15.75" customHeight="1">
      <c r="A29" s="54" t="s">
        <v>112</v>
      </c>
      <c r="B29" s="33" t="s">
        <v>174</v>
      </c>
      <c r="C29" s="22"/>
      <c r="D29" s="22"/>
      <c r="E29" s="22"/>
      <c r="F29" s="22"/>
      <c r="G29" s="22"/>
      <c r="H29" s="23"/>
    </row>
    <row r="30" ht="15.75" customHeight="1">
      <c r="A30" s="54" t="s">
        <v>112</v>
      </c>
      <c r="B30" s="33" t="s">
        <v>132</v>
      </c>
      <c r="C30" s="22"/>
      <c r="D30" s="22"/>
      <c r="E30" s="22"/>
      <c r="F30" s="22"/>
      <c r="G30" s="22"/>
      <c r="H30" s="23"/>
    </row>
    <row r="31" ht="15.75" customHeight="1">
      <c r="A31" s="72" t="s">
        <v>183</v>
      </c>
      <c r="B31" s="40" t="s">
        <v>200</v>
      </c>
      <c r="C31" s="22"/>
      <c r="D31" s="22"/>
      <c r="E31" s="22"/>
      <c r="F31" s="22"/>
      <c r="G31" s="22"/>
      <c r="H31" s="23"/>
    </row>
    <row r="32" ht="15.75" customHeight="1">
      <c r="A32" s="68" t="s">
        <v>185</v>
      </c>
      <c r="B32" s="22"/>
      <c r="C32" s="22"/>
      <c r="D32" s="22"/>
      <c r="E32" s="22"/>
      <c r="F32" s="22"/>
      <c r="G32" s="22"/>
      <c r="H32" s="23"/>
    </row>
    <row r="33" ht="15.75" customHeight="1">
      <c r="A33" s="73" t="s">
        <v>201</v>
      </c>
      <c r="B33" s="47"/>
      <c r="C33" s="47"/>
      <c r="D33" s="47"/>
      <c r="E33" s="47"/>
      <c r="F33" s="47"/>
      <c r="G33" s="47"/>
      <c r="H33" s="48"/>
    </row>
    <row r="34" ht="15.75" customHeight="1">
      <c r="A34" s="62"/>
      <c r="H34" s="63"/>
    </row>
    <row r="35" ht="15.75" customHeight="1">
      <c r="A35" s="49"/>
      <c r="B35" s="50"/>
      <c r="C35" s="50"/>
      <c r="D35" s="50"/>
      <c r="E35" s="50"/>
      <c r="F35" s="50"/>
      <c r="G35" s="50"/>
      <c r="H35" s="51"/>
    </row>
    <row r="36" ht="15.75" customHeight="1">
      <c r="A36" s="68" t="s">
        <v>187</v>
      </c>
      <c r="B36" s="22"/>
      <c r="C36" s="22"/>
      <c r="D36" s="22"/>
      <c r="E36" s="22"/>
      <c r="F36" s="22"/>
      <c r="G36" s="22"/>
      <c r="H36" s="23"/>
    </row>
    <row r="37" ht="15.75" customHeight="1">
      <c r="A37" s="52" t="s">
        <v>202</v>
      </c>
      <c r="B37" s="47"/>
      <c r="C37" s="47"/>
      <c r="D37" s="47"/>
      <c r="E37" s="47"/>
      <c r="F37" s="47"/>
      <c r="G37" s="47"/>
      <c r="H37" s="48"/>
    </row>
    <row r="38" ht="15.75" customHeight="1">
      <c r="A38" s="62"/>
      <c r="H38" s="63"/>
    </row>
    <row r="39" ht="15.75" customHeight="1">
      <c r="A39" s="62"/>
      <c r="H39" s="63"/>
    </row>
    <row r="40" ht="15.75" customHeight="1">
      <c r="A40" s="49"/>
      <c r="B40" s="50"/>
      <c r="C40" s="50"/>
      <c r="D40" s="50"/>
      <c r="E40" s="50"/>
      <c r="F40" s="50"/>
      <c r="G40" s="50"/>
      <c r="H40" s="51"/>
    </row>
    <row r="41" ht="15.75" customHeight="1"/>
    <row r="42" ht="15.75" customHeight="1"/>
    <row r="43" ht="15.75" customHeight="1">
      <c r="A43" s="43" t="s">
        <v>203</v>
      </c>
      <c r="E43" s="36" t="s">
        <v>100</v>
      </c>
      <c r="F43" s="70">
        <v>3.0</v>
      </c>
      <c r="G43" s="36" t="s">
        <v>181</v>
      </c>
      <c r="H43" s="70">
        <v>5.0</v>
      </c>
    </row>
    <row r="44" ht="15.75" customHeight="1">
      <c r="A44" s="38" t="s">
        <v>191</v>
      </c>
    </row>
    <row r="45" ht="15.75" customHeight="1">
      <c r="A45" s="54" t="s">
        <v>112</v>
      </c>
      <c r="B45" s="33" t="s">
        <v>139</v>
      </c>
      <c r="C45" s="22"/>
      <c r="D45" s="22"/>
      <c r="E45" s="22"/>
      <c r="F45" s="22"/>
      <c r="G45" s="22"/>
      <c r="H45" s="23"/>
    </row>
    <row r="46" ht="15.75" customHeight="1">
      <c r="A46" s="54" t="s">
        <v>112</v>
      </c>
      <c r="B46" s="33" t="s">
        <v>139</v>
      </c>
      <c r="C46" s="22"/>
      <c r="D46" s="22"/>
      <c r="E46" s="22"/>
      <c r="F46" s="22"/>
      <c r="G46" s="22"/>
      <c r="H46" s="23"/>
    </row>
    <row r="47" ht="15.75" customHeight="1">
      <c r="A47" s="54" t="s">
        <v>112</v>
      </c>
      <c r="B47" s="33" t="s">
        <v>139</v>
      </c>
      <c r="C47" s="22"/>
      <c r="D47" s="22"/>
      <c r="E47" s="22"/>
      <c r="F47" s="22"/>
      <c r="G47" s="22"/>
      <c r="H47" s="23"/>
    </row>
    <row r="48" ht="15.75" customHeight="1">
      <c r="A48" s="72" t="s">
        <v>183</v>
      </c>
      <c r="B48" s="40" t="s">
        <v>204</v>
      </c>
      <c r="C48" s="22"/>
      <c r="D48" s="22"/>
      <c r="E48" s="22"/>
      <c r="F48" s="22"/>
      <c r="G48" s="22"/>
      <c r="H48" s="23"/>
    </row>
    <row r="49" ht="15.75" customHeight="1">
      <c r="A49" s="68" t="s">
        <v>185</v>
      </c>
      <c r="B49" s="22"/>
      <c r="C49" s="22"/>
      <c r="D49" s="22"/>
      <c r="E49" s="22"/>
      <c r="F49" s="22"/>
      <c r="G49" s="22"/>
      <c r="H49" s="23"/>
    </row>
    <row r="50" ht="15.75" customHeight="1">
      <c r="A50" s="66" t="s">
        <v>205</v>
      </c>
      <c r="B50" s="47"/>
      <c r="C50" s="47"/>
      <c r="D50" s="47"/>
      <c r="E50" s="47"/>
      <c r="F50" s="47"/>
      <c r="G50" s="47"/>
      <c r="H50" s="48"/>
    </row>
    <row r="51" ht="15.75" customHeight="1">
      <c r="A51" s="62"/>
      <c r="H51" s="63"/>
    </row>
    <row r="52" ht="15.75" customHeight="1">
      <c r="A52" s="49"/>
      <c r="B52" s="50"/>
      <c r="C52" s="50"/>
      <c r="D52" s="50"/>
      <c r="E52" s="50"/>
      <c r="F52" s="50"/>
      <c r="G52" s="50"/>
      <c r="H52" s="51"/>
    </row>
    <row r="53" ht="15.75" customHeight="1">
      <c r="A53" s="68" t="s">
        <v>187</v>
      </c>
      <c r="B53" s="22"/>
      <c r="C53" s="22"/>
      <c r="D53" s="22"/>
      <c r="E53" s="22"/>
      <c r="F53" s="22"/>
      <c r="G53" s="22"/>
      <c r="H53" s="23"/>
    </row>
    <row r="54" ht="15.75" customHeight="1">
      <c r="A54" s="73" t="s">
        <v>206</v>
      </c>
      <c r="B54" s="47"/>
      <c r="C54" s="47"/>
      <c r="D54" s="47"/>
      <c r="E54" s="47"/>
      <c r="F54" s="47"/>
      <c r="G54" s="47"/>
      <c r="H54" s="48"/>
    </row>
    <row r="55" ht="15.75" customHeight="1">
      <c r="A55" s="62"/>
      <c r="H55" s="63"/>
    </row>
    <row r="56" ht="15.75" customHeight="1">
      <c r="A56" s="62"/>
      <c r="H56" s="63"/>
    </row>
    <row r="57" ht="15.75" customHeight="1">
      <c r="A57" s="49"/>
      <c r="B57" s="50"/>
      <c r="C57" s="50"/>
      <c r="D57" s="50"/>
      <c r="E57" s="50"/>
      <c r="F57" s="50"/>
      <c r="G57" s="50"/>
      <c r="H57" s="51"/>
    </row>
    <row r="58" ht="15.75" customHeight="1"/>
    <row r="59" ht="15.75" customHeight="1"/>
    <row r="60" ht="15.75" customHeight="1">
      <c r="A60" s="43" t="s">
        <v>207</v>
      </c>
      <c r="E60" s="36" t="s">
        <v>100</v>
      </c>
      <c r="F60" s="70">
        <v>3.0</v>
      </c>
      <c r="G60" s="36" t="s">
        <v>181</v>
      </c>
      <c r="H60" s="70">
        <v>5.0</v>
      </c>
    </row>
    <row r="61" ht="15.75" customHeight="1">
      <c r="A61" s="38" t="s">
        <v>191</v>
      </c>
    </row>
    <row r="62" ht="15.75" customHeight="1">
      <c r="A62" s="54" t="s">
        <v>112</v>
      </c>
      <c r="B62" s="33" t="s">
        <v>139</v>
      </c>
      <c r="C62" s="22"/>
      <c r="D62" s="22"/>
      <c r="E62" s="22"/>
      <c r="F62" s="22"/>
      <c r="G62" s="22"/>
      <c r="H62" s="23"/>
    </row>
    <row r="63" ht="15.75" customHeight="1">
      <c r="A63" s="54" t="s">
        <v>112</v>
      </c>
      <c r="B63" s="33" t="s">
        <v>139</v>
      </c>
      <c r="C63" s="22"/>
      <c r="D63" s="22"/>
      <c r="E63" s="22"/>
      <c r="F63" s="22"/>
      <c r="G63" s="22"/>
      <c r="H63" s="23"/>
    </row>
    <row r="64" ht="15.75" customHeight="1">
      <c r="A64" s="54" t="s">
        <v>112</v>
      </c>
      <c r="B64" s="33" t="s">
        <v>139</v>
      </c>
      <c r="C64" s="22"/>
      <c r="D64" s="22"/>
      <c r="E64" s="22"/>
      <c r="F64" s="22"/>
      <c r="G64" s="22"/>
      <c r="H64" s="23"/>
    </row>
    <row r="65" ht="15.75" customHeight="1">
      <c r="A65" s="72" t="s">
        <v>183</v>
      </c>
      <c r="B65" s="40" t="s">
        <v>208</v>
      </c>
      <c r="C65" s="22"/>
      <c r="D65" s="22"/>
      <c r="E65" s="22"/>
      <c r="F65" s="22"/>
      <c r="G65" s="22"/>
      <c r="H65" s="23"/>
    </row>
    <row r="66" ht="15.75" customHeight="1">
      <c r="A66" s="68" t="s">
        <v>185</v>
      </c>
      <c r="B66" s="22"/>
      <c r="C66" s="22"/>
      <c r="D66" s="22"/>
      <c r="E66" s="22"/>
      <c r="F66" s="22"/>
      <c r="G66" s="22"/>
      <c r="H66" s="23"/>
    </row>
    <row r="67" ht="15.75" customHeight="1">
      <c r="A67" s="66" t="s">
        <v>209</v>
      </c>
      <c r="B67" s="47"/>
      <c r="C67" s="47"/>
      <c r="D67" s="47"/>
      <c r="E67" s="47"/>
      <c r="F67" s="47"/>
      <c r="G67" s="47"/>
      <c r="H67" s="48"/>
    </row>
    <row r="68" ht="15.75" customHeight="1">
      <c r="A68" s="62"/>
      <c r="H68" s="63"/>
    </row>
    <row r="69" ht="15.75" customHeight="1">
      <c r="A69" s="49"/>
      <c r="B69" s="50"/>
      <c r="C69" s="50"/>
      <c r="D69" s="50"/>
      <c r="E69" s="50"/>
      <c r="F69" s="50"/>
      <c r="G69" s="50"/>
      <c r="H69" s="51"/>
    </row>
    <row r="70" ht="15.75" customHeight="1">
      <c r="A70" s="68" t="s">
        <v>187</v>
      </c>
      <c r="B70" s="22"/>
      <c r="C70" s="22"/>
      <c r="D70" s="22"/>
      <c r="E70" s="22"/>
      <c r="F70" s="22"/>
      <c r="G70" s="22"/>
      <c r="H70" s="23"/>
    </row>
    <row r="71" ht="15.75" customHeight="1">
      <c r="A71" s="52" t="s">
        <v>210</v>
      </c>
      <c r="B71" s="47"/>
      <c r="C71" s="47"/>
      <c r="D71" s="47"/>
      <c r="E71" s="47"/>
      <c r="F71" s="47"/>
      <c r="G71" s="47"/>
      <c r="H71" s="48"/>
    </row>
    <row r="72" ht="15.75" customHeight="1">
      <c r="A72" s="62"/>
      <c r="H72" s="63"/>
    </row>
    <row r="73" ht="15.75" customHeight="1">
      <c r="A73" s="62"/>
      <c r="H73" s="63"/>
    </row>
    <row r="74" ht="15.75" customHeight="1">
      <c r="A74" s="49"/>
      <c r="B74" s="50"/>
      <c r="C74" s="50"/>
      <c r="D74" s="50"/>
      <c r="E74" s="50"/>
      <c r="F74" s="50"/>
      <c r="G74" s="50"/>
      <c r="H74" s="51"/>
    </row>
    <row r="75" ht="15.75" customHeight="1"/>
    <row r="76" ht="15.75" customHeight="1"/>
    <row r="77" ht="15.75" customHeight="1">
      <c r="A77" s="43" t="s">
        <v>211</v>
      </c>
      <c r="E77" s="36" t="s">
        <v>100</v>
      </c>
      <c r="F77" s="70">
        <v>5.0</v>
      </c>
      <c r="G77" s="36" t="s">
        <v>181</v>
      </c>
      <c r="H77" s="70">
        <v>10.0</v>
      </c>
    </row>
    <row r="78" ht="15.75" customHeight="1">
      <c r="A78" s="38" t="s">
        <v>191</v>
      </c>
    </row>
    <row r="79" ht="15.75" customHeight="1">
      <c r="A79" s="54" t="s">
        <v>112</v>
      </c>
      <c r="B79" s="33" t="s">
        <v>182</v>
      </c>
      <c r="C79" s="22"/>
      <c r="D79" s="22"/>
      <c r="E79" s="22"/>
      <c r="F79" s="22"/>
      <c r="G79" s="22"/>
      <c r="H79" s="23"/>
    </row>
    <row r="80" ht="15.75" customHeight="1">
      <c r="A80" s="54" t="s">
        <v>112</v>
      </c>
      <c r="B80" s="33" t="s">
        <v>139</v>
      </c>
      <c r="C80" s="22"/>
      <c r="D80" s="22"/>
      <c r="E80" s="22"/>
      <c r="F80" s="22"/>
      <c r="G80" s="22"/>
      <c r="H80" s="23"/>
    </row>
    <row r="81" ht="15.75" customHeight="1">
      <c r="A81" s="54" t="s">
        <v>112</v>
      </c>
      <c r="B81" s="33" t="s">
        <v>132</v>
      </c>
      <c r="C81" s="22"/>
      <c r="D81" s="22"/>
      <c r="E81" s="22"/>
      <c r="F81" s="22"/>
      <c r="G81" s="22"/>
      <c r="H81" s="23"/>
    </row>
    <row r="82" ht="15.75" customHeight="1">
      <c r="A82" s="72" t="s">
        <v>183</v>
      </c>
      <c r="B82" s="40" t="s">
        <v>212</v>
      </c>
      <c r="C82" s="22"/>
      <c r="D82" s="22"/>
      <c r="E82" s="22"/>
      <c r="F82" s="22"/>
      <c r="G82" s="22"/>
      <c r="H82" s="23"/>
    </row>
    <row r="83" ht="15.75" customHeight="1">
      <c r="A83" s="68" t="s">
        <v>185</v>
      </c>
      <c r="B83" s="22"/>
      <c r="C83" s="22"/>
      <c r="D83" s="22"/>
      <c r="E83" s="22"/>
      <c r="F83" s="22"/>
      <c r="G83" s="22"/>
      <c r="H83" s="23"/>
    </row>
    <row r="84" ht="15.75" customHeight="1">
      <c r="A84" s="52" t="s">
        <v>213</v>
      </c>
      <c r="B84" s="47"/>
      <c r="C84" s="47"/>
      <c r="D84" s="47"/>
      <c r="E84" s="47"/>
      <c r="F84" s="47"/>
      <c r="G84" s="47"/>
      <c r="H84" s="48"/>
    </row>
    <row r="85" ht="15.75" customHeight="1">
      <c r="A85" s="62"/>
      <c r="H85" s="63"/>
    </row>
    <row r="86" ht="15.75" customHeight="1">
      <c r="A86" s="49"/>
      <c r="B86" s="50"/>
      <c r="C86" s="50"/>
      <c r="D86" s="50"/>
      <c r="E86" s="50"/>
      <c r="F86" s="50"/>
      <c r="G86" s="50"/>
      <c r="H86" s="51"/>
    </row>
    <row r="87" ht="15.75" customHeight="1">
      <c r="A87" s="68" t="s">
        <v>187</v>
      </c>
      <c r="B87" s="22"/>
      <c r="C87" s="22"/>
      <c r="D87" s="22"/>
      <c r="E87" s="22"/>
      <c r="F87" s="22"/>
      <c r="G87" s="22"/>
      <c r="H87" s="23"/>
    </row>
    <row r="88" ht="15.75" customHeight="1">
      <c r="A88" s="52" t="s">
        <v>214</v>
      </c>
      <c r="B88" s="47"/>
      <c r="C88" s="47"/>
      <c r="D88" s="47"/>
      <c r="E88" s="47"/>
      <c r="F88" s="47"/>
      <c r="G88" s="47"/>
      <c r="H88" s="48"/>
    </row>
    <row r="89" ht="15.75" customHeight="1">
      <c r="A89" s="62"/>
      <c r="H89" s="63"/>
    </row>
    <row r="90" ht="15.75" customHeight="1">
      <c r="A90" s="62"/>
      <c r="H90" s="63"/>
    </row>
    <row r="91" ht="15.75" customHeight="1">
      <c r="A91" s="49"/>
      <c r="B91" s="50"/>
      <c r="C91" s="50"/>
      <c r="D91" s="50"/>
      <c r="E91" s="50"/>
      <c r="F91" s="50"/>
      <c r="G91" s="50"/>
      <c r="H91" s="51"/>
    </row>
    <row r="92" ht="15.75" customHeight="1"/>
    <row r="93" ht="15.75" customHeight="1"/>
    <row r="94" ht="15.75" customHeight="1">
      <c r="A94" s="43" t="s">
        <v>215</v>
      </c>
      <c r="E94" s="36" t="s">
        <v>100</v>
      </c>
      <c r="F94" s="70">
        <v>5.0</v>
      </c>
      <c r="G94" s="36" t="s">
        <v>181</v>
      </c>
      <c r="H94" s="70">
        <v>10.0</v>
      </c>
    </row>
    <row r="95" ht="15.75" customHeight="1">
      <c r="A95" s="38" t="s">
        <v>191</v>
      </c>
    </row>
    <row r="96" ht="15.75" customHeight="1">
      <c r="A96" s="54" t="s">
        <v>112</v>
      </c>
      <c r="B96" s="33" t="s">
        <v>151</v>
      </c>
      <c r="C96" s="22"/>
      <c r="D96" s="22"/>
      <c r="E96" s="22"/>
      <c r="F96" s="22"/>
      <c r="G96" s="22"/>
      <c r="H96" s="23"/>
    </row>
    <row r="97" ht="15.75" customHeight="1">
      <c r="A97" s="54" t="s">
        <v>112</v>
      </c>
      <c r="B97" s="33" t="s">
        <v>161</v>
      </c>
      <c r="C97" s="22"/>
      <c r="D97" s="22"/>
      <c r="E97" s="22"/>
      <c r="F97" s="22"/>
      <c r="G97" s="22"/>
      <c r="H97" s="23"/>
    </row>
    <row r="98" ht="15.75" customHeight="1">
      <c r="A98" s="54" t="s">
        <v>112</v>
      </c>
      <c r="B98" s="33" t="s">
        <v>139</v>
      </c>
      <c r="C98" s="22"/>
      <c r="D98" s="22"/>
      <c r="E98" s="22"/>
      <c r="F98" s="22"/>
      <c r="G98" s="22"/>
      <c r="H98" s="23"/>
    </row>
    <row r="99" ht="15.75" customHeight="1">
      <c r="A99" s="72" t="s">
        <v>183</v>
      </c>
      <c r="B99" s="40" t="s">
        <v>216</v>
      </c>
      <c r="C99" s="22"/>
      <c r="D99" s="22"/>
      <c r="E99" s="22"/>
      <c r="F99" s="22"/>
      <c r="G99" s="22"/>
      <c r="H99" s="23"/>
    </row>
    <row r="100" ht="15.75" customHeight="1">
      <c r="A100" s="68" t="s">
        <v>185</v>
      </c>
      <c r="B100" s="22"/>
      <c r="C100" s="22"/>
      <c r="D100" s="22"/>
      <c r="E100" s="22"/>
      <c r="F100" s="22"/>
      <c r="G100" s="22"/>
      <c r="H100" s="23"/>
    </row>
    <row r="101" ht="15.75" customHeight="1">
      <c r="A101" s="52" t="s">
        <v>217</v>
      </c>
      <c r="B101" s="47"/>
      <c r="C101" s="47"/>
      <c r="D101" s="47"/>
      <c r="E101" s="47"/>
      <c r="F101" s="47"/>
      <c r="G101" s="47"/>
      <c r="H101" s="48"/>
    </row>
    <row r="102" ht="15.75" customHeight="1">
      <c r="A102" s="62"/>
      <c r="H102" s="63"/>
    </row>
    <row r="103" ht="15.75" customHeight="1">
      <c r="A103" s="49"/>
      <c r="B103" s="50"/>
      <c r="C103" s="50"/>
      <c r="D103" s="50"/>
      <c r="E103" s="50"/>
      <c r="F103" s="50"/>
      <c r="G103" s="50"/>
      <c r="H103" s="51"/>
    </row>
    <row r="104" ht="15.75" customHeight="1">
      <c r="A104" s="68" t="s">
        <v>187</v>
      </c>
      <c r="B104" s="22"/>
      <c r="C104" s="22"/>
      <c r="D104" s="22"/>
      <c r="E104" s="22"/>
      <c r="F104" s="22"/>
      <c r="G104" s="22"/>
      <c r="H104" s="23"/>
    </row>
    <row r="105" ht="15.75" customHeight="1">
      <c r="A105" s="52" t="s">
        <v>218</v>
      </c>
      <c r="B105" s="47"/>
      <c r="C105" s="47"/>
      <c r="D105" s="47"/>
      <c r="E105" s="47"/>
      <c r="F105" s="47"/>
      <c r="G105" s="47"/>
      <c r="H105" s="48"/>
    </row>
    <row r="106" ht="15.75" customHeight="1">
      <c r="A106" s="62"/>
      <c r="H106" s="63"/>
    </row>
    <row r="107" ht="15.75" customHeight="1">
      <c r="A107" s="62"/>
      <c r="H107" s="63"/>
    </row>
    <row r="108" ht="15.75" customHeight="1">
      <c r="A108" s="49"/>
      <c r="B108" s="50"/>
      <c r="C108" s="50"/>
      <c r="D108" s="50"/>
      <c r="E108" s="50"/>
      <c r="F108" s="50"/>
      <c r="G108" s="50"/>
      <c r="H108" s="51"/>
    </row>
    <row r="109" ht="15.75" customHeight="1"/>
    <row r="110" ht="15.75" customHeight="1"/>
    <row r="111" ht="15.75" customHeight="1">
      <c r="A111" s="43" t="s">
        <v>219</v>
      </c>
      <c r="E111" s="36" t="s">
        <v>100</v>
      </c>
      <c r="F111" s="70"/>
      <c r="G111" s="36" t="s">
        <v>181</v>
      </c>
      <c r="H111" s="70"/>
    </row>
    <row r="112" ht="15.75" customHeight="1">
      <c r="A112" s="38" t="s">
        <v>191</v>
      </c>
    </row>
    <row r="113" ht="15.75" customHeight="1">
      <c r="A113" s="54" t="s">
        <v>112</v>
      </c>
      <c r="B113" s="33"/>
      <c r="C113" s="22"/>
      <c r="D113" s="22"/>
      <c r="E113" s="22"/>
      <c r="F113" s="22"/>
      <c r="G113" s="22"/>
      <c r="H113" s="23"/>
    </row>
    <row r="114" ht="15.75" customHeight="1">
      <c r="A114" s="54" t="s">
        <v>112</v>
      </c>
      <c r="B114" s="33"/>
      <c r="C114" s="22"/>
      <c r="D114" s="22"/>
      <c r="E114" s="22"/>
      <c r="F114" s="22"/>
      <c r="G114" s="22"/>
      <c r="H114" s="23"/>
    </row>
    <row r="115" ht="15.75" customHeight="1">
      <c r="A115" s="54" t="s">
        <v>112</v>
      </c>
      <c r="B115" s="33"/>
      <c r="C115" s="22"/>
      <c r="D115" s="22"/>
      <c r="E115" s="22"/>
      <c r="F115" s="22"/>
      <c r="G115" s="22"/>
      <c r="H115" s="23"/>
    </row>
    <row r="116" ht="15.75" customHeight="1">
      <c r="A116" s="72" t="s">
        <v>183</v>
      </c>
      <c r="B116" s="40"/>
      <c r="C116" s="22"/>
      <c r="D116" s="22"/>
      <c r="E116" s="22"/>
      <c r="F116" s="22"/>
      <c r="G116" s="22"/>
      <c r="H116" s="23"/>
    </row>
    <row r="117" ht="15.75" customHeight="1">
      <c r="A117" s="68" t="s">
        <v>185</v>
      </c>
      <c r="B117" s="22"/>
      <c r="C117" s="22"/>
      <c r="D117" s="22"/>
      <c r="E117" s="22"/>
      <c r="F117" s="22"/>
      <c r="G117" s="22"/>
      <c r="H117" s="23"/>
    </row>
    <row r="118" ht="15.75" customHeight="1">
      <c r="A118" s="52"/>
      <c r="B118" s="47"/>
      <c r="C118" s="47"/>
      <c r="D118" s="47"/>
      <c r="E118" s="47"/>
      <c r="F118" s="47"/>
      <c r="G118" s="47"/>
      <c r="H118" s="48"/>
    </row>
    <row r="119" ht="15.75" customHeight="1">
      <c r="A119" s="62"/>
      <c r="H119" s="63"/>
    </row>
    <row r="120" ht="15.75" customHeight="1">
      <c r="A120" s="49"/>
      <c r="B120" s="50"/>
      <c r="C120" s="50"/>
      <c r="D120" s="50"/>
      <c r="E120" s="50"/>
      <c r="F120" s="50"/>
      <c r="G120" s="50"/>
      <c r="H120" s="51"/>
    </row>
    <row r="121" ht="15.75" customHeight="1">
      <c r="A121" s="68" t="s">
        <v>187</v>
      </c>
      <c r="B121" s="22"/>
      <c r="C121" s="22"/>
      <c r="D121" s="22"/>
      <c r="E121" s="22"/>
      <c r="F121" s="22"/>
      <c r="G121" s="22"/>
      <c r="H121" s="23"/>
    </row>
    <row r="122" ht="15.75" customHeight="1">
      <c r="A122" s="52"/>
      <c r="B122" s="47"/>
      <c r="C122" s="47"/>
      <c r="D122" s="47"/>
      <c r="E122" s="47"/>
      <c r="F122" s="47"/>
      <c r="G122" s="47"/>
      <c r="H122" s="48"/>
    </row>
    <row r="123" ht="15.75" customHeight="1">
      <c r="A123" s="62"/>
      <c r="H123" s="63"/>
    </row>
    <row r="124" ht="15.75" customHeight="1">
      <c r="A124" s="62"/>
      <c r="H124" s="63"/>
    </row>
    <row r="125" ht="15.75" customHeight="1">
      <c r="A125" s="49"/>
      <c r="B125" s="50"/>
      <c r="C125" s="50"/>
      <c r="D125" s="50"/>
      <c r="E125" s="50"/>
      <c r="F125" s="50"/>
      <c r="G125" s="50"/>
      <c r="H125" s="5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1" t="s">
        <v>220</v>
      </c>
    </row>
    <row r="3" ht="15.75" customHeight="1"/>
    <row r="4" ht="15.75" customHeight="1">
      <c r="B4" s="20" t="s">
        <v>1</v>
      </c>
      <c r="C4" s="21" t="str">
        <f>'Diseño'!C4</f>
        <v>285 - Sistemas Operativos 2</v>
      </c>
      <c r="D4" s="22"/>
      <c r="E4" s="22"/>
      <c r="F4" s="22"/>
      <c r="G4" s="23"/>
    </row>
    <row r="5" ht="15.75" customHeight="1">
      <c r="B5" s="42" t="s">
        <v>59</v>
      </c>
      <c r="C5" s="21">
        <f>H9+H26+H43+H60+H77+H94+H111</f>
        <v>0</v>
      </c>
      <c r="D5" s="22"/>
      <c r="E5" s="22"/>
      <c r="F5" s="22"/>
      <c r="G5" s="23"/>
    </row>
    <row r="6" ht="15.75" customHeight="1">
      <c r="B6" s="42" t="s">
        <v>100</v>
      </c>
      <c r="C6" s="21">
        <f>F9+F26+F43+F60+F77+F94+F111</f>
        <v>0</v>
      </c>
      <c r="D6" s="22"/>
      <c r="E6" s="22"/>
      <c r="F6" s="22"/>
      <c r="G6" s="23"/>
    </row>
    <row r="7" ht="15.75" customHeight="1">
      <c r="B7" s="6" t="s">
        <v>221</v>
      </c>
    </row>
    <row r="8" ht="15.75" customHeight="1"/>
    <row r="9" ht="15.75" customHeight="1">
      <c r="A9" s="43" t="s">
        <v>222</v>
      </c>
      <c r="E9" s="36" t="s">
        <v>100</v>
      </c>
      <c r="F9" s="44"/>
      <c r="G9" s="36" t="s">
        <v>181</v>
      </c>
      <c r="H9" s="44"/>
    </row>
    <row r="10" ht="15.75" customHeight="1">
      <c r="A10" s="6" t="s">
        <v>195</v>
      </c>
    </row>
    <row r="11" ht="15.75" customHeight="1">
      <c r="A11" s="54" t="s">
        <v>112</v>
      </c>
      <c r="B11" s="21"/>
      <c r="C11" s="22"/>
      <c r="D11" s="22"/>
      <c r="E11" s="22"/>
      <c r="F11" s="22"/>
      <c r="G11" s="22"/>
      <c r="H11" s="23"/>
    </row>
    <row r="12" ht="15.75" customHeight="1">
      <c r="A12" s="54" t="s">
        <v>112</v>
      </c>
      <c r="B12" s="21"/>
      <c r="C12" s="22"/>
      <c r="D12" s="22"/>
      <c r="E12" s="22"/>
      <c r="F12" s="22"/>
      <c r="G12" s="22"/>
      <c r="H12" s="23"/>
    </row>
    <row r="13" ht="15.75" customHeight="1">
      <c r="A13" s="54" t="s">
        <v>112</v>
      </c>
      <c r="B13" s="21"/>
      <c r="C13" s="22"/>
      <c r="D13" s="22"/>
      <c r="E13" s="22"/>
      <c r="F13" s="22"/>
      <c r="G13" s="22"/>
      <c r="H13" s="23"/>
    </row>
    <row r="14" ht="15.75" customHeight="1">
      <c r="A14" s="54" t="s">
        <v>183</v>
      </c>
      <c r="B14" s="21"/>
      <c r="C14" s="22"/>
      <c r="D14" s="22"/>
      <c r="E14" s="22"/>
      <c r="F14" s="22"/>
      <c r="G14" s="22"/>
      <c r="H14" s="23"/>
    </row>
    <row r="15" ht="15.75" customHeight="1">
      <c r="A15" s="45" t="s">
        <v>185</v>
      </c>
      <c r="B15" s="22"/>
      <c r="C15" s="22"/>
      <c r="D15" s="22"/>
      <c r="E15" s="22"/>
      <c r="F15" s="22"/>
      <c r="G15" s="22"/>
      <c r="H15" s="23"/>
    </row>
    <row r="16" ht="15.75" customHeight="1">
      <c r="A16" s="69"/>
      <c r="B16" s="47"/>
      <c r="C16" s="47"/>
      <c r="D16" s="47"/>
      <c r="E16" s="47"/>
      <c r="F16" s="47"/>
      <c r="G16" s="47"/>
      <c r="H16" s="48"/>
    </row>
    <row r="17" ht="15.75" customHeight="1">
      <c r="A17" s="62"/>
      <c r="H17" s="63"/>
    </row>
    <row r="18" ht="15.75" customHeight="1">
      <c r="A18" s="49"/>
      <c r="B18" s="50"/>
      <c r="C18" s="50"/>
      <c r="D18" s="50"/>
      <c r="E18" s="50"/>
      <c r="F18" s="50"/>
      <c r="G18" s="50"/>
      <c r="H18" s="51"/>
    </row>
    <row r="19" ht="15.75" customHeight="1">
      <c r="A19" s="45" t="s">
        <v>187</v>
      </c>
      <c r="B19" s="22"/>
      <c r="C19" s="22"/>
      <c r="D19" s="22"/>
      <c r="E19" s="22"/>
      <c r="F19" s="22"/>
      <c r="G19" s="22"/>
      <c r="H19" s="23"/>
    </row>
    <row r="20" ht="15.75" customHeight="1">
      <c r="A20" s="69"/>
      <c r="B20" s="47"/>
      <c r="C20" s="47"/>
      <c r="D20" s="47"/>
      <c r="E20" s="47"/>
      <c r="F20" s="47"/>
      <c r="G20" s="47"/>
      <c r="H20" s="48"/>
    </row>
    <row r="21" ht="15.75" customHeight="1">
      <c r="A21" s="62"/>
      <c r="H21" s="63"/>
    </row>
    <row r="22" ht="15.75" customHeight="1">
      <c r="A22" s="62"/>
      <c r="H22" s="63"/>
    </row>
    <row r="23" ht="15.75" customHeight="1">
      <c r="A23" s="49"/>
      <c r="B23" s="50"/>
      <c r="C23" s="50"/>
      <c r="D23" s="50"/>
      <c r="E23" s="50"/>
      <c r="F23" s="50"/>
      <c r="G23" s="50"/>
      <c r="H23" s="51"/>
    </row>
    <row r="24" ht="15.75" customHeight="1"/>
    <row r="25" ht="15.75" customHeight="1"/>
    <row r="26" ht="15.75" customHeight="1">
      <c r="A26" s="43" t="s">
        <v>223</v>
      </c>
      <c r="E26" s="36" t="s">
        <v>100</v>
      </c>
      <c r="F26" s="44"/>
      <c r="G26" s="36" t="s">
        <v>181</v>
      </c>
      <c r="H26" s="44"/>
    </row>
    <row r="27" ht="15.75" customHeight="1">
      <c r="A27" s="6" t="s">
        <v>195</v>
      </c>
    </row>
    <row r="28" ht="15.75" customHeight="1">
      <c r="A28" s="54" t="s">
        <v>112</v>
      </c>
      <c r="B28" s="21"/>
      <c r="C28" s="22"/>
      <c r="D28" s="22"/>
      <c r="E28" s="22"/>
      <c r="F28" s="22"/>
      <c r="G28" s="22"/>
      <c r="H28" s="23"/>
    </row>
    <row r="29" ht="15.75" customHeight="1">
      <c r="A29" s="54" t="s">
        <v>112</v>
      </c>
      <c r="B29" s="21"/>
      <c r="C29" s="22"/>
      <c r="D29" s="22"/>
      <c r="E29" s="22"/>
      <c r="F29" s="22"/>
      <c r="G29" s="22"/>
      <c r="H29" s="23"/>
    </row>
    <row r="30" ht="15.75" customHeight="1">
      <c r="A30" s="54" t="s">
        <v>112</v>
      </c>
      <c r="B30" s="21"/>
      <c r="C30" s="22"/>
      <c r="D30" s="22"/>
      <c r="E30" s="22"/>
      <c r="F30" s="22"/>
      <c r="G30" s="22"/>
      <c r="H30" s="23"/>
    </row>
    <row r="31" ht="15.75" customHeight="1">
      <c r="A31" s="54" t="s">
        <v>183</v>
      </c>
      <c r="B31" s="21"/>
      <c r="C31" s="22"/>
      <c r="D31" s="22"/>
      <c r="E31" s="22"/>
      <c r="F31" s="22"/>
      <c r="G31" s="22"/>
      <c r="H31" s="23"/>
    </row>
    <row r="32" ht="15.75" customHeight="1">
      <c r="A32" s="45" t="s">
        <v>185</v>
      </c>
      <c r="B32" s="22"/>
      <c r="C32" s="22"/>
      <c r="D32" s="22"/>
      <c r="E32" s="22"/>
      <c r="F32" s="22"/>
      <c r="G32" s="22"/>
      <c r="H32" s="23"/>
    </row>
    <row r="33" ht="15.75" customHeight="1">
      <c r="A33" s="69"/>
      <c r="B33" s="47"/>
      <c r="C33" s="47"/>
      <c r="D33" s="47"/>
      <c r="E33" s="47"/>
      <c r="F33" s="47"/>
      <c r="G33" s="47"/>
      <c r="H33" s="48"/>
    </row>
    <row r="34" ht="15.75" customHeight="1">
      <c r="A34" s="62"/>
      <c r="H34" s="63"/>
    </row>
    <row r="35" ht="15.75" customHeight="1">
      <c r="A35" s="49"/>
      <c r="B35" s="50"/>
      <c r="C35" s="50"/>
      <c r="D35" s="50"/>
      <c r="E35" s="50"/>
      <c r="F35" s="50"/>
      <c r="G35" s="50"/>
      <c r="H35" s="51"/>
    </row>
    <row r="36" ht="15.75" customHeight="1">
      <c r="A36" s="45" t="s">
        <v>187</v>
      </c>
      <c r="B36" s="22"/>
      <c r="C36" s="22"/>
      <c r="D36" s="22"/>
      <c r="E36" s="22"/>
      <c r="F36" s="22"/>
      <c r="G36" s="22"/>
      <c r="H36" s="23"/>
    </row>
    <row r="37" ht="15.75" customHeight="1">
      <c r="A37" s="69"/>
      <c r="B37" s="47"/>
      <c r="C37" s="47"/>
      <c r="D37" s="47"/>
      <c r="E37" s="47"/>
      <c r="F37" s="47"/>
      <c r="G37" s="47"/>
      <c r="H37" s="48"/>
    </row>
    <row r="38" ht="15.75" customHeight="1">
      <c r="A38" s="62"/>
      <c r="H38" s="63"/>
    </row>
    <row r="39" ht="15.75" customHeight="1">
      <c r="A39" s="62"/>
      <c r="H39" s="63"/>
    </row>
    <row r="40" ht="15.75" customHeight="1">
      <c r="A40" s="49"/>
      <c r="B40" s="50"/>
      <c r="C40" s="50"/>
      <c r="D40" s="50"/>
      <c r="E40" s="50"/>
      <c r="F40" s="50"/>
      <c r="G40" s="50"/>
      <c r="H40" s="51"/>
    </row>
    <row r="41" ht="15.75" customHeight="1"/>
    <row r="42" ht="15.75" customHeight="1"/>
    <row r="43" ht="15.75" customHeight="1">
      <c r="A43" s="43" t="s">
        <v>224</v>
      </c>
      <c r="E43" s="36" t="s">
        <v>100</v>
      </c>
      <c r="F43" s="44"/>
      <c r="G43" s="36" t="s">
        <v>181</v>
      </c>
      <c r="H43" s="44"/>
    </row>
    <row r="44" ht="15.75" customHeight="1">
      <c r="A44" s="38" t="s">
        <v>191</v>
      </c>
    </row>
    <row r="45" ht="15.75" customHeight="1">
      <c r="A45" s="54" t="s">
        <v>112</v>
      </c>
      <c r="B45" s="21"/>
      <c r="C45" s="22"/>
      <c r="D45" s="22"/>
      <c r="E45" s="22"/>
      <c r="F45" s="22"/>
      <c r="G45" s="22"/>
      <c r="H45" s="23"/>
    </row>
    <row r="46" ht="15.75" customHeight="1">
      <c r="A46" s="54" t="s">
        <v>112</v>
      </c>
      <c r="B46" s="21"/>
      <c r="C46" s="22"/>
      <c r="D46" s="22"/>
      <c r="E46" s="22"/>
      <c r="F46" s="22"/>
      <c r="G46" s="22"/>
      <c r="H46" s="23"/>
    </row>
    <row r="47" ht="15.75" customHeight="1">
      <c r="A47" s="54" t="s">
        <v>112</v>
      </c>
      <c r="B47" s="21"/>
      <c r="C47" s="22"/>
      <c r="D47" s="22"/>
      <c r="E47" s="22"/>
      <c r="F47" s="22"/>
      <c r="G47" s="22"/>
      <c r="H47" s="23"/>
    </row>
    <row r="48" ht="15.75" customHeight="1">
      <c r="A48" s="54" t="s">
        <v>183</v>
      </c>
      <c r="B48" s="21"/>
      <c r="C48" s="22"/>
      <c r="D48" s="22"/>
      <c r="E48" s="22"/>
      <c r="F48" s="22"/>
      <c r="G48" s="22"/>
      <c r="H48" s="23"/>
    </row>
    <row r="49" ht="15.75" customHeight="1">
      <c r="A49" s="45" t="s">
        <v>185</v>
      </c>
      <c r="B49" s="22"/>
      <c r="C49" s="22"/>
      <c r="D49" s="22"/>
      <c r="E49" s="22"/>
      <c r="F49" s="22"/>
      <c r="G49" s="22"/>
      <c r="H49" s="23"/>
    </row>
    <row r="50" ht="15.75" customHeight="1">
      <c r="A50" s="69"/>
      <c r="B50" s="47"/>
      <c r="C50" s="47"/>
      <c r="D50" s="47"/>
      <c r="E50" s="47"/>
      <c r="F50" s="47"/>
      <c r="G50" s="47"/>
      <c r="H50" s="48"/>
    </row>
    <row r="51" ht="15.75" customHeight="1">
      <c r="A51" s="62"/>
      <c r="H51" s="63"/>
    </row>
    <row r="52" ht="15.75" customHeight="1">
      <c r="A52" s="49"/>
      <c r="B52" s="50"/>
      <c r="C52" s="50"/>
      <c r="D52" s="50"/>
      <c r="E52" s="50"/>
      <c r="F52" s="50"/>
      <c r="G52" s="50"/>
      <c r="H52" s="51"/>
    </row>
    <row r="53" ht="15.75" customHeight="1">
      <c r="A53" s="45" t="s">
        <v>187</v>
      </c>
      <c r="B53" s="22"/>
      <c r="C53" s="22"/>
      <c r="D53" s="22"/>
      <c r="E53" s="22"/>
      <c r="F53" s="22"/>
      <c r="G53" s="22"/>
      <c r="H53" s="23"/>
    </row>
    <row r="54" ht="15.75" customHeight="1">
      <c r="A54" s="69"/>
      <c r="B54" s="47"/>
      <c r="C54" s="47"/>
      <c r="D54" s="47"/>
      <c r="E54" s="47"/>
      <c r="F54" s="47"/>
      <c r="G54" s="47"/>
      <c r="H54" s="48"/>
    </row>
    <row r="55" ht="15.75" customHeight="1">
      <c r="A55" s="62"/>
      <c r="H55" s="63"/>
    </row>
    <row r="56" ht="15.75" customHeight="1">
      <c r="A56" s="62"/>
      <c r="H56" s="63"/>
    </row>
    <row r="57" ht="15.75" customHeight="1">
      <c r="A57" s="49"/>
      <c r="B57" s="50"/>
      <c r="C57" s="50"/>
      <c r="D57" s="50"/>
      <c r="E57" s="50"/>
      <c r="F57" s="50"/>
      <c r="G57" s="50"/>
      <c r="H57" s="51"/>
    </row>
    <row r="58" ht="15.75" customHeight="1"/>
    <row r="59" ht="15.75" customHeight="1"/>
    <row r="60" ht="15.75" customHeight="1">
      <c r="A60" s="43" t="s">
        <v>225</v>
      </c>
      <c r="E60" s="36" t="s">
        <v>100</v>
      </c>
      <c r="F60" s="44"/>
      <c r="G60" s="36" t="s">
        <v>181</v>
      </c>
      <c r="H60" s="44"/>
    </row>
    <row r="61" ht="15.75" customHeight="1">
      <c r="A61" s="38" t="s">
        <v>191</v>
      </c>
    </row>
    <row r="62" ht="15.75" customHeight="1">
      <c r="A62" s="54" t="s">
        <v>112</v>
      </c>
      <c r="B62" s="21"/>
      <c r="C62" s="22"/>
      <c r="D62" s="22"/>
      <c r="E62" s="22"/>
      <c r="F62" s="22"/>
      <c r="G62" s="22"/>
      <c r="H62" s="23"/>
    </row>
    <row r="63" ht="15.75" customHeight="1">
      <c r="A63" s="54" t="s">
        <v>112</v>
      </c>
      <c r="B63" s="21"/>
      <c r="C63" s="22"/>
      <c r="D63" s="22"/>
      <c r="E63" s="22"/>
      <c r="F63" s="22"/>
      <c r="G63" s="22"/>
      <c r="H63" s="23"/>
    </row>
    <row r="64" ht="15.75" customHeight="1">
      <c r="A64" s="54" t="s">
        <v>112</v>
      </c>
      <c r="B64" s="21"/>
      <c r="C64" s="22"/>
      <c r="D64" s="22"/>
      <c r="E64" s="22"/>
      <c r="F64" s="22"/>
      <c r="G64" s="22"/>
      <c r="H64" s="23"/>
    </row>
    <row r="65" ht="15.75" customHeight="1">
      <c r="A65" s="54" t="s">
        <v>183</v>
      </c>
      <c r="B65" s="21"/>
      <c r="C65" s="22"/>
      <c r="D65" s="22"/>
      <c r="E65" s="22"/>
      <c r="F65" s="22"/>
      <c r="G65" s="22"/>
      <c r="H65" s="23"/>
    </row>
    <row r="66" ht="15.75" customHeight="1">
      <c r="A66" s="45" t="s">
        <v>185</v>
      </c>
      <c r="B66" s="22"/>
      <c r="C66" s="22"/>
      <c r="D66" s="22"/>
      <c r="E66" s="22"/>
      <c r="F66" s="22"/>
      <c r="G66" s="22"/>
      <c r="H66" s="23"/>
    </row>
    <row r="67" ht="15.75" customHeight="1">
      <c r="A67" s="69"/>
      <c r="B67" s="47"/>
      <c r="C67" s="47"/>
      <c r="D67" s="47"/>
      <c r="E67" s="47"/>
      <c r="F67" s="47"/>
      <c r="G67" s="47"/>
      <c r="H67" s="48"/>
    </row>
    <row r="68" ht="15.75" customHeight="1">
      <c r="A68" s="62"/>
      <c r="H68" s="63"/>
    </row>
    <row r="69" ht="15.75" customHeight="1">
      <c r="A69" s="49"/>
      <c r="B69" s="50"/>
      <c r="C69" s="50"/>
      <c r="D69" s="50"/>
      <c r="E69" s="50"/>
      <c r="F69" s="50"/>
      <c r="G69" s="50"/>
      <c r="H69" s="51"/>
    </row>
    <row r="70" ht="15.75" customHeight="1">
      <c r="A70" s="45" t="s">
        <v>187</v>
      </c>
      <c r="B70" s="22"/>
      <c r="C70" s="22"/>
      <c r="D70" s="22"/>
      <c r="E70" s="22"/>
      <c r="F70" s="22"/>
      <c r="G70" s="22"/>
      <c r="H70" s="23"/>
    </row>
    <row r="71" ht="15.75" customHeight="1">
      <c r="A71" s="69"/>
      <c r="B71" s="47"/>
      <c r="C71" s="47"/>
      <c r="D71" s="47"/>
      <c r="E71" s="47"/>
      <c r="F71" s="47"/>
      <c r="G71" s="47"/>
      <c r="H71" s="48"/>
    </row>
    <row r="72" ht="15.75" customHeight="1">
      <c r="A72" s="62"/>
      <c r="H72" s="63"/>
    </row>
    <row r="73" ht="15.75" customHeight="1">
      <c r="A73" s="62"/>
      <c r="H73" s="63"/>
    </row>
    <row r="74" ht="15.75" customHeight="1">
      <c r="A74" s="49"/>
      <c r="B74" s="50"/>
      <c r="C74" s="50"/>
      <c r="D74" s="50"/>
      <c r="E74" s="50"/>
      <c r="F74" s="50"/>
      <c r="G74" s="50"/>
      <c r="H74" s="51"/>
    </row>
    <row r="75" ht="15.75" customHeight="1"/>
    <row r="76" ht="15.75" customHeight="1"/>
    <row r="77" ht="15.75" customHeight="1">
      <c r="A77" s="43" t="s">
        <v>226</v>
      </c>
      <c r="E77" s="36" t="s">
        <v>100</v>
      </c>
      <c r="F77" s="44"/>
      <c r="G77" s="36" t="s">
        <v>181</v>
      </c>
      <c r="H77" s="44"/>
    </row>
    <row r="78" ht="15.75" customHeight="1">
      <c r="A78" s="38" t="s">
        <v>191</v>
      </c>
    </row>
    <row r="79" ht="15.75" customHeight="1">
      <c r="A79" s="54" t="s">
        <v>112</v>
      </c>
      <c r="B79" s="21"/>
      <c r="C79" s="22"/>
      <c r="D79" s="22"/>
      <c r="E79" s="22"/>
      <c r="F79" s="22"/>
      <c r="G79" s="22"/>
      <c r="H79" s="23"/>
    </row>
    <row r="80" ht="15.75" customHeight="1">
      <c r="A80" s="54" t="s">
        <v>112</v>
      </c>
      <c r="B80" s="21"/>
      <c r="C80" s="22"/>
      <c r="D80" s="22"/>
      <c r="E80" s="22"/>
      <c r="F80" s="22"/>
      <c r="G80" s="22"/>
      <c r="H80" s="23"/>
    </row>
    <row r="81" ht="15.75" customHeight="1">
      <c r="A81" s="54" t="s">
        <v>112</v>
      </c>
      <c r="B81" s="21"/>
      <c r="C81" s="22"/>
      <c r="D81" s="22"/>
      <c r="E81" s="22"/>
      <c r="F81" s="22"/>
      <c r="G81" s="22"/>
      <c r="H81" s="23"/>
    </row>
    <row r="82" ht="15.75" customHeight="1">
      <c r="A82" s="54" t="s">
        <v>183</v>
      </c>
      <c r="B82" s="21"/>
      <c r="C82" s="22"/>
      <c r="D82" s="22"/>
      <c r="E82" s="22"/>
      <c r="F82" s="22"/>
      <c r="G82" s="22"/>
      <c r="H82" s="23"/>
    </row>
    <row r="83" ht="15.75" customHeight="1">
      <c r="A83" s="45" t="s">
        <v>185</v>
      </c>
      <c r="B83" s="22"/>
      <c r="C83" s="22"/>
      <c r="D83" s="22"/>
      <c r="E83" s="22"/>
      <c r="F83" s="22"/>
      <c r="G83" s="22"/>
      <c r="H83" s="23"/>
    </row>
    <row r="84" ht="15.75" customHeight="1">
      <c r="A84" s="69"/>
      <c r="B84" s="47"/>
      <c r="C84" s="47"/>
      <c r="D84" s="47"/>
      <c r="E84" s="47"/>
      <c r="F84" s="47"/>
      <c r="G84" s="47"/>
      <c r="H84" s="48"/>
    </row>
    <row r="85" ht="15.75" customHeight="1">
      <c r="A85" s="62"/>
      <c r="H85" s="63"/>
    </row>
    <row r="86" ht="15.75" customHeight="1">
      <c r="A86" s="49"/>
      <c r="B86" s="50"/>
      <c r="C86" s="50"/>
      <c r="D86" s="50"/>
      <c r="E86" s="50"/>
      <c r="F86" s="50"/>
      <c r="G86" s="50"/>
      <c r="H86" s="51"/>
    </row>
    <row r="87" ht="15.75" customHeight="1">
      <c r="A87" s="45" t="s">
        <v>187</v>
      </c>
      <c r="B87" s="22"/>
      <c r="C87" s="22"/>
      <c r="D87" s="22"/>
      <c r="E87" s="22"/>
      <c r="F87" s="22"/>
      <c r="G87" s="22"/>
      <c r="H87" s="23"/>
    </row>
    <row r="88" ht="15.75" customHeight="1">
      <c r="A88" s="69"/>
      <c r="B88" s="47"/>
      <c r="C88" s="47"/>
      <c r="D88" s="47"/>
      <c r="E88" s="47"/>
      <c r="F88" s="47"/>
      <c r="G88" s="47"/>
      <c r="H88" s="48"/>
    </row>
    <row r="89" ht="15.75" customHeight="1">
      <c r="A89" s="62"/>
      <c r="H89" s="63"/>
    </row>
    <row r="90" ht="15.75" customHeight="1">
      <c r="A90" s="62"/>
      <c r="H90" s="63"/>
    </row>
    <row r="91" ht="15.75" customHeight="1">
      <c r="A91" s="49"/>
      <c r="B91" s="50"/>
      <c r="C91" s="50"/>
      <c r="D91" s="50"/>
      <c r="E91" s="50"/>
      <c r="F91" s="50"/>
      <c r="G91" s="50"/>
      <c r="H91" s="51"/>
    </row>
    <row r="92" ht="15.75" customHeight="1"/>
    <row r="93" ht="15.75" customHeight="1"/>
    <row r="94" ht="15.75" customHeight="1">
      <c r="A94" s="43" t="s">
        <v>227</v>
      </c>
      <c r="E94" s="36" t="s">
        <v>100</v>
      </c>
      <c r="F94" s="44"/>
      <c r="G94" s="36" t="s">
        <v>181</v>
      </c>
      <c r="H94" s="44"/>
    </row>
    <row r="95" ht="15.75" customHeight="1">
      <c r="A95" s="38" t="s">
        <v>191</v>
      </c>
    </row>
    <row r="96" ht="15.75" customHeight="1">
      <c r="A96" s="54" t="s">
        <v>112</v>
      </c>
      <c r="B96" s="21"/>
      <c r="C96" s="22"/>
      <c r="D96" s="22"/>
      <c r="E96" s="22"/>
      <c r="F96" s="22"/>
      <c r="G96" s="22"/>
      <c r="H96" s="23"/>
    </row>
    <row r="97" ht="15.75" customHeight="1">
      <c r="A97" s="54" t="s">
        <v>112</v>
      </c>
      <c r="B97" s="21"/>
      <c r="C97" s="22"/>
      <c r="D97" s="22"/>
      <c r="E97" s="22"/>
      <c r="F97" s="22"/>
      <c r="G97" s="22"/>
      <c r="H97" s="23"/>
    </row>
    <row r="98" ht="15.75" customHeight="1">
      <c r="A98" s="54" t="s">
        <v>112</v>
      </c>
      <c r="B98" s="21"/>
      <c r="C98" s="22"/>
      <c r="D98" s="22"/>
      <c r="E98" s="22"/>
      <c r="F98" s="22"/>
      <c r="G98" s="22"/>
      <c r="H98" s="23"/>
    </row>
    <row r="99" ht="15.75" customHeight="1">
      <c r="A99" s="54" t="s">
        <v>183</v>
      </c>
      <c r="B99" s="21"/>
      <c r="C99" s="22"/>
      <c r="D99" s="22"/>
      <c r="E99" s="22"/>
      <c r="F99" s="22"/>
      <c r="G99" s="22"/>
      <c r="H99" s="23"/>
    </row>
    <row r="100" ht="15.75" customHeight="1">
      <c r="A100" s="45" t="s">
        <v>185</v>
      </c>
      <c r="B100" s="22"/>
      <c r="C100" s="22"/>
      <c r="D100" s="22"/>
      <c r="E100" s="22"/>
      <c r="F100" s="22"/>
      <c r="G100" s="22"/>
      <c r="H100" s="23"/>
    </row>
    <row r="101" ht="15.75" customHeight="1">
      <c r="A101" s="69"/>
      <c r="B101" s="47"/>
      <c r="C101" s="47"/>
      <c r="D101" s="47"/>
      <c r="E101" s="47"/>
      <c r="F101" s="47"/>
      <c r="G101" s="47"/>
      <c r="H101" s="48"/>
    </row>
    <row r="102" ht="15.75" customHeight="1">
      <c r="A102" s="62"/>
      <c r="H102" s="63"/>
    </row>
    <row r="103" ht="15.75" customHeight="1">
      <c r="A103" s="49"/>
      <c r="B103" s="50"/>
      <c r="C103" s="50"/>
      <c r="D103" s="50"/>
      <c r="E103" s="50"/>
      <c r="F103" s="50"/>
      <c r="G103" s="50"/>
      <c r="H103" s="51"/>
    </row>
    <row r="104" ht="15.75" customHeight="1">
      <c r="A104" s="45" t="s">
        <v>187</v>
      </c>
      <c r="B104" s="22"/>
      <c r="C104" s="22"/>
      <c r="D104" s="22"/>
      <c r="E104" s="22"/>
      <c r="F104" s="22"/>
      <c r="G104" s="22"/>
      <c r="H104" s="23"/>
    </row>
    <row r="105" ht="15.75" customHeight="1">
      <c r="A105" s="69"/>
      <c r="B105" s="47"/>
      <c r="C105" s="47"/>
      <c r="D105" s="47"/>
      <c r="E105" s="47"/>
      <c r="F105" s="47"/>
      <c r="G105" s="47"/>
      <c r="H105" s="48"/>
    </row>
    <row r="106" ht="15.75" customHeight="1">
      <c r="A106" s="62"/>
      <c r="H106" s="63"/>
    </row>
    <row r="107" ht="15.75" customHeight="1">
      <c r="A107" s="62"/>
      <c r="H107" s="63"/>
    </row>
    <row r="108" ht="15.75" customHeight="1">
      <c r="A108" s="49"/>
      <c r="B108" s="50"/>
      <c r="C108" s="50"/>
      <c r="D108" s="50"/>
      <c r="E108" s="50"/>
      <c r="F108" s="50"/>
      <c r="G108" s="50"/>
      <c r="H108" s="51"/>
    </row>
    <row r="109" ht="15.75" customHeight="1"/>
    <row r="110" ht="15.75" customHeight="1"/>
    <row r="111" ht="15.75" customHeight="1">
      <c r="A111" s="43" t="s">
        <v>228</v>
      </c>
      <c r="E111" s="36" t="s">
        <v>100</v>
      </c>
      <c r="F111" s="44"/>
      <c r="G111" s="36" t="s">
        <v>181</v>
      </c>
      <c r="H111" s="44"/>
    </row>
    <row r="112" ht="15.75" customHeight="1">
      <c r="A112" s="38" t="s">
        <v>191</v>
      </c>
    </row>
    <row r="113" ht="15.75" customHeight="1">
      <c r="A113" s="54" t="s">
        <v>112</v>
      </c>
      <c r="B113" s="21"/>
      <c r="C113" s="22"/>
      <c r="D113" s="22"/>
      <c r="E113" s="22"/>
      <c r="F113" s="22"/>
      <c r="G113" s="22"/>
      <c r="H113" s="23"/>
    </row>
    <row r="114" ht="15.75" customHeight="1">
      <c r="A114" s="54" t="s">
        <v>112</v>
      </c>
      <c r="B114" s="21"/>
      <c r="C114" s="22"/>
      <c r="D114" s="22"/>
      <c r="E114" s="22"/>
      <c r="F114" s="22"/>
      <c r="G114" s="22"/>
      <c r="H114" s="23"/>
    </row>
    <row r="115" ht="15.75" customHeight="1">
      <c r="A115" s="54" t="s">
        <v>112</v>
      </c>
      <c r="B115" s="21"/>
      <c r="C115" s="22"/>
      <c r="D115" s="22"/>
      <c r="E115" s="22"/>
      <c r="F115" s="22"/>
      <c r="G115" s="22"/>
      <c r="H115" s="23"/>
    </row>
    <row r="116" ht="15.75" customHeight="1">
      <c r="A116" s="54" t="s">
        <v>183</v>
      </c>
      <c r="B116" s="21"/>
      <c r="C116" s="22"/>
      <c r="D116" s="22"/>
      <c r="E116" s="22"/>
      <c r="F116" s="22"/>
      <c r="G116" s="22"/>
      <c r="H116" s="23"/>
    </row>
    <row r="117" ht="15.75" customHeight="1">
      <c r="A117" s="45" t="s">
        <v>185</v>
      </c>
      <c r="B117" s="22"/>
      <c r="C117" s="22"/>
      <c r="D117" s="22"/>
      <c r="E117" s="22"/>
      <c r="F117" s="22"/>
      <c r="G117" s="22"/>
      <c r="H117" s="23"/>
    </row>
    <row r="118" ht="15.75" customHeight="1">
      <c r="A118" s="69"/>
      <c r="B118" s="47"/>
      <c r="C118" s="47"/>
      <c r="D118" s="47"/>
      <c r="E118" s="47"/>
      <c r="F118" s="47"/>
      <c r="G118" s="47"/>
      <c r="H118" s="48"/>
    </row>
    <row r="119" ht="15.75" customHeight="1">
      <c r="A119" s="62"/>
      <c r="H119" s="63"/>
    </row>
    <row r="120" ht="15.75" customHeight="1">
      <c r="A120" s="49"/>
      <c r="B120" s="50"/>
      <c r="C120" s="50"/>
      <c r="D120" s="50"/>
      <c r="E120" s="50"/>
      <c r="F120" s="50"/>
      <c r="G120" s="50"/>
      <c r="H120" s="51"/>
    </row>
    <row r="121" ht="15.75" customHeight="1">
      <c r="A121" s="45" t="s">
        <v>187</v>
      </c>
      <c r="B121" s="22"/>
      <c r="C121" s="22"/>
      <c r="D121" s="22"/>
      <c r="E121" s="22"/>
      <c r="F121" s="22"/>
      <c r="G121" s="22"/>
      <c r="H121" s="23"/>
    </row>
    <row r="122" ht="15.75" customHeight="1">
      <c r="A122" s="69"/>
      <c r="B122" s="47"/>
      <c r="C122" s="47"/>
      <c r="D122" s="47"/>
      <c r="E122" s="47"/>
      <c r="F122" s="47"/>
      <c r="G122" s="47"/>
      <c r="H122" s="48"/>
    </row>
    <row r="123" ht="15.75" customHeight="1">
      <c r="A123" s="62"/>
      <c r="H123" s="63"/>
    </row>
    <row r="124" ht="15.75" customHeight="1">
      <c r="A124" s="62"/>
      <c r="H124" s="63"/>
    </row>
    <row r="125" ht="15.75" customHeight="1">
      <c r="A125" s="49"/>
      <c r="B125" s="50"/>
      <c r="C125" s="50"/>
      <c r="D125" s="50"/>
      <c r="E125" s="50"/>
      <c r="F125" s="50"/>
      <c r="G125" s="50"/>
      <c r="H125" s="5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9"/>
    </row>
    <row r="2" ht="15.75" customHeight="1">
      <c r="A2" s="19"/>
      <c r="B2" s="41" t="s">
        <v>229</v>
      </c>
    </row>
    <row r="3" ht="15.75" customHeight="1">
      <c r="A3" s="19"/>
    </row>
    <row r="4" ht="15.75" customHeight="1">
      <c r="A4" s="19"/>
      <c r="B4" s="3" t="s">
        <v>1</v>
      </c>
      <c r="C4" s="3" t="str">
        <f>'Diseño'!C4</f>
        <v>285 - Sistemas Operativos 2</v>
      </c>
    </row>
    <row r="5">
      <c r="A5" s="19"/>
      <c r="B5" s="19" t="s">
        <v>3</v>
      </c>
      <c r="C5" s="5" t="s">
        <v>4</v>
      </c>
    </row>
    <row r="6">
      <c r="A6" s="19"/>
      <c r="B6" s="19" t="s">
        <v>230</v>
      </c>
      <c r="H6" s="74"/>
    </row>
    <row r="7" ht="15.75" customHeight="1">
      <c r="A7" s="19"/>
    </row>
    <row r="8" ht="15.75" customHeight="1">
      <c r="A8" s="19"/>
    </row>
    <row r="9" ht="15.75" customHeight="1">
      <c r="A9" s="36" t="s">
        <v>231</v>
      </c>
      <c r="B9" s="75"/>
      <c r="D9" s="36" t="s">
        <v>178</v>
      </c>
      <c r="E9" s="76"/>
      <c r="F9" s="77"/>
      <c r="G9" s="77"/>
      <c r="H9" s="77"/>
      <c r="I9" s="77"/>
      <c r="J9" s="77"/>
      <c r="K9" s="77"/>
      <c r="L9" s="77"/>
      <c r="M9" s="77"/>
      <c r="N9" s="77"/>
      <c r="O9" s="77"/>
      <c r="P9" s="77"/>
      <c r="Q9" s="77"/>
      <c r="R9" s="77"/>
      <c r="S9" s="77"/>
      <c r="T9" s="77"/>
      <c r="U9" s="77"/>
      <c r="V9" s="77"/>
      <c r="W9" s="77"/>
      <c r="X9" s="77"/>
      <c r="Y9" s="77"/>
      <c r="Z9" s="77"/>
    </row>
    <row r="10" ht="15.75" customHeight="1">
      <c r="A10" s="78" t="s">
        <v>232</v>
      </c>
      <c r="D10" s="78" t="s">
        <v>233</v>
      </c>
    </row>
    <row r="11" ht="15.75" customHeight="1">
      <c r="A11" s="79"/>
      <c r="B11" s="80"/>
      <c r="C11" s="80"/>
      <c r="D11" s="80"/>
    </row>
    <row r="12" ht="15.75" customHeight="1">
      <c r="A12" s="81" t="s">
        <v>133</v>
      </c>
      <c r="B12" s="82" t="s">
        <v>234</v>
      </c>
      <c r="C12" s="82" t="s">
        <v>235</v>
      </c>
      <c r="D12" s="82" t="s">
        <v>236</v>
      </c>
    </row>
    <row r="13" ht="33.75" customHeight="1">
      <c r="A13" s="42" t="s">
        <v>237</v>
      </c>
      <c r="B13" s="24"/>
      <c r="C13" s="24"/>
      <c r="D13" s="24"/>
      <c r="E13" s="78" t="s">
        <v>238</v>
      </c>
    </row>
    <row r="14" ht="15.75" customHeight="1">
      <c r="A14" s="42" t="s">
        <v>178</v>
      </c>
      <c r="B14" s="24">
        <f>Proyectos!C6</f>
        <v>80</v>
      </c>
      <c r="C14" s="24">
        <f>Proyectos!C5</f>
        <v>40</v>
      </c>
      <c r="D14" s="24"/>
    </row>
    <row r="15" ht="15.75" customHeight="1">
      <c r="A15" s="42" t="s">
        <v>192</v>
      </c>
      <c r="B15" s="24">
        <f>Practicas!C6</f>
        <v>20</v>
      </c>
      <c r="C15" s="24">
        <f>Practicas!C5</f>
        <v>34</v>
      </c>
      <c r="D15" s="24"/>
    </row>
    <row r="16" ht="15.75" customHeight="1">
      <c r="A16" s="42" t="s">
        <v>220</v>
      </c>
      <c r="B16" s="24">
        <f>Tareas!C6</f>
        <v>0</v>
      </c>
      <c r="C16" s="24">
        <f>Tareas!C5</f>
        <v>0</v>
      </c>
      <c r="D16" s="24"/>
    </row>
    <row r="17" ht="15.75" customHeight="1">
      <c r="A17" s="83" t="s">
        <v>239</v>
      </c>
      <c r="B17" s="84">
        <f t="shared" ref="B17:C17" si="1">SUM(B13:B16)</f>
        <v>100</v>
      </c>
      <c r="C17" s="84">
        <f t="shared" si="1"/>
        <v>74</v>
      </c>
      <c r="D17" s="84"/>
    </row>
    <row r="18" ht="15.75" customHeight="1">
      <c r="A18" s="19"/>
    </row>
    <row r="19" ht="15.75" customHeight="1">
      <c r="A19" s="19"/>
    </row>
    <row r="20" ht="15.75" customHeight="1">
      <c r="A20" s="19"/>
    </row>
    <row r="21" ht="15.75" customHeight="1">
      <c r="A21" s="19"/>
    </row>
    <row r="22" ht="15.75" customHeight="1">
      <c r="A22" s="19"/>
    </row>
    <row r="23" ht="15.75" customHeight="1">
      <c r="A23" s="19"/>
    </row>
    <row r="24" ht="15.75" customHeight="1">
      <c r="A24" s="19"/>
    </row>
    <row r="25" ht="15.75" customHeight="1">
      <c r="A25" s="19"/>
    </row>
    <row r="26" ht="15.75" customHeight="1">
      <c r="A26" s="19"/>
    </row>
    <row r="27" ht="15.75" customHeight="1">
      <c r="A27" s="19"/>
    </row>
    <row r="28" ht="15.75" customHeight="1">
      <c r="A28" s="19"/>
    </row>
    <row r="29" ht="15.75" customHeight="1">
      <c r="A29" s="19"/>
    </row>
    <row r="30" ht="15.75" customHeight="1">
      <c r="A30" s="19"/>
    </row>
    <row r="31" ht="15.75" customHeight="1">
      <c r="A31" s="19"/>
    </row>
    <row r="32" ht="15.75" customHeight="1">
      <c r="A32" s="19"/>
    </row>
    <row r="33" ht="15.75" customHeight="1">
      <c r="A33" s="19"/>
    </row>
    <row r="34" ht="15.75" customHeight="1">
      <c r="A34" s="19"/>
    </row>
    <row r="35" ht="15.75" customHeight="1">
      <c r="A35" s="19"/>
    </row>
    <row r="36" ht="15.75" customHeight="1">
      <c r="A36" s="19"/>
    </row>
    <row r="37" ht="15.75" customHeight="1">
      <c r="A37" s="19"/>
    </row>
    <row r="38" ht="15.75" customHeight="1">
      <c r="A38" s="19"/>
    </row>
    <row r="39" ht="15.75" customHeight="1">
      <c r="A39" s="19"/>
    </row>
    <row r="40" ht="15.75" customHeight="1">
      <c r="A40" s="19"/>
    </row>
    <row r="41" ht="15.75" customHeight="1">
      <c r="A41" s="19"/>
    </row>
    <row r="42" ht="15.75" customHeight="1">
      <c r="A42" s="19"/>
    </row>
    <row r="43" ht="15.75" customHeight="1">
      <c r="A43" s="19"/>
    </row>
    <row r="44" ht="15.75" customHeight="1">
      <c r="A44" s="19"/>
    </row>
    <row r="45" ht="15.75" customHeight="1">
      <c r="A45" s="19"/>
    </row>
    <row r="46" ht="15.75" customHeight="1">
      <c r="A46" s="19"/>
    </row>
    <row r="47" ht="15.75" customHeight="1">
      <c r="A47" s="19"/>
    </row>
    <row r="48" ht="15.75" customHeight="1">
      <c r="A48" s="19"/>
    </row>
    <row r="49" ht="15.75" customHeight="1">
      <c r="A49" s="19"/>
    </row>
    <row r="50" ht="15.75" customHeight="1">
      <c r="A50" s="19"/>
    </row>
    <row r="51" ht="15.75" customHeight="1">
      <c r="A51" s="19"/>
    </row>
    <row r="52" ht="15.75" customHeight="1">
      <c r="A52" s="19"/>
    </row>
    <row r="53" ht="15.75" customHeight="1">
      <c r="A53" s="19"/>
    </row>
    <row r="54" ht="15.75" customHeight="1">
      <c r="A54" s="19"/>
    </row>
    <row r="55" ht="15.75" customHeight="1">
      <c r="A55" s="19"/>
    </row>
    <row r="56" ht="15.75" customHeight="1">
      <c r="A56" s="19"/>
    </row>
    <row r="57" ht="15.75" customHeight="1">
      <c r="A57" s="19"/>
    </row>
    <row r="58" ht="15.75" customHeight="1">
      <c r="A58" s="19"/>
    </row>
    <row r="59" ht="15.75" customHeight="1">
      <c r="A59" s="19"/>
    </row>
    <row r="60" ht="15.75" customHeight="1">
      <c r="A60" s="19"/>
    </row>
    <row r="61" ht="15.75" customHeight="1">
      <c r="A61" s="19"/>
    </row>
    <row r="62" ht="15.75" customHeight="1">
      <c r="A62" s="19"/>
    </row>
    <row r="63" ht="15.75" customHeight="1">
      <c r="A63" s="19"/>
    </row>
    <row r="64" ht="15.75" customHeight="1">
      <c r="A64" s="19"/>
    </row>
    <row r="65" ht="15.75" customHeight="1">
      <c r="A65" s="19"/>
    </row>
    <row r="66" ht="15.75" customHeight="1">
      <c r="A66" s="19"/>
    </row>
    <row r="67" ht="15.75" customHeight="1">
      <c r="A67" s="19"/>
    </row>
    <row r="68" ht="15.75" customHeight="1">
      <c r="A68" s="19"/>
    </row>
    <row r="69" ht="15.75" customHeight="1">
      <c r="A69" s="19"/>
    </row>
    <row r="70" ht="15.75" customHeight="1">
      <c r="A70" s="19"/>
    </row>
    <row r="71" ht="15.75" customHeight="1">
      <c r="A71" s="19"/>
    </row>
    <row r="72" ht="15.75" customHeight="1">
      <c r="A72" s="19"/>
    </row>
    <row r="73" ht="15.75" customHeight="1">
      <c r="A73" s="19"/>
    </row>
    <row r="74" ht="15.75" customHeight="1">
      <c r="A74" s="19"/>
    </row>
    <row r="75" ht="15.75" customHeight="1">
      <c r="A75" s="19"/>
    </row>
    <row r="76" ht="15.75" customHeight="1">
      <c r="A76" s="19"/>
    </row>
    <row r="77" ht="15.75" customHeight="1">
      <c r="A77" s="19"/>
    </row>
    <row r="78" ht="15.75" customHeight="1">
      <c r="A78" s="19"/>
    </row>
    <row r="79" ht="15.75" customHeight="1">
      <c r="A79" s="19"/>
    </row>
    <row r="80" ht="15.75" customHeight="1">
      <c r="A80" s="19"/>
    </row>
    <row r="81" ht="15.75" customHeight="1">
      <c r="A81" s="19"/>
    </row>
    <row r="82" ht="15.75" customHeight="1">
      <c r="A82" s="19"/>
    </row>
    <row r="83" ht="15.75" customHeight="1">
      <c r="A83" s="19"/>
    </row>
    <row r="84" ht="15.75" customHeight="1">
      <c r="A84" s="19"/>
    </row>
    <row r="85" ht="15.75" customHeight="1">
      <c r="A85" s="19"/>
    </row>
    <row r="86" ht="15.75" customHeight="1">
      <c r="A86" s="19"/>
    </row>
    <row r="87" ht="15.75" customHeight="1">
      <c r="A87" s="19"/>
    </row>
    <row r="88" ht="15.75" customHeight="1">
      <c r="A88" s="19"/>
    </row>
    <row r="89" ht="15.75" customHeight="1">
      <c r="A89" s="19"/>
    </row>
    <row r="90" ht="15.75" customHeight="1">
      <c r="A90" s="19"/>
    </row>
    <row r="91" ht="15.75" customHeight="1">
      <c r="A91" s="19"/>
    </row>
    <row r="92" ht="15.75" customHeight="1">
      <c r="A92" s="19"/>
    </row>
    <row r="93" ht="15.75" customHeight="1">
      <c r="A93" s="19"/>
    </row>
    <row r="94" ht="15.75" customHeight="1">
      <c r="A94" s="19"/>
    </row>
    <row r="95" ht="15.75" customHeight="1">
      <c r="A95" s="19"/>
    </row>
    <row r="96" ht="15.75" customHeight="1">
      <c r="A96" s="19"/>
    </row>
    <row r="97" ht="15.75" customHeight="1">
      <c r="A97" s="19"/>
    </row>
    <row r="98" ht="15.75" customHeight="1">
      <c r="A98" s="19"/>
    </row>
    <row r="99" ht="15.75" customHeight="1">
      <c r="A99" s="19"/>
    </row>
    <row r="100" ht="15.75" customHeight="1">
      <c r="A100" s="19"/>
    </row>
    <row r="101" ht="15.75" customHeight="1">
      <c r="A101" s="19"/>
    </row>
    <row r="102" ht="15.75" customHeight="1">
      <c r="A102" s="19"/>
    </row>
    <row r="103" ht="15.75" customHeight="1">
      <c r="A103" s="19"/>
    </row>
    <row r="104" ht="15.75" customHeight="1">
      <c r="A104" s="19"/>
    </row>
    <row r="105" ht="15.75" customHeight="1">
      <c r="A105" s="19"/>
    </row>
    <row r="106" ht="15.75" customHeight="1">
      <c r="A106" s="19"/>
    </row>
    <row r="107" ht="15.75" customHeight="1">
      <c r="A107" s="19"/>
    </row>
    <row r="108" ht="15.75" customHeight="1">
      <c r="A108" s="19"/>
    </row>
    <row r="109" ht="15.75" customHeight="1">
      <c r="A109" s="19"/>
    </row>
    <row r="110" ht="15.75" customHeight="1">
      <c r="A110" s="19"/>
    </row>
    <row r="111" ht="15.75" customHeight="1">
      <c r="A111" s="19"/>
    </row>
    <row r="112" ht="15.75" customHeight="1">
      <c r="A112" s="19"/>
    </row>
    <row r="113" ht="15.75" customHeight="1">
      <c r="A113" s="19"/>
    </row>
    <row r="114" ht="15.75" customHeight="1">
      <c r="A114" s="19"/>
    </row>
    <row r="115" ht="15.75" customHeight="1">
      <c r="A115" s="19"/>
    </row>
    <row r="116" ht="15.75" customHeight="1">
      <c r="A116" s="19"/>
    </row>
    <row r="117" ht="15.75" customHeight="1">
      <c r="A117" s="19"/>
    </row>
    <row r="118" ht="15.75" customHeight="1">
      <c r="A118" s="19"/>
    </row>
    <row r="119" ht="15.75" customHeight="1">
      <c r="A119" s="19"/>
    </row>
    <row r="120" ht="15.75" customHeight="1">
      <c r="A120" s="19"/>
    </row>
    <row r="121" ht="15.75" customHeight="1">
      <c r="A121" s="19"/>
    </row>
    <row r="122" ht="15.75" customHeight="1">
      <c r="A122" s="19"/>
    </row>
    <row r="123" ht="15.75" customHeight="1">
      <c r="A123" s="19"/>
    </row>
    <row r="124" ht="15.75" customHeight="1">
      <c r="A124" s="19"/>
    </row>
    <row r="125" ht="15.75" customHeight="1">
      <c r="A125" s="19"/>
    </row>
    <row r="126" ht="15.75" customHeight="1">
      <c r="A126" s="19"/>
    </row>
    <row r="127" ht="15.75" customHeight="1">
      <c r="A127" s="19"/>
    </row>
    <row r="128" ht="15.75" customHeight="1">
      <c r="A128" s="19"/>
    </row>
    <row r="129" ht="15.75" customHeight="1">
      <c r="A129" s="19"/>
    </row>
    <row r="130" ht="15.75" customHeight="1">
      <c r="A130" s="19"/>
    </row>
    <row r="131" ht="15.75" customHeight="1">
      <c r="A131" s="19"/>
    </row>
    <row r="132" ht="15.75" customHeight="1">
      <c r="A132" s="19"/>
    </row>
    <row r="133" ht="15.75" customHeight="1">
      <c r="A133" s="19"/>
    </row>
    <row r="134" ht="15.75" customHeight="1">
      <c r="A134" s="19"/>
    </row>
    <row r="135" ht="15.75" customHeight="1">
      <c r="A135" s="19"/>
    </row>
    <row r="136" ht="15.75" customHeight="1">
      <c r="A136" s="19"/>
    </row>
    <row r="137" ht="15.75" customHeight="1">
      <c r="A137" s="19"/>
    </row>
    <row r="138" ht="15.75" customHeight="1">
      <c r="A138" s="19"/>
    </row>
    <row r="139" ht="15.75" customHeight="1">
      <c r="A139" s="19"/>
    </row>
    <row r="140" ht="15.75" customHeight="1">
      <c r="A140" s="19"/>
    </row>
    <row r="141" ht="15.75" customHeight="1">
      <c r="A141" s="19"/>
    </row>
    <row r="142" ht="15.75" customHeight="1">
      <c r="A142" s="19"/>
    </row>
    <row r="143" ht="15.75" customHeight="1">
      <c r="A143" s="19"/>
    </row>
    <row r="144" ht="15.75" customHeight="1">
      <c r="A144" s="19"/>
    </row>
    <row r="145" ht="15.75" customHeight="1">
      <c r="A145" s="19"/>
    </row>
    <row r="146" ht="15.75" customHeight="1">
      <c r="A146" s="19"/>
    </row>
    <row r="147" ht="15.75" customHeight="1">
      <c r="A147" s="19"/>
    </row>
    <row r="148" ht="15.75" customHeight="1">
      <c r="A148" s="19"/>
    </row>
    <row r="149" ht="15.75" customHeight="1">
      <c r="A149" s="19"/>
    </row>
    <row r="150" ht="15.75" customHeight="1">
      <c r="A150" s="19"/>
    </row>
    <row r="151" ht="15.75" customHeight="1">
      <c r="A151" s="19"/>
    </row>
    <row r="152" ht="15.75" customHeight="1">
      <c r="A152" s="19"/>
    </row>
    <row r="153" ht="15.75" customHeight="1">
      <c r="A153" s="19"/>
    </row>
    <row r="154" ht="15.75" customHeight="1">
      <c r="A154" s="19"/>
    </row>
    <row r="155" ht="15.75" customHeight="1">
      <c r="A155" s="19"/>
    </row>
    <row r="156" ht="15.75" customHeight="1">
      <c r="A156" s="19"/>
    </row>
    <row r="157" ht="15.75" customHeight="1">
      <c r="A157" s="19"/>
    </row>
    <row r="158" ht="15.75" customHeight="1">
      <c r="A158" s="19"/>
    </row>
    <row r="159" ht="15.75" customHeight="1">
      <c r="A159" s="19"/>
    </row>
    <row r="160" ht="15.75" customHeight="1">
      <c r="A160" s="19"/>
    </row>
    <row r="161" ht="15.75" customHeight="1">
      <c r="A161" s="19"/>
    </row>
    <row r="162" ht="15.75" customHeight="1">
      <c r="A162" s="19"/>
    </row>
    <row r="163" ht="15.75" customHeight="1">
      <c r="A163" s="19"/>
    </row>
    <row r="164" ht="15.75" customHeight="1">
      <c r="A164" s="19"/>
    </row>
    <row r="165" ht="15.75" customHeight="1">
      <c r="A165" s="19"/>
    </row>
    <row r="166" ht="15.75" customHeight="1">
      <c r="A166" s="19"/>
    </row>
    <row r="167" ht="15.75" customHeight="1">
      <c r="A167" s="19"/>
    </row>
    <row r="168" ht="15.75" customHeight="1">
      <c r="A168" s="19"/>
    </row>
    <row r="169" ht="15.75" customHeight="1">
      <c r="A169" s="19"/>
    </row>
    <row r="170" ht="15.75" customHeight="1">
      <c r="A170" s="19"/>
    </row>
    <row r="171" ht="15.75" customHeight="1">
      <c r="A171" s="19"/>
    </row>
    <row r="172" ht="15.75" customHeight="1">
      <c r="A172" s="19"/>
    </row>
    <row r="173" ht="15.75" customHeight="1">
      <c r="A173" s="19"/>
    </row>
    <row r="174" ht="15.75" customHeight="1">
      <c r="A174" s="19"/>
    </row>
    <row r="175" ht="15.75" customHeight="1">
      <c r="A175" s="19"/>
    </row>
    <row r="176" ht="15.75" customHeight="1">
      <c r="A176" s="19"/>
    </row>
    <row r="177" ht="15.75" customHeight="1">
      <c r="A177" s="19"/>
    </row>
    <row r="178" ht="15.75" customHeight="1">
      <c r="A178" s="19"/>
    </row>
    <row r="179" ht="15.75" customHeight="1">
      <c r="A179" s="19"/>
    </row>
    <row r="180" ht="15.75" customHeight="1">
      <c r="A180" s="19"/>
    </row>
    <row r="181" ht="15.75" customHeight="1">
      <c r="A181" s="19"/>
    </row>
    <row r="182" ht="15.75" customHeight="1">
      <c r="A182" s="19"/>
    </row>
    <row r="183" ht="15.75" customHeight="1">
      <c r="A183" s="19"/>
    </row>
    <row r="184" ht="15.75" customHeight="1">
      <c r="A184" s="19"/>
    </row>
    <row r="185" ht="15.75" customHeight="1">
      <c r="A185" s="19"/>
    </row>
    <row r="186" ht="15.75" customHeight="1">
      <c r="A186" s="19"/>
    </row>
    <row r="187" ht="15.75" customHeight="1">
      <c r="A187" s="19"/>
    </row>
    <row r="188" ht="15.75" customHeight="1">
      <c r="A188" s="19"/>
    </row>
    <row r="189" ht="15.75" customHeight="1">
      <c r="A189" s="19"/>
    </row>
    <row r="190" ht="15.75" customHeight="1">
      <c r="A190" s="19"/>
    </row>
    <row r="191" ht="15.75" customHeight="1">
      <c r="A191" s="19"/>
    </row>
    <row r="192" ht="15.75" customHeight="1">
      <c r="A192" s="19"/>
    </row>
    <row r="193" ht="15.75" customHeight="1">
      <c r="A193" s="19"/>
    </row>
    <row r="194" ht="15.75" customHeight="1">
      <c r="A194" s="19"/>
    </row>
    <row r="195" ht="15.75" customHeight="1">
      <c r="A195" s="19"/>
    </row>
    <row r="196" ht="15.75" customHeight="1">
      <c r="A196" s="19"/>
    </row>
    <row r="197" ht="15.75" customHeight="1">
      <c r="A197" s="19"/>
    </row>
    <row r="198" ht="15.75" customHeight="1">
      <c r="A198" s="19"/>
    </row>
    <row r="199" ht="15.75" customHeight="1">
      <c r="A199" s="19"/>
    </row>
    <row r="200" ht="15.75" customHeight="1">
      <c r="A200" s="19"/>
    </row>
    <row r="201" ht="15.75" customHeight="1">
      <c r="A201" s="19"/>
    </row>
    <row r="202" ht="15.75" customHeight="1">
      <c r="A202" s="19"/>
    </row>
    <row r="203" ht="15.75" customHeight="1">
      <c r="A203" s="19"/>
    </row>
    <row r="204" ht="15.75" customHeight="1">
      <c r="A204" s="19"/>
    </row>
    <row r="205" ht="15.75" customHeight="1">
      <c r="A205" s="19"/>
    </row>
    <row r="206" ht="15.75" customHeight="1">
      <c r="A206" s="19"/>
    </row>
    <row r="207" ht="15.75" customHeight="1">
      <c r="A207" s="19"/>
    </row>
    <row r="208" ht="15.75" customHeight="1">
      <c r="A208" s="19"/>
    </row>
    <row r="209" ht="15.75" customHeight="1">
      <c r="A209" s="19"/>
    </row>
    <row r="210" ht="15.75" customHeight="1">
      <c r="A210" s="19"/>
    </row>
    <row r="211" ht="15.75" customHeight="1">
      <c r="A211" s="19"/>
    </row>
    <row r="212" ht="15.75" customHeight="1">
      <c r="A212" s="19"/>
    </row>
    <row r="213" ht="15.75" customHeight="1">
      <c r="A213" s="19"/>
    </row>
    <row r="214" ht="15.75" customHeight="1">
      <c r="A214" s="19"/>
    </row>
    <row r="215" ht="15.75" customHeight="1">
      <c r="A215" s="19"/>
    </row>
    <row r="216" ht="15.75" customHeight="1">
      <c r="A216" s="19"/>
    </row>
    <row r="217" ht="15.75" customHeight="1">
      <c r="A217" s="19"/>
    </row>
    <row r="218" ht="15.75" customHeight="1">
      <c r="A218" s="19"/>
    </row>
    <row r="219" ht="15.75" customHeight="1">
      <c r="A219" s="19"/>
    </row>
    <row r="220" ht="15.75" customHeight="1">
      <c r="A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IFERROR(__xludf.DUMMYFUNCTION("""COMPUTED_VALUE"""),"Especifica")</f>
        <v>Especifica</v>
      </c>
      <c r="J1" s="5" t="str">
        <f>IFERROR(__xludf.DUMMYFUNCTION("""COMPUTED_VALUE"""),"El estudiante describe")</f>
        <v>El estudiante describe</v>
      </c>
      <c r="K1" s="5" t="str">
        <f>IFERROR(__xludf.DUMMYFUNCTION("""COMPUTED_VALUE"""),"la arquitectura y los componentes fundamentales de un S.O.")</f>
        <v>la arquitectura y los componentes fundamentales de un S.O.</v>
      </c>
      <c r="L1" s="5"/>
      <c r="M1" s="5" t="str">
        <f>IFERROR(__xludf.DUMMYFUNCTION("""COMPUTED_VALUE"""),"analizando la separación entre el espacio de usuario y el espacio de kernel")</f>
        <v>analizando la separación entre el espacio de usuario y el espacio de kernel</v>
      </c>
      <c r="N1" s="5" t="str">
        <f>IFERROR(__xludf.DUMMYFUNCTION("""COMPUTED_VALUE"""),"para establecer las bases conceptuales necesarias para la modificación del sistema.")</f>
        <v>para establecer las bases conceptuales necesarias para la modificación del sistema.</v>
      </c>
      <c r="O1" s="5"/>
      <c r="P1" s="5" t="str">
        <f>IFERROR(__xludf.DUMMYFUNCTION("""COMPUTED_VALUE"""),"Recordar")</f>
        <v>Recordar</v>
      </c>
    </row>
    <row r="2" ht="15.75" customHeight="1">
      <c r="A2" s="5" t="str">
        <f>IFERROR(__xludf.DUMMYFUNCTION("""COMPUTED_VALUE"""),"17 - Área Social Humanística 1")</f>
        <v>17 - Área Social Humanística 1</v>
      </c>
      <c r="B2" s="5"/>
      <c r="C2" s="5"/>
      <c r="D2" s="5"/>
      <c r="E2" s="5"/>
      <c r="H2" s="5"/>
      <c r="I2" s="5" t="str">
        <f>IFERROR(__xludf.DUMMYFUNCTION("""COMPUTED_VALUE"""),"El estudiante describe la arquitectura y los componentes fundamentales de un S.O. analizando la separación entre el espacio de usuario y el espacio de kernel para establecer las bases conceptuales necesarias para la modificación del sistema. ")</f>
        <v>El estudiante describe la arquitectura y los componentes fundamentales de un S.O. analizando la separación entre el espacio de usuario y el espacio de kernel para establecer las bases conceptuales necesarias para la modificación del sistema.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IFERROR(__xludf.DUMMYFUNCTION("""COMPUTED_VALUE"""),"El estudiante interpreta")</f>
        <v>El estudiante interpreta</v>
      </c>
      <c r="K3" s="5" t="str">
        <f>IFERROR(__xludf.DUMMYFUNCTION("""COMPUTED_VALUE"""),"el flujo de ejecución y las interacciones clave dentro de un kernel")</f>
        <v>el flujo de ejecución y las interacciones clave dentro de un kernel</v>
      </c>
      <c r="L3" s="5"/>
      <c r="M3" s="5" t="str">
        <f>IFERROR(__xludf.DUMMYFUNCTION("""COMPUTED_VALUE"""),"mediante la compilación, ejecución y depuración del código fuente del kernel")</f>
        <v>mediante la compilación, ejecución y depuración del código fuente del kernel</v>
      </c>
      <c r="N3" s="5" t="str">
        <f>IFERROR(__xludf.DUMMYFUNCTION("""COMPUTED_VALUE"""),"para comprender cómo el sistema operativo gestiona el hardware y los procesos desde el arranque.")</f>
        <v>para comprender cómo el sistema operativo gestiona el hardware y los procesos desde el arranque.</v>
      </c>
      <c r="O3" s="5"/>
      <c r="P3" s="5" t="str">
        <f>IFERROR(__xludf.DUMMYFUNCTION("""COMPUTED_VALUE"""),"Comprender")</f>
        <v>Comprender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IFERROR(__xludf.DUMMYFUNCTION("""COMPUTED_VALUE"""),"El estudiante interpreta el flujo de ejecución y las interacciones clave dentro de un kernel mediante la compilación, ejecución y depuración del código fuente del kernel para comprender cómo el sistema operativo gestiona el hardware y los procesos desde e"&amp;"l arranque. ")</f>
        <v>El estudiante interpreta el flujo de ejecución y las interacciones clave dentro de un kernel mediante la compilación, ejecución y depuración del código fuente del kernel para comprender cómo el sistema operativo gestiona el hardware y los procesos desde el arranque.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IFERROR(__xludf.DUMMYFUNCTION("""COMPUTED_VALUE"""),"El estudiante aplica")</f>
        <v>El estudiante aplica</v>
      </c>
      <c r="K5" s="5" t="str">
        <f>IFERROR(__xludf.DUMMYFUNCTION("""COMPUTED_VALUE"""),"sincronización dentro del código del kernel")</f>
        <v>sincronización dentro del código del kernel</v>
      </c>
      <c r="L5" s="5"/>
      <c r="M5" s="5" t="str">
        <f>IFERROR(__xludf.DUMMYFUNCTION("""COMPUTED_VALUE"""),"para proteger el acceso a estructuras de datos compartidas")</f>
        <v>para proteger el acceso a estructuras de datos compartidas</v>
      </c>
      <c r="N5" s="5" t="str">
        <f>IFERROR(__xludf.DUMMYFUNCTION("""COMPUTED_VALUE"""),"garantizando la integridad de la información al ser leída por múltiples procesos de forma concurrente.")</f>
        <v>garantizando la integridad de la información al ser leída por múltiples procesos de forma concurrente.</v>
      </c>
      <c r="O5" s="5"/>
      <c r="P5" s="5" t="str">
        <f>IFERROR(__xludf.DUMMYFUNCTION("""COMPUTED_VALUE"""),"Aplicar")</f>
        <v>Aplicar</v>
      </c>
    </row>
    <row r="6" ht="15.75" customHeight="1">
      <c r="A6" s="5" t="str">
        <f>IFERROR(__xludf.DUMMYFUNCTION("""COMPUTED_VALUE"""),"6 - Idioma Tecnico 1")</f>
        <v>6 - Idioma Tecnico 1</v>
      </c>
      <c r="B6" s="5"/>
      <c r="C6" s="5"/>
      <c r="D6" s="5"/>
      <c r="E6" s="5"/>
      <c r="H6" s="5"/>
      <c r="I6" s="5" t="str">
        <f>IFERROR(__xludf.DUMMYFUNCTION("""COMPUTED_VALUE"""),"El estudiante aplica sincronización dentro del código del kernel para proteger el acceso a estructuras de datos compartidas garantizando la integridad de la información al ser leída por múltiples procesos de forma concurrente. ")</f>
        <v>El estudiante aplica sincronización dentro del código del kernel para proteger el acceso a estructuras de datos compartidas garantizando la integridad de la información al ser leída por múltiples procesos de forma concurrente.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IFERROR(__xludf.DUMMYFUNCTION("""COMPUTED_VALUE"""),"El estudiante modifica")</f>
        <v>El estudiante modifica</v>
      </c>
      <c r="K7" s="5" t="str">
        <f>IFERROR(__xludf.DUMMYFUNCTION("""COMPUTED_VALUE"""),"el código fuente del kernel en lenguaje C")</f>
        <v>el código fuente del kernel en lenguaje C</v>
      </c>
      <c r="L7" s="5"/>
      <c r="M7" s="5" t="str">
        <f>IFERROR(__xludf.DUMMYFUNCTION("""COMPUTED_VALUE"""),"para implementar nuevas llamadas al sistema (syscalls)")</f>
        <v>para implementar nuevas llamadas al sistema (syscalls)</v>
      </c>
      <c r="N7" s="5" t="str">
        <f>IFERROR(__xludf.DUMMYFUNCTION("""COMPUTED_VALUE"""),"que exponen funcionalidades y transfieren datos de forma segura entre el espacio de kernel y el de usuario.")</f>
        <v>que exponen funcionalidades y transfieren datos de forma segura entre el espacio de kernel y el de usuario.</v>
      </c>
      <c r="O7" s="5"/>
      <c r="P7" s="5" t="str">
        <f>IFERROR(__xludf.DUMMYFUNCTION("""COMPUTED_VALUE"""),"Crear")</f>
        <v>Crear</v>
      </c>
    </row>
    <row r="8" ht="15.75" customHeight="1">
      <c r="A8" s="5" t="str">
        <f>IFERROR(__xludf.DUMMYFUNCTION("""COMPUTED_VALUE"""),"103 - Área Matemática Básica 2")</f>
        <v>103 - Área Matemática Básica 2</v>
      </c>
      <c r="B8" s="5"/>
      <c r="C8" s="5"/>
      <c r="D8" s="5"/>
      <c r="E8" s="5"/>
      <c r="H8" s="5"/>
      <c r="I8" s="5" t="str">
        <f>IFERROR(__xludf.DUMMYFUNCTION("""COMPUTED_VALUE"""),"El estudiante modifica el código fuente del kernel en lenguaje C para implementar nuevas llamadas al sistema (syscalls) que exponen funcionalidades y transfieren datos de forma segura entre el espacio de kernel y el de usuario. ")</f>
        <v>El estudiante modifica el código fuente del kernel en lenguaje C para implementar nuevas llamadas al sistema (syscalls) que exponen funcionalidades y transfieren datos de forma segura entre el espacio de kernel y el de usuario.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IFERROR(__xludf.DUMMYFUNCTION("""COMPUTED_VALUE"""),"El estudiante analiza")</f>
        <v>El estudiante analiza</v>
      </c>
      <c r="K9" s="5" t="str">
        <f>IFERROR(__xludf.DUMMYFUNCTION("""COMPUTED_VALUE"""),"las estructuras de datos internas del kernel que gestionan procesos, memoria y tiempo")</f>
        <v>las estructuras de datos internas del kernel que gestionan procesos, memoria y tiempo</v>
      </c>
      <c r="L9" s="5"/>
      <c r="M9" s="5" t="str">
        <f>IFERROR(__xludf.DUMMYFUNCTION("""COMPUTED_VALUE"""),"mediante la lectura e interpretación de su código fuente")</f>
        <v>mediante la lectura e interpretación de su código fuente</v>
      </c>
      <c r="N9" s="5" t="str">
        <f>IFERROR(__xludf.DUMMYFUNCTION("""COMPUTED_VALUE"""),"para extraer métricas de rendimiento y estado del sistema, como la lista de procesos o el uso de CPU.")</f>
        <v>para extraer métricas de rendimiento y estado del sistema, como la lista de procesos o el uso de CPU.</v>
      </c>
      <c r="O9" s="5"/>
      <c r="P9" s="5" t="str">
        <f>IFERROR(__xludf.DUMMYFUNCTION("""COMPUTED_VALUE"""),"Comprender")</f>
        <v>Comprender</v>
      </c>
    </row>
    <row r="10" ht="15.75" customHeight="1">
      <c r="A10" s="5" t="str">
        <f>IFERROR(__xludf.DUMMYFUNCTION("""COMPUTED_VALUE"""),"147 - Física Básica")</f>
        <v>147 - Física Básica</v>
      </c>
      <c r="B10" s="5"/>
      <c r="C10" s="5"/>
      <c r="D10" s="5"/>
      <c r="E10" s="5"/>
      <c r="H10" s="5"/>
      <c r="I10" s="5" t="str">
        <f>IFERROR(__xludf.DUMMYFUNCTION("""COMPUTED_VALUE"""),"El estudiante analiza las estructuras de datos internas del kernel que gestionan procesos, memoria y tiempo mediante la lectura e interpretación de su código fuente para extraer métricas de rendimiento y estado del sistema, como la lista de procesos o el "&amp;"uso de CPU. ")</f>
        <v>El estudiante analiza las estructuras de datos internas del kernel que gestionan procesos, memoria y tiempo mediante la lectura e interpretación de su código fuente para extraer métricas de rendimiento y estado del sistema, como la lista de procesos o el uso de CPU.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IFERROR(__xludf.DUMMYFUNCTION("""COMPUTED_VALUE"""),"El estudiante evalúa")</f>
        <v>El estudiante evalúa</v>
      </c>
      <c r="K11" s="5" t="str">
        <f>IFERROR(__xludf.DUMMYFUNCTION("""COMPUTED_VALUE"""),"las capacidades y características de distintos sistemas operativos")</f>
        <v>las capacidades y características de distintos sistemas operativos</v>
      </c>
      <c r="L11" s="5"/>
      <c r="M11" s="5" t="str">
        <f>IFERROR(__xludf.DUMMYFUNCTION("""COMPUTED_VALUE"""),"identificando sus fortalezas y limitaciones")</f>
        <v>identificando sus fortalezas y limitaciones</v>
      </c>
      <c r="N11" s="5" t="str">
        <f>IFERROR(__xludf.DUMMYFUNCTION("""COMPUTED_VALUE"""),"con el fin de seleccionarlos y aplicarlos de manera estratégica en sus proyectos y tareas profesionales")</f>
        <v>con el fin de seleccionarlos y aplicarlos de manera estratégica en sus proyectos y tareas profesionales</v>
      </c>
      <c r="O11" s="5"/>
      <c r="P11" s="5" t="str">
        <f>IFERROR(__xludf.DUMMYFUNCTION("""COMPUTED_VALUE"""),"Evaluar")</f>
        <v>Evaluar</v>
      </c>
    </row>
    <row r="12" ht="15.75" customHeight="1">
      <c r="A12" s="5" t="str">
        <f>IFERROR(__xludf.DUMMYFUNCTION("""COMPUTED_VALUE"""),"8 - Idioma Técnico 2")</f>
        <v>8 - Idioma Técnico 2</v>
      </c>
      <c r="B12" s="5"/>
      <c r="C12" s="5"/>
      <c r="D12" s="5"/>
      <c r="E12" s="5"/>
      <c r="H12" s="5"/>
      <c r="I12" s="5" t="str">
        <f>IFERROR(__xludf.DUMMYFUNCTION("""COMPUTED_VALUE"""),"El estudiante evalúa las capacidades y características de distintos sistemas operativos identificando sus fortalezas y limitaciones con el fin de seleccionarlos y aplicarlos de manera estratégica en sus proyectos y tareas profesionales ")</f>
        <v>El estudiante evalúa las capacidades y características de distintos sistemas operativos identificando sus fortalezas y limitaciones con el fin de seleccionarlos y aplicarlos de manera estratégica en sus proyectos y tareas profesionales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IFERROR(__xludf.DUMMYFUNCTION("""COMPUTED_VALUE"""),"El estudiante diseña")</f>
        <v>El estudiante diseña</v>
      </c>
      <c r="K13" s="5" t="str">
        <f>IFERROR(__xludf.DUMMYFUNCTION("""COMPUTED_VALUE"""),"aplicaciónes en espacio de usuario")</f>
        <v>aplicaciónes en espacio de usuario</v>
      </c>
      <c r="L13" s="5"/>
      <c r="M13" s="5" t="str">
        <f>IFERROR(__xludf.DUMMYFUNCTION("""COMPUTED_VALUE"""),"integrando las llamadas al sistema")</f>
        <v>integrando las llamadas al sistema</v>
      </c>
      <c r="N13" s="5" t="str">
        <f>IFERROR(__xludf.DUMMYFUNCTION("""COMPUTED_VALUE"""),"para generar funcionalidad y expandir las capacidades del sistema operativo que el usuario puede aprovechar")</f>
        <v>para generar funcionalidad y expandir las capacidades del sistema operativo que el usuario puede aprovechar</v>
      </c>
      <c r="O13" s="5"/>
      <c r="P13" s="5" t="str">
        <f>IFERROR(__xludf.DUMMYFUNCTION("""COMPUTED_VALUE"""),"Crear")</f>
        <v>Crear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IFERROR(__xludf.DUMMYFUNCTION("""COMPUTED_VALUE"""),"El estudiante diseña aplicaciónes en espacio de usuario integrando las llamadas al sistema para generar funcionalidad y expandir las capacidades del sistema operativo que el usuario puede aprovechar ")</f>
        <v>El estudiante diseña aplicaciónes en espacio de usuario integrando las llamadas al sistema para generar funcionalidad y expandir las capacidades del sistema operativo que el usuario puede aprovechar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El estudiante describe la arquitectura y los componentes fundamentales de un S.O. analizando la separación entre el espacio de usuario y el espacio de kernel para establecer las bases conceptuales necesarias para la modificación del sistema. </v>
      </c>
    </row>
    <row r="18" ht="15.75" customHeight="1">
      <c r="A18" s="5" t="str">
        <f>IFERROR(__xludf.DUMMYFUNCTION("""COMPUTED_VALUE"""),"1 - Ética Profesional")</f>
        <v>1 - Ética Profesional</v>
      </c>
      <c r="B18" s="5"/>
      <c r="C18" s="5"/>
      <c r="D18" s="5"/>
      <c r="E18" s="5"/>
      <c r="I18" s="5" t="str">
        <f>I4</f>
        <v>El estudiante interpreta el flujo de ejecución y las interacciones clave dentro de un kernel mediante la compilación, ejecución y depuración del código fuente del kernel para comprender cómo el sistema operativo gestiona el hardware y los procesos desde el arranque. </v>
      </c>
    </row>
    <row r="19" ht="15.75" customHeight="1">
      <c r="A19" s="5" t="str">
        <f>IFERROR(__xludf.DUMMYFUNCTION("""COMPUTED_VALUE"""),"9 - Idioma Técnico 3")</f>
        <v>9 - Idioma Técnico 3</v>
      </c>
      <c r="B19" s="5"/>
      <c r="C19" s="5"/>
      <c r="D19" s="5"/>
      <c r="E19" s="5"/>
      <c r="I19" s="5" t="str">
        <f>I6</f>
        <v>El estudiante aplica sincronización dentro del código del kernel para proteger el acceso a estructuras de datos compartidas garantizando la integridad de la información al ser leída por múltiples procesos de forma concurrente.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El estudiante modifica el código fuente del kernel en lenguaje C para implementar nuevas llamadas al sistema (syscalls) que exponen funcionalidades y transfieren datos de forma segura entre el espacio de kernel y el de usuario.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El estudiante analiza las estructuras de datos internas del kernel que gestionan procesos, memoria y tiempo mediante la lectura e interpretación de su código fuente para extraer métricas de rendimiento y estado del sistema, como la lista de procesos o el uso de CPU. </v>
      </c>
    </row>
    <row r="22" ht="15.75" customHeight="1">
      <c r="A22" s="5" t="str">
        <f>IFERROR(__xludf.DUMMYFUNCTION("""COMPUTED_VALUE"""),"112 - Área Matemática Intermedia 2")</f>
        <v>112 - Área Matemática Intermedia 2</v>
      </c>
      <c r="B22" s="5"/>
      <c r="C22" s="5"/>
      <c r="D22" s="5"/>
      <c r="E22" s="5"/>
      <c r="I22" s="5" t="str">
        <f>I12</f>
        <v>El estudiante evalúa las capacidades y características de distintos sistemas operativos identificando sus fortalezas y limitaciones con el fin de seleccionarlos y aplicarlos de manera estratégica en sus proyectos y tareas profesionales </v>
      </c>
    </row>
    <row r="23" ht="15.75" customHeight="1">
      <c r="A23" s="5" t="str">
        <f>IFERROR(__xludf.DUMMYFUNCTION("""COMPUTED_VALUE"""),"114 - Área Matemática Intermedia 3")</f>
        <v>114 - Área Matemática Intermedia 3</v>
      </c>
      <c r="B23" s="5"/>
      <c r="C23" s="5"/>
      <c r="D23" s="5"/>
      <c r="E23" s="5"/>
      <c r="I23" s="5" t="str">
        <f>I14</f>
        <v>El estudiante diseña aplicaciónes en espacio de usuario integrando las llamadas al sistema para generar funcionalidad y expandir las capacidades del sistema operativo que el usuario puede aprovechar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