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4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jLWZGaBtY08rifp1rSLvCKfA5c+bc8k3jC3ANVDg7Z8="/>
    </ext>
  </extLst>
</workbook>
</file>

<file path=xl/sharedStrings.xml><?xml version="1.0" encoding="utf-8"?>
<sst xmlns="http://schemas.openxmlformats.org/spreadsheetml/2006/main" count="267" uniqueCount="156">
  <si>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</si>
  <si>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</si>
  <si>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</si>
  <si>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</si>
  <si>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</si>
  <si>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</si>
  <si>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</si>
  <si>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</si>
  <si>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</si>
  <si>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Documentación (PDF: K-map, funciones, diagramas, etc.)</t>
  </si>
  <si>
    <t>Descripción</t>
  </si>
  <si>
    <t>La documentación está completa, organizada y presenta los elementos solicitados con claridad.</t>
  </si>
  <si>
    <t>La documentación es incompleta, desordenada o carece de los elementos requeridos (K-map, funciones, diagramas).</t>
  </si>
  <si>
    <t>Rango del punteo</t>
  </si>
  <si>
    <t>Respuesta grupal (autoría técnica)</t>
  </si>
  <si>
    <t>La respuesta grupal demuestra dominio de los conceptos y coherencia en la explicación técnica.</t>
  </si>
  <si>
    <t>La respuesta es superficial, incorrecta o muestra falta de coordinación y conocimiento en el grupo.</t>
  </si>
  <si>
    <t>Sub-Total de Puntos</t>
  </si>
  <si>
    <t>Conocimientos</t>
  </si>
  <si>
    <t>Funcionamiento correcto – Display Cátodo Común</t>
  </si>
  <si>
    <t>El display funciona de manera correcta, mostrando todos los segmentos y el punto decimal sin errores.</t>
  </si>
  <si>
    <t>El display no enciende adecuadamente, muestra segmentos erróneos o no cumple con la lógica de funcionamiento.</t>
  </si>
  <si>
    <t>Implementado en físico – Cátodo (Segmentos 1–7 y punto decimal)</t>
  </si>
  <si>
    <t>La implementación física incluye todos los segmentos funcionando correctamente con conexiones estables.</t>
  </si>
  <si>
    <t>La implementación física presenta errores de conexión, no enciende todos los segmentos o el punto decimal.</t>
  </si>
  <si>
    <t>Funcionamiento correcto – Display Ánodo Común</t>
  </si>
  <si>
    <t>El display de ánodo común funciona sin errores y muestra todos los segmentos y el punto decimal correctamente.</t>
  </si>
  <si>
    <t>El display presenta errores de funcionamiento, segmentos apagados/encendidos de forma incorrecta o sin control adecuado.</t>
  </si>
  <si>
    <t>Implementado en físico – Ánodo (Segmentos 1–7 y punto decimal)</t>
  </si>
  <si>
    <t>La implementación física del ánodo incluye todos los segmentos correctamente conectados y en funcionamiento.</t>
  </si>
  <si>
    <t>La implementación presenta fallos de conexión, errores en los segmentos o el punto decimal no funciona.</t>
  </si>
  <si>
    <t>Total</t>
  </si>
  <si>
    <t>Satisfactorio (100%–61%)</t>
  </si>
  <si>
    <t>Necesita mejorar (60%–0%)</t>
  </si>
  <si>
    <t>Punteo Total</t>
  </si>
  <si>
    <t>1</t>
  </si>
  <si>
    <t>Diseño y configuración de equipos</t>
  </si>
  <si>
    <t>1.1</t>
  </si>
  <si>
    <t>Edificio A</t>
  </si>
  <si>
    <t>1.1.1</t>
  </si>
  <si>
    <t>Cantidad de equipos correctos</t>
  </si>
  <si>
    <t>Se utiliza la distribución y cantidad de equiipos</t>
  </si>
  <si>
    <t>No se respeta la distribución ni cantidad de equipos</t>
  </si>
  <si>
    <t>1.1.2</t>
  </si>
  <si>
    <t>Enlaces entre switches correctos</t>
  </si>
  <si>
    <t>Enlaces conectados correctos</t>
  </si>
  <si>
    <t>Enlaces conectados incorrectos</t>
  </si>
  <si>
    <t>1.1.3</t>
  </si>
  <si>
    <t>ID de Red y Hosts correctos</t>
  </si>
  <si>
    <t>Se utilizan IPs con el ID de red y host correctos</t>
  </si>
  <si>
    <t>No se utilizan IPs con el ID de red y host correctos</t>
  </si>
  <si>
    <t>1.2</t>
  </si>
  <si>
    <t>Edificio B</t>
  </si>
  <si>
    <t>1.2.1</t>
  </si>
  <si>
    <t>1.2.2</t>
  </si>
  <si>
    <t>1.2.3</t>
  </si>
  <si>
    <t>1.3</t>
  </si>
  <si>
    <t>Edificio C</t>
  </si>
  <si>
    <t>1.3.1</t>
  </si>
  <si>
    <t>1.3.2</t>
  </si>
  <si>
    <t>1.3.3</t>
  </si>
  <si>
    <t>1.4</t>
  </si>
  <si>
    <t>Edificio D</t>
  </si>
  <si>
    <t>1.4.1</t>
  </si>
  <si>
    <t>1.4.2</t>
  </si>
  <si>
    <t>1.4.3</t>
  </si>
  <si>
    <t>BackBone</t>
  </si>
  <si>
    <t>1.5</t>
  </si>
  <si>
    <t>Conectividad</t>
  </si>
  <si>
    <t>1.5.1</t>
  </si>
  <si>
    <t>Conectividad entre equipos correcta</t>
  </si>
  <si>
    <t>Se tiene conectividad entre equipos de la misma vlan sin importar el edificio</t>
  </si>
  <si>
    <t>No se tiene conectividad con equipos de la misma vlan</t>
  </si>
  <si>
    <t>1.5.2</t>
  </si>
  <si>
    <t>No conectividad entre equipos correcta</t>
  </si>
  <si>
    <t>No se tiene conectividad entre equipos de diferentes vlans</t>
  </si>
  <si>
    <t>Se tiene conectividad entre equipos de diferentes vlans</t>
  </si>
  <si>
    <t>1.6</t>
  </si>
  <si>
    <t>VTP y VLANS</t>
  </si>
  <si>
    <t>1.6.1</t>
  </si>
  <si>
    <t>Creación de VLANs</t>
  </si>
  <si>
    <t>VLANS correctas</t>
  </si>
  <si>
    <t>VLANS incorrectas</t>
  </si>
  <si>
    <t>1.6.2</t>
  </si>
  <si>
    <t>Switch Servidor VTP</t>
  </si>
  <si>
    <t>Switch Server correcto</t>
  </si>
  <si>
    <t>Switch Server incorrecto</t>
  </si>
  <si>
    <t>1.6.3</t>
  </si>
  <si>
    <t>Switches Clientes VTP</t>
  </si>
  <si>
    <t>Switches Clientes Correctos</t>
  </si>
  <si>
    <t>Switches Clientes Incorrectos</t>
  </si>
  <si>
    <t>1.6.4</t>
  </si>
  <si>
    <t>Switch Transparente</t>
  </si>
  <si>
    <t>Switch Transparente Correcto</t>
  </si>
  <si>
    <t>Switch Transparente Incorrecto</t>
  </si>
  <si>
    <t>1.6.5</t>
  </si>
  <si>
    <t>Enlaces troncales</t>
  </si>
  <si>
    <t>Enlaces Troncales Correctos</t>
  </si>
  <si>
    <t>Enlaces Troncales Incorrectos</t>
  </si>
  <si>
    <t>1.6.6</t>
  </si>
  <si>
    <t>Enlaces de acceso</t>
  </si>
  <si>
    <t>Enlaces de Acceso Correctos</t>
  </si>
  <si>
    <t>Enlaces de Acceso Incorrectos</t>
  </si>
  <si>
    <t>1.7</t>
  </si>
  <si>
    <t>STP</t>
  </si>
  <si>
    <t>1.7.1</t>
  </si>
  <si>
    <t>Switch Root Bridge</t>
  </si>
  <si>
    <t>1.7.2</t>
  </si>
  <si>
    <t>Modo PVST/Rapid-PVST</t>
  </si>
  <si>
    <t>1.7.3</t>
  </si>
  <si>
    <t>Prueba de Redundancia</t>
  </si>
  <si>
    <t>Se logra convergencia al eliminar o agregar enlaces</t>
  </si>
  <si>
    <t xml:space="preserve">No se logra convergencia al eliminar o agregar enlaces </t>
  </si>
  <si>
    <t>1.8</t>
  </si>
  <si>
    <t>Etherchannel</t>
  </si>
  <si>
    <t>1.8.1</t>
  </si>
  <si>
    <t>Configuración LACP</t>
  </si>
  <si>
    <t>LACP correcto y donde corresponde</t>
  </si>
  <si>
    <t>LACP incorrecto o donde no corresponde</t>
  </si>
  <si>
    <t>1.8.2</t>
  </si>
  <si>
    <t>Configuración PAGP</t>
  </si>
  <si>
    <t>PAGP correcto y donde corresponde</t>
  </si>
  <si>
    <t>PAGP incorrecto o donde no corresponde</t>
  </si>
  <si>
    <t>2</t>
  </si>
  <si>
    <t>Parte física</t>
  </si>
  <si>
    <t>2.1</t>
  </si>
  <si>
    <t>Configuración de VLANs</t>
  </si>
  <si>
    <t>Se configuran correctamente las VLANs indicadas</t>
  </si>
  <si>
    <t>No se configuran correctamente las VLANs indicadas</t>
  </si>
  <si>
    <t>2.2</t>
  </si>
  <si>
    <t>Conviguración VTP</t>
  </si>
  <si>
    <t>Se utiliza el dominio y contraseña y se configura el servidor y el cliente correctamente</t>
  </si>
  <si>
    <t>No se utiliza el dominio y contraseña o  se configura el servidor y el cliente incorrectamente</t>
  </si>
  <si>
    <t>2.3</t>
  </si>
  <si>
    <t>Configuración de enlaces</t>
  </si>
  <si>
    <t>Se configuran enlaces troncales y de acceso correctamente</t>
  </si>
  <si>
    <t>No se configuran enlaces troncales y de acceso correctamente</t>
  </si>
  <si>
    <t>2.4</t>
  </si>
  <si>
    <t>Ping entre computadoras</t>
  </si>
  <si>
    <t>Ping entre computadoras en la misma VLAN</t>
  </si>
  <si>
    <t>Sin ping entre computadoras en la misma VLAN</t>
  </si>
  <si>
    <t>3</t>
  </si>
  <si>
    <t>Preguntas</t>
  </si>
  <si>
    <t>3.1</t>
  </si>
  <si>
    <t>Pregunta Teórica</t>
  </si>
  <si>
    <t>Se responde correctamente la pregunta</t>
  </si>
  <si>
    <t>Se responde incorrectamente la pregunta</t>
  </si>
  <si>
    <t>3.2</t>
  </si>
  <si>
    <t>Pregunta Práctica</t>
  </si>
  <si>
    <t>Documentación</t>
  </si>
  <si>
    <t>Manual Técnico</t>
  </si>
  <si>
    <t>Manual técnico completo</t>
  </si>
  <si>
    <t>Manual técnico incompleto</t>
  </si>
  <si>
    <t>Presupuesto</t>
  </si>
  <si>
    <t>Presupuesto detallado</t>
  </si>
  <si>
    <t>Presupuesto poco detallado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</si>
</sst>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color rgb="FFFFFFFF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1" fillId="2" fontId="4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vertical="top"/>
    </xf>
    <xf borderId="4" fillId="0" fontId="4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vertical="bottom"/>
    </xf>
    <xf borderId="5" fillId="0" fontId="3" numFmtId="0" xfId="0" applyBorder="1" applyFont="1"/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top" wrapText="1"/>
    </xf>
    <xf borderId="1" fillId="3" fontId="1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5" fillId="0" fontId="1" numFmtId="0" xfId="0" applyAlignment="1" applyBorder="1" applyFont="1">
      <alignment vertical="top"/>
    </xf>
    <xf borderId="1" fillId="4" fontId="5" numFmtId="0" xfId="0" applyAlignment="1" applyBorder="1" applyFill="1" applyFont="1">
      <alignment horizontal="center" shrinkToFit="0" wrapText="1"/>
    </xf>
    <xf borderId="1" fillId="5" fontId="5" numFmtId="49" xfId="0" applyAlignment="1" applyBorder="1" applyFill="1" applyFont="1" applyNumberFormat="1">
      <alignment shrinkToFit="0" wrapText="1"/>
    </xf>
    <xf borderId="1" fillId="5" fontId="5" numFmtId="0" xfId="0" applyAlignment="1" applyBorder="1" applyFont="1">
      <alignment shrinkToFit="0" wrapText="1"/>
    </xf>
    <xf borderId="1" fillId="6" fontId="6" numFmtId="49" xfId="0" applyAlignment="1" applyBorder="1" applyFill="1" applyFont="1" applyNumberFormat="1">
      <alignment shrinkToFit="0" wrapText="1"/>
    </xf>
    <xf borderId="1" fillId="6" fontId="6" numFmtId="0" xfId="0" applyAlignment="1" applyBorder="1" applyFont="1">
      <alignment shrinkToFit="0" wrapText="1"/>
    </xf>
    <xf borderId="1" fillId="0" fontId="1" numFmtId="49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wrapText="1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5">
        <v>1.0</v>
      </c>
      <c r="B3" s="5" t="s">
        <v>8</v>
      </c>
      <c r="C3" s="6"/>
      <c r="D3" s="6"/>
      <c r="E3" s="6"/>
      <c r="F3" s="6"/>
      <c r="G3" s="6"/>
    </row>
    <row r="4" ht="15.75" customHeight="1">
      <c r="A4" s="7">
        <v>1.1</v>
      </c>
      <c r="B4" s="7" t="s">
        <v>9</v>
      </c>
      <c r="C4" s="8">
        <v>30.0</v>
      </c>
      <c r="D4" s="9" t="s">
        <v>10</v>
      </c>
      <c r="E4" s="9" t="s">
        <v>11</v>
      </c>
      <c r="F4" s="9" t="s">
        <v>12</v>
      </c>
      <c r="G4" s="10"/>
    </row>
    <row r="5" ht="15.75" customHeight="1">
      <c r="A5" s="11"/>
      <c r="B5" s="11"/>
      <c r="C5" s="11"/>
      <c r="D5" s="9" t="s">
        <v>13</v>
      </c>
      <c r="E5" s="9" t="str">
        <f> $C4 &amp; " / " &amp; $C4 &amp; " - " &amp; ROUND($C4*0.6,0)</f>
        <v>30 / 30 - 18</v>
      </c>
      <c r="F5" s="9" t="str">
        <f> $C4 &amp; " / " &amp; ROUND($C4*0.6,0) -1 &amp; " - " &amp; ROUND($C4*0,0)</f>
        <v>30 / 17 - 0</v>
      </c>
      <c r="G5" s="1">
        <v>20.0</v>
      </c>
    </row>
    <row r="6" ht="15.75" customHeight="1">
      <c r="A6" s="7">
        <v>1.2</v>
      </c>
      <c r="B6" s="7" t="s">
        <v>14</v>
      </c>
      <c r="C6" s="8">
        <v>10.0</v>
      </c>
      <c r="D6" s="9" t="s">
        <v>10</v>
      </c>
      <c r="E6" s="9" t="s">
        <v>15</v>
      </c>
      <c r="F6" s="9" t="s">
        <v>16</v>
      </c>
      <c r="G6" s="10"/>
    </row>
    <row r="7" ht="15.75" customHeight="1">
      <c r="A7" s="11"/>
      <c r="B7" s="11"/>
      <c r="C7" s="11"/>
      <c r="D7" s="9" t="s">
        <v>13</v>
      </c>
      <c r="E7" s="9" t="str">
        <f> $C6 &amp; " / " &amp; $C6 &amp; " - " &amp; ROUND($C6*0.6,0)</f>
        <v>10 / 10 - 6</v>
      </c>
      <c r="F7" s="9" t="str">
        <f> $C6 &amp; " / " &amp; ROUND($C6*0.6,0) -1 &amp; " - " &amp; ROUND($C6*0,0)</f>
        <v>10 / 5 - 0</v>
      </c>
      <c r="G7" s="1"/>
    </row>
    <row r="8" ht="15.75" customHeight="1">
      <c r="A8" s="1"/>
      <c r="B8" s="12" t="s">
        <v>17</v>
      </c>
      <c r="C8" s="13">
        <f>SUM(C4:C7
)</f>
        <v>40</v>
      </c>
      <c r="D8" s="14"/>
      <c r="E8" s="14"/>
      <c r="F8" s="14"/>
      <c r="G8" s="1">
        <f>SUM(G4:G7
)</f>
        <v>20</v>
      </c>
    </row>
    <row r="9" ht="15.75" customHeight="1">
      <c r="A9" s="15">
        <v>2.0</v>
      </c>
      <c r="B9" s="5" t="s">
        <v>18</v>
      </c>
      <c r="C9" s="6"/>
      <c r="D9" s="6"/>
      <c r="E9" s="6"/>
      <c r="F9" s="6"/>
      <c r="G9" s="6"/>
    </row>
    <row r="10" ht="15.75" customHeight="1">
      <c r="A10" s="7">
        <v>2.1</v>
      </c>
      <c r="B10" s="7" t="s">
        <v>19</v>
      </c>
      <c r="C10" s="16">
        <v>25.0</v>
      </c>
      <c r="D10" s="9" t="s">
        <v>10</v>
      </c>
      <c r="E10" s="9" t="s">
        <v>20</v>
      </c>
      <c r="F10" s="9" t="s">
        <v>21</v>
      </c>
      <c r="G10" s="10"/>
    </row>
    <row r="11" ht="15.75" customHeight="1">
      <c r="A11" s="11"/>
      <c r="B11" s="11"/>
      <c r="C11" s="11"/>
      <c r="D11" s="9" t="s">
        <v>13</v>
      </c>
      <c r="E11" s="9" t="str">
        <f> $C10 &amp; " / " &amp; $C10 &amp; " - " &amp; ROUND($C10*0.6,0)</f>
        <v>25 / 25 - 15</v>
      </c>
      <c r="F11" s="9" t="str">
        <f> $C10 &amp; " / " &amp; ROUND($C10*0.6,0) -1 &amp; " - " &amp; ROUND($C10*0,0)</f>
        <v>25 / 14 - 0</v>
      </c>
      <c r="G11" s="17">
        <v>15.0</v>
      </c>
    </row>
    <row r="12" ht="15.75" customHeight="1">
      <c r="A12" s="7">
        <v>2.2</v>
      </c>
      <c r="B12" s="7" t="s">
        <v>22</v>
      </c>
      <c r="C12" s="8">
        <v>15.0</v>
      </c>
      <c r="D12" s="9" t="s">
        <v>10</v>
      </c>
      <c r="E12" s="9" t="s">
        <v>23</v>
      </c>
      <c r="F12" s="9" t="s">
        <v>24</v>
      </c>
      <c r="G12" s="10"/>
    </row>
    <row r="13" ht="15.75" customHeight="1">
      <c r="A13" s="11"/>
      <c r="B13" s="11"/>
      <c r="C13" s="11"/>
      <c r="D13" s="9" t="s">
        <v>13</v>
      </c>
      <c r="E13" s="9" t="str">
        <f> $C12 &amp; " / " &amp; $C12 &amp; " - " &amp; ROUND($C12*0.6,0)</f>
        <v>15 / 15 - 9</v>
      </c>
      <c r="F13" s="9" t="str">
        <f> $C12 &amp; " / " &amp; ROUND($C12*0.6,0) -1 &amp; " - " &amp; ROUND($C12*0,0)</f>
        <v>15 / 8 - 0</v>
      </c>
      <c r="G13" s="1">
        <v>10.0</v>
      </c>
    </row>
    <row r="14" ht="15.75" customHeight="1">
      <c r="A14" s="7">
        <v>2.3</v>
      </c>
      <c r="B14" s="7" t="s">
        <v>25</v>
      </c>
      <c r="C14" s="8">
        <v>5.0</v>
      </c>
      <c r="D14" s="9" t="s">
        <v>10</v>
      </c>
      <c r="E14" s="9" t="s">
        <v>26</v>
      </c>
      <c r="F14" s="9" t="s">
        <v>27</v>
      </c>
      <c r="G14" s="10"/>
    </row>
    <row r="15" ht="15.75" customHeight="1">
      <c r="A15" s="11"/>
      <c r="B15" s="11"/>
      <c r="C15" s="11"/>
      <c r="D15" s="9" t="s">
        <v>13</v>
      </c>
      <c r="E15" s="9" t="str">
        <f> $C14 &amp; " / " &amp; $C14 &amp; " - " &amp; ROUND($C14*0.6,0)</f>
        <v>5 / 5 - 3</v>
      </c>
      <c r="F15" s="9" t="str">
        <f> $C14 &amp; " / " &amp; ROUND($C14*0.6,0) -1 &amp; " - " &amp; ROUND($C14*0,0)</f>
        <v>5 / 2 - 0</v>
      </c>
      <c r="G15" s="1"/>
    </row>
    <row r="16" ht="15.75" customHeight="1">
      <c r="A16" s="7">
        <v>2.4</v>
      </c>
      <c r="B16" s="7" t="s">
        <v>28</v>
      </c>
      <c r="C16" s="8">
        <v>15.0</v>
      </c>
      <c r="D16" s="9" t="s">
        <v>10</v>
      </c>
      <c r="E16" s="9" t="s">
        <v>29</v>
      </c>
      <c r="F16" s="9" t="s">
        <v>30</v>
      </c>
      <c r="G16" s="10"/>
    </row>
    <row r="17" ht="15.75" customHeight="1">
      <c r="A17" s="11"/>
      <c r="B17" s="11"/>
      <c r="C17" s="11"/>
      <c r="D17" s="9" t="s">
        <v>13</v>
      </c>
      <c r="E17" s="9" t="str">
        <f> $C16 &amp; " / " &amp; $C16 &amp; " - " &amp; ROUND($C16*0.6,0)</f>
        <v>15 / 15 - 9</v>
      </c>
      <c r="F17" s="9" t="str">
        <f> $C16 &amp; " / " &amp; ROUND($C16*0.6,0) -1 &amp; " - " &amp; ROUND($C16*0,0)</f>
        <v>15 / 8 - 0</v>
      </c>
      <c r="G17" s="1"/>
    </row>
    <row r="18" ht="15.75" customHeight="1">
      <c r="A18" s="1"/>
      <c r="B18" s="12" t="s">
        <v>17</v>
      </c>
      <c r="C18" s="13">
        <f>SUM(C10:C17
)</f>
        <v>60</v>
      </c>
      <c r="D18" s="14"/>
      <c r="E18" s="14"/>
      <c r="F18" s="14"/>
      <c r="G18" s="1"/>
    </row>
    <row r="19" ht="15.75" customHeight="1">
      <c r="A19" s="1"/>
      <c r="B19" s="12" t="s">
        <v>31</v>
      </c>
      <c r="C19" s="13">
        <f>C18+C8</f>
        <v>100</v>
      </c>
      <c r="D19" s="14"/>
      <c r="E19" s="14"/>
      <c r="F19" s="14"/>
      <c r="G19" s="1">
        <f>G8+G18</f>
        <v>20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E1:F1"/>
    <mergeCell ref="A4:A5"/>
    <mergeCell ref="B4:B5"/>
    <mergeCell ref="C4:C5"/>
    <mergeCell ref="A6:A7"/>
    <mergeCell ref="B6:B7"/>
    <mergeCell ref="C6:C7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14:A15"/>
  </mergeCells>
  <dataValidations>
    <dataValidation type="decimal" operator="lessThanOrEqual" allowBlank="1" showDropDown="1" showInputMessage="1" showErrorMessage="1" prompt="Introduce un número menor o igual que = C6" sqref="G7">
      <formula1>C6</formula1>
    </dataValidation>
    <dataValidation type="decimal" operator="lessThanOrEqual" allowBlank="1" showDropDown="1" showInputMessage="1" showErrorMessage="1" prompt="El valor debe ser menor al Punteo máximo" sqref="G5">
      <formula1>$C4</formula1>
    </dataValidation>
    <dataValidation type="custom" allowBlank="1" showDropDown="1" sqref="G10:G17">
      <formula1>G11 &lt; C10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4.63"/>
    <col customWidth="1" min="3" max="3" width="33.63"/>
    <col customWidth="1" min="4" max="4" width="33.88"/>
    <col customWidth="1" min="5" max="5" width="7.0"/>
    <col customWidth="1" min="6" max="6" width="12.63"/>
  </cols>
  <sheetData>
    <row r="1" ht="15.75" customHeight="1">
      <c r="A1" s="18" t="s">
        <v>2</v>
      </c>
      <c r="B1" s="18" t="s">
        <v>3</v>
      </c>
      <c r="C1" s="18" t="s">
        <v>32</v>
      </c>
      <c r="D1" s="18" t="s">
        <v>33</v>
      </c>
      <c r="E1" s="18" t="s">
        <v>34</v>
      </c>
    </row>
    <row r="2" ht="15.75" customHeight="1">
      <c r="A2" s="19" t="s">
        <v>35</v>
      </c>
      <c r="B2" s="20" t="s">
        <v>36</v>
      </c>
      <c r="C2" s="20"/>
      <c r="D2" s="20"/>
      <c r="E2" s="20">
        <v>55.0</v>
      </c>
    </row>
    <row r="3" ht="15.75" customHeight="1">
      <c r="A3" s="19"/>
      <c r="B3" s="20" t="s">
        <v>13</v>
      </c>
      <c r="C3" s="20" t="str">
        <f> $E2 &amp; " / " &amp; $E2 &amp; " - " &amp; ROUND($E2*0.6,0)</f>
        <v>55 / 55 - 33</v>
      </c>
      <c r="D3" s="20" t="str">
        <f> $E2 &amp; " / " &amp; ROUND($E2*0.6,0) -1 &amp; " - " &amp; ROUND($E2*0,0)</f>
        <v>55 / 32 - 0</v>
      </c>
      <c r="E3" s="20">
        <f>$E2</f>
        <v>55</v>
      </c>
    </row>
    <row r="4" ht="15.75" customHeight="1">
      <c r="A4" s="21" t="s">
        <v>37</v>
      </c>
      <c r="B4" s="22" t="s">
        <v>38</v>
      </c>
      <c r="C4" s="22"/>
      <c r="D4" s="22"/>
      <c r="E4" s="22">
        <v>1.5</v>
      </c>
    </row>
    <row r="5" ht="15.75" customHeight="1">
      <c r="A5" s="21"/>
      <c r="B5" s="22" t="s">
        <v>13</v>
      </c>
      <c r="C5" s="22" t="str">
        <f> $E4 &amp; " / " &amp; $E4 &amp; " - " &amp; ROUND($E4*0.6,0)</f>
        <v>1,5 / 1,5 - 1</v>
      </c>
      <c r="D5" s="22" t="str">
        <f> $E4 &amp; " / " &amp; ROUND($E4*0.6,0) -1 &amp; " - " &amp; ROUND($E4*0,0)</f>
        <v>1,5 / 0 - 0</v>
      </c>
      <c r="E5" s="22">
        <f>$E4</f>
        <v>1.5</v>
      </c>
    </row>
    <row r="6" ht="15.75" customHeight="1">
      <c r="A6" s="23" t="s">
        <v>39</v>
      </c>
      <c r="B6" s="24" t="s">
        <v>40</v>
      </c>
      <c r="C6" s="24" t="s">
        <v>41</v>
      </c>
      <c r="D6" s="24" t="s">
        <v>42</v>
      </c>
      <c r="E6" s="24">
        <v>0.5</v>
      </c>
      <c r="G6" s="25"/>
    </row>
    <row r="7" ht="15.75" customHeight="1">
      <c r="A7" s="23"/>
      <c r="B7" s="24" t="s">
        <v>13</v>
      </c>
      <c r="C7" s="24" t="str">
        <f> $E6 &amp; " / " &amp; $E6 &amp; " - " &amp; ROUND($E6*0.6,0)</f>
        <v>0,5 / 0,5 - 0</v>
      </c>
      <c r="D7" s="24" t="str">
        <f> $E6 &amp; " / " &amp; ROUND($E6*0.6,0) -1 &amp; " - " &amp; ROUND($E6*0,0)</f>
        <v>0,5 / -1 - 0</v>
      </c>
      <c r="E7" s="24">
        <f>$E6</f>
        <v>0.5</v>
      </c>
    </row>
    <row r="8" ht="15.75" customHeight="1">
      <c r="A8" s="23" t="s">
        <v>43</v>
      </c>
      <c r="B8" s="24" t="s">
        <v>44</v>
      </c>
      <c r="C8" s="24" t="s">
        <v>45</v>
      </c>
      <c r="D8" s="24" t="s">
        <v>46</v>
      </c>
      <c r="E8" s="24">
        <v>0.5</v>
      </c>
    </row>
    <row r="9" ht="15.75" customHeight="1">
      <c r="A9" s="23"/>
      <c r="B9" s="24" t="s">
        <v>13</v>
      </c>
      <c r="C9" s="24" t="str">
        <f> $E8 &amp; " / " &amp; $E8 &amp; " - " &amp; ROUND($E8*0.6,0)</f>
        <v>0,5 / 0,5 - 0</v>
      </c>
      <c r="D9" s="24" t="str">
        <f> $E8 &amp; " / " &amp; ROUND($E8*0.6,0) -1 &amp; " - " &amp; ROUND($E8*0,0)</f>
        <v>0,5 / -1 - 0</v>
      </c>
      <c r="E9" s="24">
        <f>$E8</f>
        <v>0.5</v>
      </c>
    </row>
    <row r="10" ht="15.75" customHeight="1">
      <c r="A10" s="23" t="s">
        <v>47</v>
      </c>
      <c r="B10" s="24" t="s">
        <v>48</v>
      </c>
      <c r="C10" s="24" t="s">
        <v>49</v>
      </c>
      <c r="D10" s="24" t="s">
        <v>50</v>
      </c>
      <c r="E10" s="24">
        <v>0.5</v>
      </c>
    </row>
    <row r="11" ht="15.75" customHeight="1">
      <c r="A11" s="23"/>
      <c r="B11" s="24" t="s">
        <v>13</v>
      </c>
      <c r="C11" s="24" t="str">
        <f> $E10 &amp; " / " &amp; $E10 &amp; " - " &amp; ROUND($E10*0.6,0)</f>
        <v>0,5 / 0,5 - 0</v>
      </c>
      <c r="D11" s="24" t="str">
        <f> $E10 &amp; " / " &amp; ROUND($E10*0.6,0) -1 &amp; " - " &amp; ROUND($E10*0,0)</f>
        <v>0,5 / -1 - 0</v>
      </c>
      <c r="E11" s="24">
        <f>$E10</f>
        <v>0.5</v>
      </c>
    </row>
    <row r="12" ht="15.75" customHeight="1">
      <c r="A12" s="21" t="s">
        <v>51</v>
      </c>
      <c r="B12" s="22" t="s">
        <v>52</v>
      </c>
      <c r="C12" s="22"/>
      <c r="D12" s="22"/>
      <c r="E12" s="22">
        <v>1.5</v>
      </c>
    </row>
    <row r="13" ht="15.75" customHeight="1">
      <c r="A13" s="21"/>
      <c r="B13" s="22" t="s">
        <v>13</v>
      </c>
      <c r="C13" s="22" t="str">
        <f> $E12 &amp; " / " &amp; $E12 &amp; " - " &amp; ROUND($E12*0.6,0)</f>
        <v>1,5 / 1,5 - 1</v>
      </c>
      <c r="D13" s="22" t="str">
        <f> $E12 &amp; " / " &amp; ROUND($E12*0.6,0) -1 &amp; " - " &amp; ROUND($E12*0,0)</f>
        <v>1,5 / 0 - 0</v>
      </c>
      <c r="E13" s="22">
        <f>$E12</f>
        <v>1.5</v>
      </c>
    </row>
    <row r="14" ht="15.75" customHeight="1">
      <c r="A14" s="23" t="s">
        <v>53</v>
      </c>
      <c r="B14" s="24" t="s">
        <v>40</v>
      </c>
      <c r="C14" s="24" t="s">
        <v>41</v>
      </c>
      <c r="D14" s="24" t="s">
        <v>42</v>
      </c>
      <c r="E14" s="24">
        <v>0.5</v>
      </c>
    </row>
    <row r="15" ht="15.75" customHeight="1">
      <c r="A15" s="23"/>
      <c r="B15" s="24" t="s">
        <v>13</v>
      </c>
      <c r="C15" s="24" t="str">
        <f> $E14 &amp; " / " &amp; $E14 &amp; " - " &amp; ROUND($E14*0.6,0)</f>
        <v>0,5 / 0,5 - 0</v>
      </c>
      <c r="D15" s="24" t="str">
        <f> $E14 &amp; " / " &amp; ROUND($E14*0.6,0) -1 &amp; " - " &amp; ROUND($E14*0,0)</f>
        <v>0,5 / -1 - 0</v>
      </c>
      <c r="E15" s="24">
        <f>$E14</f>
        <v>0.5</v>
      </c>
    </row>
    <row r="16" ht="15.75" customHeight="1">
      <c r="A16" s="23" t="s">
        <v>54</v>
      </c>
      <c r="B16" s="24" t="s">
        <v>44</v>
      </c>
      <c r="C16" s="24" t="s">
        <v>45</v>
      </c>
      <c r="D16" s="24" t="s">
        <v>46</v>
      </c>
      <c r="E16" s="24">
        <v>0.5</v>
      </c>
    </row>
    <row r="17" ht="15.75" customHeight="1">
      <c r="A17" s="23"/>
      <c r="B17" s="24" t="s">
        <v>13</v>
      </c>
      <c r="C17" s="24" t="str">
        <f> $E16 &amp; " / " &amp; $E16 &amp; " - " &amp; ROUND($E16*0.6,0)</f>
        <v>0,5 / 0,5 - 0</v>
      </c>
      <c r="D17" s="24" t="str">
        <f> $E16 &amp; " / " &amp; ROUND($E16*0.6,0) -1 &amp; " - " &amp; ROUND($E16*0,0)</f>
        <v>0,5 / -1 - 0</v>
      </c>
      <c r="E17" s="24">
        <f>$E16</f>
        <v>0.5</v>
      </c>
    </row>
    <row r="18" ht="15.75" customHeight="1">
      <c r="A18" s="23" t="s">
        <v>55</v>
      </c>
      <c r="B18" s="24" t="s">
        <v>48</v>
      </c>
      <c r="C18" s="24" t="s">
        <v>49</v>
      </c>
      <c r="D18" s="24" t="s">
        <v>50</v>
      </c>
      <c r="E18" s="24">
        <v>0.5</v>
      </c>
    </row>
    <row r="19" ht="15.75" customHeight="1">
      <c r="A19" s="23"/>
      <c r="B19" s="24" t="s">
        <v>13</v>
      </c>
      <c r="C19" s="24" t="str">
        <f> $E18 &amp; " / " &amp; $E18 &amp; " - " &amp; ROUND($E18*0.6,0)</f>
        <v>0,5 / 0,5 - 0</v>
      </c>
      <c r="D19" s="24" t="str">
        <f> $E18 &amp; " / " &amp; ROUND($E18*0.6,0) -1 &amp; " - " &amp; ROUND($E18*0,0)</f>
        <v>0,5 / -1 - 0</v>
      </c>
      <c r="E19" s="24">
        <f>$E18</f>
        <v>0.5</v>
      </c>
    </row>
    <row r="20" ht="15.75" customHeight="1">
      <c r="A20" s="21" t="s">
        <v>56</v>
      </c>
      <c r="B20" s="22" t="s">
        <v>57</v>
      </c>
      <c r="C20" s="22"/>
      <c r="D20" s="22"/>
      <c r="E20" s="22">
        <v>1.5</v>
      </c>
    </row>
    <row r="21" ht="15.75" customHeight="1">
      <c r="A21" s="21"/>
      <c r="B21" s="22" t="s">
        <v>13</v>
      </c>
      <c r="C21" s="22" t="str">
        <f> $E20 &amp; " / " &amp; $E20 &amp; " - " &amp; ROUND($E20*0.6,0)</f>
        <v>1,5 / 1,5 - 1</v>
      </c>
      <c r="D21" s="22" t="str">
        <f> $E20 &amp; " / " &amp; ROUND($E20*0.6,0) -1 &amp; " - " &amp; ROUND($E20*0,0)</f>
        <v>1,5 / 0 - 0</v>
      </c>
      <c r="E21" s="22">
        <f>$E20</f>
        <v>1.5</v>
      </c>
    </row>
    <row r="22" ht="15.75" customHeight="1">
      <c r="A22" s="23" t="s">
        <v>58</v>
      </c>
      <c r="B22" s="24" t="s">
        <v>40</v>
      </c>
      <c r="C22" s="24" t="s">
        <v>41</v>
      </c>
      <c r="D22" s="24" t="s">
        <v>42</v>
      </c>
      <c r="E22" s="24">
        <v>0.5</v>
      </c>
    </row>
    <row r="23" ht="15.75" customHeight="1">
      <c r="A23" s="23"/>
      <c r="B23" s="24" t="s">
        <v>13</v>
      </c>
      <c r="C23" s="24" t="str">
        <f> $E22 &amp; " / " &amp; $E22 &amp; " - " &amp; ROUND($E22*0.6,0)</f>
        <v>0,5 / 0,5 - 0</v>
      </c>
      <c r="D23" s="24" t="str">
        <f> $E22 &amp; " / " &amp; ROUND($E22*0.6,0) -1 &amp; " - " &amp; ROUND($E22*0,0)</f>
        <v>0,5 / -1 - 0</v>
      </c>
      <c r="E23" s="24">
        <f>$E22</f>
        <v>0.5</v>
      </c>
    </row>
    <row r="24" ht="15.75" customHeight="1">
      <c r="A24" s="23" t="s">
        <v>59</v>
      </c>
      <c r="B24" s="24" t="s">
        <v>44</v>
      </c>
      <c r="C24" s="24" t="s">
        <v>45</v>
      </c>
      <c r="D24" s="24" t="s">
        <v>46</v>
      </c>
      <c r="E24" s="24">
        <v>0.5</v>
      </c>
    </row>
    <row r="25" ht="15.75" customHeight="1">
      <c r="A25" s="23"/>
      <c r="B25" s="24" t="s">
        <v>13</v>
      </c>
      <c r="C25" s="24" t="str">
        <f> $E24 &amp; " / " &amp; $E24 &amp; " - " &amp; ROUND($E24*0.6,0)</f>
        <v>0,5 / 0,5 - 0</v>
      </c>
      <c r="D25" s="24" t="str">
        <f> $E24 &amp; " / " &amp; ROUND($E24*0.6,0) -1 &amp; " - " &amp; ROUND($E24*0,0)</f>
        <v>0,5 / -1 - 0</v>
      </c>
      <c r="E25" s="24">
        <f>$E24</f>
        <v>0.5</v>
      </c>
    </row>
    <row r="26" ht="15.75" customHeight="1">
      <c r="A26" s="23" t="s">
        <v>60</v>
      </c>
      <c r="B26" s="24" t="s">
        <v>48</v>
      </c>
      <c r="C26" s="24" t="s">
        <v>49</v>
      </c>
      <c r="D26" s="24" t="s">
        <v>50</v>
      </c>
      <c r="E26" s="24">
        <v>0.5</v>
      </c>
    </row>
    <row r="27" ht="15.75" customHeight="1">
      <c r="A27" s="23"/>
      <c r="B27" s="24" t="s">
        <v>13</v>
      </c>
      <c r="C27" s="24" t="str">
        <f> $E26 &amp; " / " &amp; $E26 &amp; " - " &amp; ROUND($E26*0.6,0)</f>
        <v>0,5 / 0,5 - 0</v>
      </c>
      <c r="D27" s="24" t="str">
        <f> $E26 &amp; " / " &amp; ROUND($E26*0.6,0) -1 &amp; " - " &amp; ROUND($E26*0,0)</f>
        <v>0,5 / -1 - 0</v>
      </c>
      <c r="E27" s="24">
        <f>$E26</f>
        <v>0.5</v>
      </c>
    </row>
    <row r="28" ht="15.75" customHeight="1">
      <c r="A28" s="21" t="s">
        <v>61</v>
      </c>
      <c r="B28" s="22" t="s">
        <v>62</v>
      </c>
      <c r="C28" s="22"/>
      <c r="D28" s="22"/>
      <c r="E28" s="22">
        <v>1.5</v>
      </c>
    </row>
    <row r="29" ht="15.75" customHeight="1">
      <c r="A29" s="21"/>
      <c r="B29" s="22" t="s">
        <v>13</v>
      </c>
      <c r="C29" s="22" t="str">
        <f> $E28 &amp; " / " &amp; $E28 &amp; " - " &amp; ROUND($E28*0.6,0)</f>
        <v>1,5 / 1,5 - 1</v>
      </c>
      <c r="D29" s="22" t="str">
        <f> $E28 &amp; " / " &amp; ROUND($E28*0.6,0) -1 &amp; " - " &amp; ROUND($E28*0,0)</f>
        <v>1,5 / 0 - 0</v>
      </c>
      <c r="E29" s="22">
        <f>$E28</f>
        <v>1.5</v>
      </c>
    </row>
    <row r="30" ht="15.75" customHeight="1">
      <c r="A30" s="23" t="s">
        <v>63</v>
      </c>
      <c r="B30" s="24" t="s">
        <v>40</v>
      </c>
      <c r="C30" s="24" t="s">
        <v>41</v>
      </c>
      <c r="D30" s="24" t="s">
        <v>42</v>
      </c>
      <c r="E30" s="24">
        <v>0.5</v>
      </c>
    </row>
    <row r="31" ht="15.75" customHeight="1">
      <c r="A31" s="23"/>
      <c r="B31" s="24" t="s">
        <v>13</v>
      </c>
      <c r="C31" s="24" t="str">
        <f> $E30 &amp; " / " &amp; $E30 &amp; " - " &amp; ROUND($E30*0.6,0)</f>
        <v>0,5 / 0,5 - 0</v>
      </c>
      <c r="D31" s="24" t="str">
        <f> $E30 &amp; " / " &amp; ROUND($E30*0.6,0) -1 &amp; " - " &amp; ROUND($E30*0,0)</f>
        <v>0,5 / -1 - 0</v>
      </c>
      <c r="E31" s="24">
        <f>$E30</f>
        <v>0.5</v>
      </c>
    </row>
    <row r="32" ht="15.75" customHeight="1">
      <c r="A32" s="23" t="s">
        <v>64</v>
      </c>
      <c r="B32" s="24" t="s">
        <v>44</v>
      </c>
      <c r="C32" s="24" t="s">
        <v>45</v>
      </c>
      <c r="D32" s="24" t="s">
        <v>46</v>
      </c>
      <c r="E32" s="24">
        <v>0.5</v>
      </c>
    </row>
    <row r="33" ht="15.75" customHeight="1">
      <c r="A33" s="23"/>
      <c r="B33" s="24" t="s">
        <v>13</v>
      </c>
      <c r="C33" s="24" t="str">
        <f> $E32 &amp; " / " &amp; $E32 &amp; " - " &amp; ROUND($E32*0.6,0)</f>
        <v>0,5 / 0,5 - 0</v>
      </c>
      <c r="D33" s="24" t="str">
        <f> $E32 &amp; " / " &amp; ROUND($E32*0.6,0) -1 &amp; " - " &amp; ROUND($E32*0,0)</f>
        <v>0,5 / -1 - 0</v>
      </c>
      <c r="E33" s="24">
        <f>$E32</f>
        <v>0.5</v>
      </c>
    </row>
    <row r="34" ht="15.75" customHeight="1">
      <c r="A34" s="23" t="s">
        <v>65</v>
      </c>
      <c r="B34" s="24" t="s">
        <v>48</v>
      </c>
      <c r="C34" s="24" t="s">
        <v>49</v>
      </c>
      <c r="D34" s="24" t="s">
        <v>50</v>
      </c>
      <c r="E34" s="24">
        <v>0.5</v>
      </c>
    </row>
    <row r="35" ht="15.75" customHeight="1">
      <c r="A35" s="23"/>
      <c r="B35" s="24" t="s">
        <v>13</v>
      </c>
      <c r="C35" s="24" t="str">
        <f> $E34 &amp; " / " &amp; $E34 &amp; " - " &amp; ROUND($E34*0.6,0)</f>
        <v>0,5 / 0,5 - 0</v>
      </c>
      <c r="D35" s="24" t="str">
        <f> $E34 &amp; " / " &amp; ROUND($E34*0.6,0) -1 &amp; " - " &amp; ROUND($E34*0,0)</f>
        <v>0,5 / -1 - 0</v>
      </c>
      <c r="E35" s="24">
        <f>$E34</f>
        <v>0.5</v>
      </c>
    </row>
    <row r="36" ht="15.75" customHeight="1">
      <c r="A36" s="21" t="s">
        <v>61</v>
      </c>
      <c r="B36" s="22" t="s">
        <v>66</v>
      </c>
      <c r="C36" s="22"/>
      <c r="D36" s="22"/>
      <c r="E36" s="22">
        <v>1.5</v>
      </c>
    </row>
    <row r="37" ht="15.75" customHeight="1">
      <c r="A37" s="21"/>
      <c r="B37" s="22" t="s">
        <v>13</v>
      </c>
      <c r="C37" s="22" t="str">
        <f> $E36 &amp; " / " &amp; $E36 &amp; " - " &amp; ROUND($E36*0.6,0)</f>
        <v>1,5 / 1,5 - 1</v>
      </c>
      <c r="D37" s="22" t="str">
        <f> $E36 &amp; " / " &amp; ROUND($E36*0.6,0) -1 &amp; " - " &amp; ROUND($E36*0,0)</f>
        <v>1,5 / 0 - 0</v>
      </c>
      <c r="E37" s="22">
        <f>$E36</f>
        <v>1.5</v>
      </c>
    </row>
    <row r="38" ht="15.75" customHeight="1">
      <c r="A38" s="23" t="s">
        <v>63</v>
      </c>
      <c r="B38" s="24" t="s">
        <v>40</v>
      </c>
      <c r="C38" s="24" t="s">
        <v>41</v>
      </c>
      <c r="D38" s="24" t="s">
        <v>42</v>
      </c>
      <c r="E38" s="24">
        <v>0.5</v>
      </c>
    </row>
    <row r="39" ht="15.75" customHeight="1">
      <c r="A39" s="23"/>
      <c r="B39" s="24" t="s">
        <v>13</v>
      </c>
      <c r="C39" s="24" t="str">
        <f> $E38 &amp; " / " &amp; $E38 &amp; " - " &amp; ROUND($E38*0.6,0)</f>
        <v>0,5 / 0,5 - 0</v>
      </c>
      <c r="D39" s="24" t="str">
        <f> $E38 &amp; " / " &amp; ROUND($E38*0.6,0) -1 &amp; " - " &amp; ROUND($E38*0,0)</f>
        <v>0,5 / -1 - 0</v>
      </c>
      <c r="E39" s="24">
        <f>$E38</f>
        <v>0.5</v>
      </c>
    </row>
    <row r="40" ht="15.75" customHeight="1">
      <c r="A40" s="23" t="s">
        <v>64</v>
      </c>
      <c r="B40" s="24" t="s">
        <v>44</v>
      </c>
      <c r="C40" s="24" t="s">
        <v>45</v>
      </c>
      <c r="D40" s="24" t="s">
        <v>46</v>
      </c>
      <c r="E40" s="24">
        <v>0.5</v>
      </c>
    </row>
    <row r="41" ht="15.75" customHeight="1">
      <c r="A41" s="23"/>
      <c r="B41" s="24" t="s">
        <v>13</v>
      </c>
      <c r="C41" s="24" t="str">
        <f> $E40 &amp; " / " &amp; $E40 &amp; " - " &amp; ROUND($E40*0.6,0)</f>
        <v>0,5 / 0,5 - 0</v>
      </c>
      <c r="D41" s="24" t="str">
        <f> $E40 &amp; " / " &amp; ROUND($E40*0.6,0) -1 &amp; " - " &amp; ROUND($E40*0,0)</f>
        <v>0,5 / -1 - 0</v>
      </c>
      <c r="E41" s="24">
        <f>$E40</f>
        <v>0.5</v>
      </c>
    </row>
    <row r="42" ht="15.75" customHeight="1">
      <c r="A42" s="23" t="s">
        <v>65</v>
      </c>
      <c r="B42" s="24" t="s">
        <v>48</v>
      </c>
      <c r="C42" s="24" t="s">
        <v>49</v>
      </c>
      <c r="D42" s="24" t="s">
        <v>50</v>
      </c>
      <c r="E42" s="24">
        <v>0.5</v>
      </c>
    </row>
    <row r="43" ht="15.75" customHeight="1">
      <c r="A43" s="23"/>
      <c r="B43" s="24" t="s">
        <v>13</v>
      </c>
      <c r="C43" s="24" t="str">
        <f> $E42 &amp; " / " &amp; $E42 &amp; " - " &amp; ROUND($E42*0.6,0)</f>
        <v>0,5 / 0,5 - 0</v>
      </c>
      <c r="D43" s="24" t="str">
        <f> $E42 &amp; " / " &amp; ROUND($E42*0.6,0) -1 &amp; " - " &amp; ROUND($E42*0,0)</f>
        <v>0,5 / -1 - 0</v>
      </c>
      <c r="E43" s="24">
        <f>$E42</f>
        <v>0.5</v>
      </c>
    </row>
    <row r="44" ht="15.75" customHeight="1">
      <c r="A44" s="21" t="s">
        <v>67</v>
      </c>
      <c r="B44" s="22" t="s">
        <v>68</v>
      </c>
      <c r="C44" s="22"/>
      <c r="D44" s="22"/>
      <c r="E44" s="22">
        <v>10.0</v>
      </c>
    </row>
    <row r="45" ht="15.75" customHeight="1">
      <c r="A45" s="21"/>
      <c r="B45" s="22" t="s">
        <v>13</v>
      </c>
      <c r="C45" s="22" t="str">
        <f> $E44 &amp; " / " &amp; $E44 &amp; " - " &amp; ROUND($E44*0.6,0)</f>
        <v>10 / 10 - 6</v>
      </c>
      <c r="D45" s="22" t="str">
        <f> $E44 &amp; " / " &amp; ROUND($E44*0.6,0) -1 &amp; " - " &amp; ROUND($E44*0,0)</f>
        <v>10 / 5 - 0</v>
      </c>
      <c r="E45" s="22">
        <f>$E44</f>
        <v>10</v>
      </c>
    </row>
    <row r="46" ht="15.75" customHeight="1">
      <c r="A46" s="23" t="s">
        <v>69</v>
      </c>
      <c r="B46" s="24" t="s">
        <v>70</v>
      </c>
      <c r="C46" s="24" t="s">
        <v>71</v>
      </c>
      <c r="D46" s="24" t="s">
        <v>72</v>
      </c>
      <c r="E46" s="24">
        <v>5.0</v>
      </c>
    </row>
    <row r="47" ht="15.75" customHeight="1">
      <c r="A47" s="23"/>
      <c r="B47" s="24" t="s">
        <v>13</v>
      </c>
      <c r="C47" s="24" t="str">
        <f> $E46 &amp; " / " &amp; $E46 &amp; " - " &amp; ROUND($E46*0.6,0)</f>
        <v>5 / 5 - 3</v>
      </c>
      <c r="D47" s="24" t="str">
        <f> $E46 &amp; " / " &amp; ROUND($E46*0.6,0) -1 &amp; " - " &amp; ROUND($E46*0,0)</f>
        <v>5 / 2 - 0</v>
      </c>
      <c r="E47" s="24">
        <f>$E46</f>
        <v>5</v>
      </c>
    </row>
    <row r="48" ht="15.75" customHeight="1">
      <c r="A48" s="23" t="s">
        <v>73</v>
      </c>
      <c r="B48" s="24" t="s">
        <v>74</v>
      </c>
      <c r="C48" s="24" t="s">
        <v>75</v>
      </c>
      <c r="D48" s="24" t="s">
        <v>76</v>
      </c>
      <c r="E48" s="24">
        <v>5.0</v>
      </c>
    </row>
    <row r="49" ht="15.75" customHeight="1">
      <c r="A49" s="23"/>
      <c r="B49" s="24" t="s">
        <v>13</v>
      </c>
      <c r="C49" s="24" t="str">
        <f> $E48 &amp; " / " &amp; $E48 &amp; " - " &amp; ROUND($E48*0.6,0)</f>
        <v>5 / 5 - 3</v>
      </c>
      <c r="D49" s="24" t="str">
        <f> $E48 &amp; " / " &amp; ROUND($E48*0.6,0) -1 &amp; " - " &amp; ROUND($E48*0,0)</f>
        <v>5 / 2 - 0</v>
      </c>
      <c r="E49" s="24">
        <f>$E48</f>
        <v>5</v>
      </c>
    </row>
    <row r="50" ht="15.75" customHeight="1">
      <c r="A50" s="21" t="s">
        <v>77</v>
      </c>
      <c r="B50" s="22" t="s">
        <v>78</v>
      </c>
      <c r="C50" s="22"/>
      <c r="D50" s="22"/>
      <c r="E50" s="22">
        <v>17.5</v>
      </c>
    </row>
    <row r="51" ht="15.75" customHeight="1">
      <c r="A51" s="21"/>
      <c r="B51" s="22" t="s">
        <v>13</v>
      </c>
      <c r="C51" s="22" t="str">
        <f> $E50 &amp; " / " &amp; $E50 &amp; " - " &amp; ROUND($E50*0.6,0)</f>
        <v>17,5 / 17,5 - 11</v>
      </c>
      <c r="D51" s="22" t="str">
        <f> $E50 &amp; " / " &amp; ROUND($E50*0.6,0) -1 &amp; " - " &amp; ROUND($E50*0,0)</f>
        <v>17,5 / 10 - 0</v>
      </c>
      <c r="E51" s="22">
        <f>$E50</f>
        <v>17.5</v>
      </c>
    </row>
    <row r="52" ht="15.75" customHeight="1">
      <c r="A52" s="23" t="s">
        <v>79</v>
      </c>
      <c r="B52" s="24" t="s">
        <v>80</v>
      </c>
      <c r="C52" s="24" t="s">
        <v>81</v>
      </c>
      <c r="D52" s="24" t="s">
        <v>82</v>
      </c>
      <c r="E52" s="24">
        <v>2.5</v>
      </c>
    </row>
    <row r="53" ht="15.75" customHeight="1">
      <c r="A53" s="23"/>
      <c r="B53" s="24" t="s">
        <v>13</v>
      </c>
      <c r="C53" s="24" t="str">
        <f> $E52 &amp; " / " &amp; $E52 &amp; " - " &amp; ROUND($E52*0.6,0)</f>
        <v>2,5 / 2,5 - 2</v>
      </c>
      <c r="D53" s="24" t="str">
        <f> $E52 &amp; " / " &amp; ROUND($E52*0.6,0) -1 &amp; " - " &amp; ROUND($E52*0,0)</f>
        <v>2,5 / 1 - 0</v>
      </c>
      <c r="E53" s="24">
        <f>$E52</f>
        <v>2.5</v>
      </c>
    </row>
    <row r="54" ht="15.75" customHeight="1">
      <c r="A54" s="23" t="s">
        <v>83</v>
      </c>
      <c r="B54" s="24" t="s">
        <v>84</v>
      </c>
      <c r="C54" s="24" t="s">
        <v>85</v>
      </c>
      <c r="D54" s="24" t="s">
        <v>86</v>
      </c>
      <c r="E54" s="24">
        <v>3.0</v>
      </c>
    </row>
    <row r="55" ht="15.75" customHeight="1">
      <c r="A55" s="23"/>
      <c r="B55" s="24" t="s">
        <v>13</v>
      </c>
      <c r="C55" s="24" t="str">
        <f> $E54 &amp; " / " &amp; $E54 &amp; " - " &amp; ROUND($E54*0.6,0)</f>
        <v>3 / 3 - 2</v>
      </c>
      <c r="D55" s="24" t="str">
        <f> $E54 &amp; " / " &amp; ROUND($E54*0.6,0) -1 &amp; " - " &amp; ROUND($E54*0,0)</f>
        <v>3 / 1 - 0</v>
      </c>
      <c r="E55" s="24">
        <f>$E54</f>
        <v>3</v>
      </c>
    </row>
    <row r="56" ht="15.75" customHeight="1">
      <c r="A56" s="23" t="s">
        <v>87</v>
      </c>
      <c r="B56" s="24" t="s">
        <v>88</v>
      </c>
      <c r="C56" s="24" t="s">
        <v>89</v>
      </c>
      <c r="D56" s="24" t="s">
        <v>90</v>
      </c>
      <c r="E56" s="24">
        <v>4.0</v>
      </c>
    </row>
    <row r="57" ht="15.75" customHeight="1">
      <c r="A57" s="23"/>
      <c r="B57" s="24" t="s">
        <v>13</v>
      </c>
      <c r="C57" s="24" t="str">
        <f> $E56 &amp; " / " &amp; $E56 &amp; " - " &amp; ROUND($E56*0.6,0)</f>
        <v>4 / 4 - 2</v>
      </c>
      <c r="D57" s="24" t="str">
        <f> $E56 &amp; " / " &amp; ROUND($E56*0.6,0) -1 &amp; " - " &amp; ROUND($E56*0,0)</f>
        <v>4 / 1 - 0</v>
      </c>
      <c r="E57" s="24">
        <f>$E56</f>
        <v>4</v>
      </c>
    </row>
    <row r="58" ht="15.75" customHeight="1">
      <c r="A58" s="23" t="s">
        <v>91</v>
      </c>
      <c r="B58" s="24" t="s">
        <v>92</v>
      </c>
      <c r="C58" s="24" t="s">
        <v>93</v>
      </c>
      <c r="D58" s="24" t="s">
        <v>94</v>
      </c>
      <c r="E58" s="24">
        <v>2.0</v>
      </c>
    </row>
    <row r="59" ht="15.75" customHeight="1">
      <c r="A59" s="23"/>
      <c r="B59" s="24" t="s">
        <v>13</v>
      </c>
      <c r="C59" s="24" t="str">
        <f> $E58 &amp; " / " &amp; $E58 &amp; " - " &amp; ROUND($E58*0.6,0)</f>
        <v>2 / 2 - 1</v>
      </c>
      <c r="D59" s="24" t="str">
        <f> $E58 &amp; " / " &amp; ROUND($E58*0.6,0) -1 &amp; " - " &amp; ROUND($E58*0,0)</f>
        <v>2 / 0 - 0</v>
      </c>
      <c r="E59" s="24">
        <f>$E58</f>
        <v>2</v>
      </c>
    </row>
    <row r="60" ht="15.75" customHeight="1">
      <c r="A60" s="23" t="s">
        <v>95</v>
      </c>
      <c r="B60" s="24" t="s">
        <v>96</v>
      </c>
      <c r="C60" s="24" t="s">
        <v>97</v>
      </c>
      <c r="D60" s="24" t="s">
        <v>98</v>
      </c>
      <c r="E60" s="24">
        <v>3.0</v>
      </c>
    </row>
    <row r="61" ht="15.75" customHeight="1">
      <c r="A61" s="23"/>
      <c r="B61" s="24" t="s">
        <v>13</v>
      </c>
      <c r="C61" s="24" t="str">
        <f> $E60 &amp; " / " &amp; $E60 &amp; " - " &amp; ROUND($E60*0.6,0)</f>
        <v>3 / 3 - 2</v>
      </c>
      <c r="D61" s="24" t="str">
        <f> $E60 &amp; " / " &amp; ROUND($E60*0.6,0) -1 &amp; " - " &amp; ROUND($E60*0,0)</f>
        <v>3 / 1 - 0</v>
      </c>
      <c r="E61" s="24">
        <f>$E60</f>
        <v>3</v>
      </c>
    </row>
    <row r="62" ht="15.75" customHeight="1">
      <c r="A62" s="23" t="s">
        <v>99</v>
      </c>
      <c r="B62" s="24" t="s">
        <v>100</v>
      </c>
      <c r="C62" s="24" t="s">
        <v>101</v>
      </c>
      <c r="D62" s="24" t="s">
        <v>102</v>
      </c>
      <c r="E62" s="24">
        <v>3.0</v>
      </c>
    </row>
    <row r="63" ht="15.75" customHeight="1">
      <c r="A63" s="23"/>
      <c r="B63" s="24" t="s">
        <v>13</v>
      </c>
      <c r="C63" s="24" t="str">
        <f> $E62 &amp; " / " &amp; $E62 &amp; " - " &amp; ROUND($E62*0.6,0)</f>
        <v>3 / 3 - 2</v>
      </c>
      <c r="D63" s="24" t="str">
        <f> $E62 &amp; " / " &amp; ROUND($E62*0.6,0) -1 &amp; " - " &amp; ROUND($E62*0,0)</f>
        <v>3 / 1 - 0</v>
      </c>
      <c r="E63" s="24">
        <f>$E62</f>
        <v>3</v>
      </c>
    </row>
    <row r="64" ht="15.75" customHeight="1">
      <c r="A64" s="21" t="s">
        <v>103</v>
      </c>
      <c r="B64" s="22" t="s">
        <v>104</v>
      </c>
      <c r="C64" s="22"/>
      <c r="D64" s="22"/>
      <c r="E64" s="22">
        <v>10.0</v>
      </c>
    </row>
    <row r="65" ht="15.75" customHeight="1">
      <c r="A65" s="21"/>
      <c r="B65" s="22" t="s">
        <v>13</v>
      </c>
      <c r="C65" s="22" t="str">
        <f> $E64 &amp; " / " &amp; $E64 &amp; " - " &amp; ROUND($E64*0.6,0)</f>
        <v>10 / 10 - 6</v>
      </c>
      <c r="D65" s="22" t="str">
        <f> $E64 &amp; " / " &amp; ROUND($E64*0.6,0) -1 &amp; " - " &amp; ROUND($E64*0,0)</f>
        <v>10 / 5 - 0</v>
      </c>
      <c r="E65" s="22">
        <f>$E64</f>
        <v>10</v>
      </c>
    </row>
    <row r="66" ht="15.75" customHeight="1">
      <c r="A66" s="23" t="s">
        <v>105</v>
      </c>
      <c r="B66" s="24" t="s">
        <v>106</v>
      </c>
      <c r="C66" s="24" t="s">
        <v>81</v>
      </c>
      <c r="D66" s="24" t="s">
        <v>82</v>
      </c>
      <c r="E66" s="24">
        <v>4.0</v>
      </c>
    </row>
    <row r="67" ht="15.75" customHeight="1">
      <c r="A67" s="23"/>
      <c r="B67" s="24" t="s">
        <v>13</v>
      </c>
      <c r="C67" s="24" t="str">
        <f> $E66 &amp; " / " &amp; $E66 &amp; " - " &amp; ROUND($E66*0.6,0)</f>
        <v>4 / 4 - 2</v>
      </c>
      <c r="D67" s="24" t="str">
        <f> $E66 &amp; " / " &amp; ROUND($E66*0.6,0) -1 &amp; " - " &amp; ROUND($E66*0,0)</f>
        <v>4 / 1 - 0</v>
      </c>
      <c r="E67" s="24">
        <f>$E66</f>
        <v>4</v>
      </c>
    </row>
    <row r="68" ht="15.75" customHeight="1">
      <c r="A68" s="23" t="s">
        <v>107</v>
      </c>
      <c r="B68" s="24" t="s">
        <v>108</v>
      </c>
      <c r="C68" s="24" t="s">
        <v>85</v>
      </c>
      <c r="D68" s="24" t="s">
        <v>86</v>
      </c>
      <c r="E68" s="24">
        <v>3.0</v>
      </c>
    </row>
    <row r="69" ht="15.75" customHeight="1">
      <c r="A69" s="23"/>
      <c r="B69" s="24" t="s">
        <v>13</v>
      </c>
      <c r="C69" s="24" t="str">
        <f> $E68 &amp; " / " &amp; $E68 &amp; " - " &amp; ROUND($E68*0.6,0)</f>
        <v>3 / 3 - 2</v>
      </c>
      <c r="D69" s="24" t="str">
        <f> $E68 &amp; " / " &amp; ROUND($E68*0.6,0) -1 &amp; " - " &amp; ROUND($E68*0,0)</f>
        <v>3 / 1 - 0</v>
      </c>
      <c r="E69" s="24">
        <f>$E68</f>
        <v>3</v>
      </c>
    </row>
    <row r="70" ht="15.75" customHeight="1">
      <c r="A70" s="23" t="s">
        <v>109</v>
      </c>
      <c r="B70" s="24" t="s">
        <v>110</v>
      </c>
      <c r="C70" s="24" t="s">
        <v>111</v>
      </c>
      <c r="D70" s="24" t="s">
        <v>112</v>
      </c>
      <c r="E70" s="24">
        <v>3.0</v>
      </c>
    </row>
    <row r="71" ht="15.75" customHeight="1">
      <c r="A71" s="23"/>
      <c r="B71" s="24" t="s">
        <v>13</v>
      </c>
      <c r="C71" s="24" t="str">
        <f> $E70 &amp; " / " &amp; $E70 &amp; " - " &amp; ROUND($E70*0.6,0)</f>
        <v>3 / 3 - 2</v>
      </c>
      <c r="D71" s="24" t="str">
        <f> $E70 &amp; " / " &amp; ROUND($E70*0.6,0) -1 &amp; " - " &amp; ROUND($E70*0,0)</f>
        <v>3 / 1 - 0</v>
      </c>
      <c r="E71" s="24">
        <f>$E70</f>
        <v>3</v>
      </c>
    </row>
    <row r="72" ht="15.75" customHeight="1">
      <c r="A72" s="21" t="s">
        <v>113</v>
      </c>
      <c r="B72" s="22" t="s">
        <v>114</v>
      </c>
      <c r="C72" s="22"/>
      <c r="D72" s="22"/>
      <c r="E72" s="22">
        <v>10.0</v>
      </c>
    </row>
    <row r="73" ht="15.75" customHeight="1">
      <c r="A73" s="21"/>
      <c r="B73" s="22" t="s">
        <v>13</v>
      </c>
      <c r="C73" s="22" t="str">
        <f> $E72 &amp; " / " &amp; $E72 &amp; " - " &amp; ROUND($E72*0.6,0)</f>
        <v>10 / 10 - 6</v>
      </c>
      <c r="D73" s="22" t="str">
        <f> $E72 &amp; " / " &amp; ROUND($E72*0.6,0) -1 &amp; " - " &amp; ROUND($E72*0,0)</f>
        <v>10 / 5 - 0</v>
      </c>
      <c r="E73" s="22">
        <f>$E72</f>
        <v>10</v>
      </c>
    </row>
    <row r="74" ht="15.75" customHeight="1">
      <c r="A74" s="23" t="s">
        <v>115</v>
      </c>
      <c r="B74" s="24" t="s">
        <v>116</v>
      </c>
      <c r="C74" s="24" t="s">
        <v>117</v>
      </c>
      <c r="D74" s="24" t="s">
        <v>118</v>
      </c>
      <c r="E74" s="24">
        <v>5.0</v>
      </c>
    </row>
    <row r="75" ht="15.75" customHeight="1">
      <c r="A75" s="23"/>
      <c r="B75" s="24" t="s">
        <v>13</v>
      </c>
      <c r="C75" s="24" t="str">
        <f> $E74 &amp; " / " &amp; $E74 &amp; " - " &amp; ROUND($E74*0.6,0)</f>
        <v>5 / 5 - 3</v>
      </c>
      <c r="D75" s="24" t="str">
        <f> $E74 &amp; " / " &amp; ROUND($E74*0.6,0) -1 &amp; " - " &amp; ROUND($E74*0,0)</f>
        <v>5 / 2 - 0</v>
      </c>
      <c r="E75" s="24">
        <f>$E74</f>
        <v>5</v>
      </c>
    </row>
    <row r="76" ht="15.75" customHeight="1">
      <c r="A76" s="23" t="s">
        <v>119</v>
      </c>
      <c r="B76" s="24" t="s">
        <v>120</v>
      </c>
      <c r="C76" s="24" t="s">
        <v>121</v>
      </c>
      <c r="D76" s="24" t="s">
        <v>122</v>
      </c>
      <c r="E76" s="24">
        <v>5.0</v>
      </c>
    </row>
    <row r="77" ht="15.75" customHeight="1">
      <c r="A77" s="23"/>
      <c r="B77" s="24" t="s">
        <v>13</v>
      </c>
      <c r="C77" s="24" t="str">
        <f> $E76 &amp; " / " &amp; $E76 &amp; " - " &amp; ROUND($E76*0.6,0)</f>
        <v>5 / 5 - 3</v>
      </c>
      <c r="D77" s="24" t="str">
        <f> $E76 &amp; " / " &amp; ROUND($E76*0.6,0) -1 &amp; " - " &amp; ROUND($E76*0,0)</f>
        <v>5 / 2 - 0</v>
      </c>
      <c r="E77" s="24">
        <f>$E76</f>
        <v>5</v>
      </c>
    </row>
    <row r="78" ht="15.75" customHeight="1">
      <c r="A78" s="19" t="s">
        <v>123</v>
      </c>
      <c r="B78" s="20" t="s">
        <v>124</v>
      </c>
      <c r="C78" s="20"/>
      <c r="D78" s="20"/>
      <c r="E78" s="20">
        <v>30.0</v>
      </c>
    </row>
    <row r="79" ht="15.75" customHeight="1">
      <c r="A79" s="19"/>
      <c r="B79" s="20" t="s">
        <v>13</v>
      </c>
      <c r="C79" s="20" t="str">
        <f> $E78 &amp; " / " &amp; $E78 &amp; " - " &amp; ROUND($E78*0.6,0)</f>
        <v>30 / 30 - 18</v>
      </c>
      <c r="D79" s="20" t="str">
        <f> $E78 &amp; " / " &amp; ROUND($E78*0.6,0) -1 &amp; " - " &amp; ROUND($E78*0,0)</f>
        <v>30 / 17 - 0</v>
      </c>
      <c r="E79" s="20">
        <f>$E78</f>
        <v>30</v>
      </c>
    </row>
    <row r="80" ht="15.75" customHeight="1">
      <c r="A80" s="23" t="s">
        <v>125</v>
      </c>
      <c r="B80" s="24" t="s">
        <v>126</v>
      </c>
      <c r="C80" s="24" t="s">
        <v>127</v>
      </c>
      <c r="D80" s="24" t="s">
        <v>128</v>
      </c>
      <c r="E80" s="24">
        <v>7.5</v>
      </c>
    </row>
    <row r="81" ht="15.75" customHeight="1">
      <c r="A81" s="23"/>
      <c r="B81" s="24" t="s">
        <v>13</v>
      </c>
      <c r="C81" s="24" t="str">
        <f> $E80 &amp; " / " &amp; $E80 &amp; " - " &amp; ROUND($E80*0.6,0)</f>
        <v>7,5 / 7,5 - 5</v>
      </c>
      <c r="D81" s="24" t="str">
        <f> $E80 &amp; " / " &amp; ROUND($E80*0.6,0) -1 &amp; " - " &amp; ROUND($E80*0,0)</f>
        <v>7,5 / 4 - 0</v>
      </c>
      <c r="E81" s="24">
        <f>$E80</f>
        <v>7.5</v>
      </c>
    </row>
    <row r="82" ht="15.75" customHeight="1">
      <c r="A82" s="23" t="s">
        <v>129</v>
      </c>
      <c r="B82" s="24" t="s">
        <v>130</v>
      </c>
      <c r="C82" s="24" t="s">
        <v>131</v>
      </c>
      <c r="D82" s="24" t="s">
        <v>132</v>
      </c>
      <c r="E82" s="24">
        <v>7.5</v>
      </c>
    </row>
    <row r="83" ht="15.75" customHeight="1">
      <c r="A83" s="23"/>
      <c r="B83" s="24" t="s">
        <v>13</v>
      </c>
      <c r="C83" s="24" t="str">
        <f> $E82 &amp; " / " &amp; $E82 &amp; " - " &amp; ROUND($E82*0.6,0)</f>
        <v>7,5 / 7,5 - 5</v>
      </c>
      <c r="D83" s="24" t="str">
        <f> $E82 &amp; " / " &amp; ROUND($E82*0.6,0) -1 &amp; " - " &amp; ROUND($E82*0,0)</f>
        <v>7,5 / 4 - 0</v>
      </c>
      <c r="E83" s="24">
        <f>$E82</f>
        <v>7.5</v>
      </c>
    </row>
    <row r="84" ht="15.75" customHeight="1">
      <c r="A84" s="23" t="s">
        <v>133</v>
      </c>
      <c r="B84" s="24" t="s">
        <v>134</v>
      </c>
      <c r="C84" s="24" t="s">
        <v>135</v>
      </c>
      <c r="D84" s="24" t="s">
        <v>136</v>
      </c>
      <c r="E84" s="24">
        <v>7.5</v>
      </c>
    </row>
    <row r="85" ht="15.75" customHeight="1">
      <c r="A85" s="23"/>
      <c r="B85" s="24" t="s">
        <v>13</v>
      </c>
      <c r="C85" s="24" t="str">
        <f> $E84 &amp; " / " &amp; $E84 &amp; " - " &amp; ROUND($E84*0.6,0)</f>
        <v>7,5 / 7,5 - 5</v>
      </c>
      <c r="D85" s="24" t="str">
        <f> $E84 &amp; " / " &amp; ROUND($E84*0.6,0) -1 &amp; " - " &amp; ROUND($E84*0,0)</f>
        <v>7,5 / 4 - 0</v>
      </c>
      <c r="E85" s="24">
        <f>$E84</f>
        <v>7.5</v>
      </c>
    </row>
    <row r="86" ht="15.75" customHeight="1">
      <c r="A86" s="23" t="s">
        <v>137</v>
      </c>
      <c r="B86" s="24" t="s">
        <v>138</v>
      </c>
      <c r="C86" s="24" t="s">
        <v>139</v>
      </c>
      <c r="D86" s="24" t="s">
        <v>140</v>
      </c>
      <c r="E86" s="24">
        <v>7.5</v>
      </c>
    </row>
    <row r="87" ht="15.75" customHeight="1">
      <c r="A87" s="23"/>
      <c r="B87" s="24" t="s">
        <v>13</v>
      </c>
      <c r="C87" s="24" t="str">
        <f> $E86 &amp; " / " &amp; $E86 &amp; " - " &amp; ROUND($E86*0.6,0)</f>
        <v>7,5 / 7,5 - 5</v>
      </c>
      <c r="D87" s="24" t="str">
        <f> $E86 &amp; " / " &amp; ROUND($E86*0.6,0) -1 &amp; " - " &amp; ROUND($E86*0,0)</f>
        <v>7,5 / 4 - 0</v>
      </c>
      <c r="E87" s="24">
        <f>$E86</f>
        <v>7.5</v>
      </c>
    </row>
    <row r="88" ht="15.75" customHeight="1">
      <c r="A88" s="19" t="s">
        <v>141</v>
      </c>
      <c r="B88" s="20" t="s">
        <v>142</v>
      </c>
      <c r="C88" s="20"/>
      <c r="D88" s="20"/>
      <c r="E88" s="20">
        <v>10.0</v>
      </c>
    </row>
    <row r="89" ht="15.75" customHeight="1">
      <c r="A89" s="19"/>
      <c r="B89" s="20" t="s">
        <v>13</v>
      </c>
      <c r="C89" s="20" t="str">
        <f> $E88 &amp; " / " &amp; $E88 &amp; " - " &amp; ROUND($E88*0.6,0)</f>
        <v>10 / 10 - 6</v>
      </c>
      <c r="D89" s="20" t="str">
        <f> $E88 &amp; " / " &amp; ROUND($E88*0.6,0) -1 &amp; " - " &amp; ROUND($E88*0,0)</f>
        <v>10 / 5 - 0</v>
      </c>
      <c r="E89" s="20">
        <f>$E88</f>
        <v>10</v>
      </c>
    </row>
    <row r="90" ht="15.75" customHeight="1">
      <c r="A90" s="23" t="s">
        <v>143</v>
      </c>
      <c r="B90" s="24" t="s">
        <v>144</v>
      </c>
      <c r="C90" s="24" t="s">
        <v>145</v>
      </c>
      <c r="D90" s="24" t="s">
        <v>146</v>
      </c>
      <c r="E90" s="24">
        <v>5.0</v>
      </c>
    </row>
    <row r="91" ht="15.75" customHeight="1">
      <c r="A91" s="23"/>
      <c r="B91" s="24" t="s">
        <v>13</v>
      </c>
      <c r="C91" s="24" t="str">
        <f> $E90 &amp; " / " &amp; $E90 &amp; " - " &amp; ROUND($E90*0.6,0)</f>
        <v>5 / 5 - 3</v>
      </c>
      <c r="D91" s="24" t="str">
        <f> $E90 &amp; " / " &amp; ROUND($E90*0.6,0) -1 &amp; " - " &amp; ROUND($E90*0,0)</f>
        <v>5 / 2 - 0</v>
      </c>
      <c r="E91" s="24">
        <f>$E90</f>
        <v>5</v>
      </c>
    </row>
    <row r="92" ht="15.75" customHeight="1">
      <c r="A92" s="23" t="s">
        <v>147</v>
      </c>
      <c r="B92" s="24" t="s">
        <v>148</v>
      </c>
      <c r="C92" s="24" t="s">
        <v>145</v>
      </c>
      <c r="D92" s="24" t="s">
        <v>146</v>
      </c>
      <c r="E92" s="24">
        <v>5.0</v>
      </c>
    </row>
    <row r="93" ht="15.75" customHeight="1">
      <c r="A93" s="23"/>
      <c r="B93" s="24" t="s">
        <v>13</v>
      </c>
      <c r="C93" s="24" t="str">
        <f> $E92 &amp; " / " &amp; $E92 &amp; " - " &amp; ROUND($E92*0.6,0)</f>
        <v>5 / 5 - 3</v>
      </c>
      <c r="D93" s="24" t="str">
        <f> $E92 &amp; " / " &amp; ROUND($E92*0.6,0) -1 &amp; " - " &amp; ROUND($E92*0,0)</f>
        <v>5 / 2 - 0</v>
      </c>
      <c r="E93" s="24">
        <f>$E92</f>
        <v>5</v>
      </c>
    </row>
    <row r="94" ht="15.75" customHeight="1">
      <c r="A94" s="19" t="s">
        <v>141</v>
      </c>
      <c r="B94" s="20" t="s">
        <v>149</v>
      </c>
      <c r="C94" s="20"/>
      <c r="D94" s="20"/>
      <c r="E94" s="20">
        <v>5.0</v>
      </c>
    </row>
    <row r="95" ht="15.75" customHeight="1">
      <c r="A95" s="19"/>
      <c r="B95" s="20" t="s">
        <v>13</v>
      </c>
      <c r="C95" s="20" t="str">
        <f> $E94 &amp; " / " &amp; $E94 &amp; " - " &amp; ROUND($E94*0.6,0)</f>
        <v>5 / 5 - 3</v>
      </c>
      <c r="D95" s="20" t="str">
        <f> $E94 &amp; " / " &amp; ROUND($E94*0.6,0) -1 &amp; " - " &amp; ROUND($E94*0,0)</f>
        <v>5 / 2 - 0</v>
      </c>
      <c r="E95" s="20">
        <f>$E94</f>
        <v>5</v>
      </c>
    </row>
    <row r="96" ht="15.75" customHeight="1">
      <c r="A96" s="23" t="s">
        <v>143</v>
      </c>
      <c r="B96" s="24" t="s">
        <v>150</v>
      </c>
      <c r="C96" s="24" t="s">
        <v>151</v>
      </c>
      <c r="D96" s="24" t="s">
        <v>152</v>
      </c>
      <c r="E96" s="24">
        <v>3.0</v>
      </c>
    </row>
    <row r="97" ht="15.75" customHeight="1">
      <c r="A97" s="23"/>
      <c r="B97" s="24" t="s">
        <v>13</v>
      </c>
      <c r="C97" s="24" t="str">
        <f> $E96 &amp; " / " &amp; $E96 &amp; " - " &amp; ROUND($E96*0.6,0)</f>
        <v>3 / 3 - 2</v>
      </c>
      <c r="D97" s="24" t="str">
        <f> $E96 &amp; " / " &amp; ROUND($E96*0.6,0) -1 &amp; " - " &amp; ROUND($E96*0,0)</f>
        <v>3 / 1 - 0</v>
      </c>
      <c r="E97" s="24">
        <f>$E96</f>
        <v>3</v>
      </c>
    </row>
    <row r="98" ht="15.75" customHeight="1">
      <c r="A98" s="23" t="s">
        <v>147</v>
      </c>
      <c r="B98" s="24" t="s">
        <v>153</v>
      </c>
      <c r="C98" s="24" t="s">
        <v>154</v>
      </c>
      <c r="D98" s="24" t="s">
        <v>155</v>
      </c>
      <c r="E98" s="24">
        <v>2.0</v>
      </c>
    </row>
    <row r="99" ht="15.75" customHeight="1">
      <c r="A99" s="23"/>
      <c r="B99" s="24" t="s">
        <v>13</v>
      </c>
      <c r="C99" s="24" t="str">
        <f> $E98 &amp; " / " &amp; $E98 &amp; " - " &amp; ROUND($E98*0.6,0)</f>
        <v>2 / 2 - 1</v>
      </c>
      <c r="D99" s="24" t="str">
        <f> $E98 &amp; " / " &amp; ROUND($E98*0.6,0) -1 &amp; " - " &amp; ROUND($E98*0,0)</f>
        <v>2 / 0 - 0</v>
      </c>
      <c r="E99" s="24">
        <f>$E98</f>
        <v>2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