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ente_LUIS_FERNANDO_ESPINO_BA" sheetId="1" r:id="rId5"/>
    <sheet state="visible" name="Docente_PEDRO_PABLO_HERNANDEZ_R" sheetId="2" r:id="rId6"/>
    <sheet state="visible" name="CRITERIO_UNIFICADO" sheetId="3" r:id="rId7"/>
  </sheets>
  <definedNames/>
  <calcPr/>
</workbook>
</file>

<file path=xl/sharedStrings.xml><?xml version="1.0" encoding="utf-8"?>
<sst xmlns="http://schemas.openxmlformats.org/spreadsheetml/2006/main" count="137" uniqueCount="70">
  <si>
    <t>Criterios y Expectativas para el Primer Semestre 2026</t>
  </si>
  <si>
    <t>Nombre del Curso</t>
  </si>
  <si>
    <t>Redes de Computadoras 1</t>
  </si>
  <si>
    <t>Codigo del Curso</t>
  </si>
  <si>
    <t>Docente</t>
  </si>
  <si>
    <t>1. Criterios Tecnicos y Metodologicos</t>
  </si>
  <si>
    <t>En esta sección se busca recopilar información clave sobre los elementos técnicos y metodológicos que el laboratorio debe incluir.</t>
  </si>
  <si>
    <t>1.1 Tecnologias y Herramientas</t>
  </si>
  <si>
    <t xml:space="preserve">¿Qué tecnologías, lenguajes de programación, plataformas, hardware o software considera indispensable incluir en el laboratorio? </t>
  </si>
  <si>
    <t>Considero que trabajar con Cisco Packet Tracer está bien, pero también se podría optar a trabajar con herramientas como pNETLab e incluir Wireshark para hacer pruebas un poco más realistas de la red, siempre entendiendo el cómo funcionan con el simulador de packetes que ya trae Packet Tracer.</t>
  </si>
  <si>
    <t>Mencione alguna herramienta o simulador que recomendaría incluir. ¿En qué parte del curso se aplicaría y por qué sería útil para el estudiante?</t>
  </si>
  <si>
    <t>A demás de Packet Tracer, PNETLab que es otro tipo de simulador pero un poco más avanzado. Además de utilizar Wireshark para análisis de red en entorno más realista.</t>
  </si>
  <si>
    <t>1.2 Actividades de Autoaprendizaje</t>
  </si>
  <si>
    <t>Indique la distribución que se debe aplicar del punteo en el laboratorio, recurde que una apropiada distribución de la ponderacion los proyectos deben abarcar entre el 60% y 70% de la nota no un 100% ya que el aprendizaje es continuo durante todo el semestre.</t>
  </si>
  <si>
    <t>Tipo de Actividad</t>
  </si>
  <si>
    <t>Ponderacion</t>
  </si>
  <si>
    <t>Cantidad de Activididas</t>
  </si>
  <si>
    <t>Aspectos clave que debe abordar</t>
  </si>
  <si>
    <t>Actividades durante el peridodo de laboratorio</t>
  </si>
  <si>
    <t>Una actividad por semana, 2 cortos y un examen final.</t>
  </si>
  <si>
    <t>Proyectos</t>
  </si>
  <si>
    <t>Prácticas</t>
  </si>
  <si>
    <t>Tareas</t>
  </si>
  <si>
    <t>Total de Punteo Asignado</t>
  </si>
  <si>
    <t>2. Expectativa</t>
  </si>
  <si>
    <t>Comparta su visión sobre el propósito del laboratorio dentro del curso y lo que espera del tutor para asegurar una experiencia formativa efectiva.</t>
  </si>
  <si>
    <t>Desde su perspectiva, ¿de qué manera el laboratorio puede complementar los contenidos que desarrolla en clase y reforzar las competencias clave del curso?</t>
  </si>
  <si>
    <t>¿Qué funciones, actitudes o conocimientos espera que tenga el tutor para contribuir a una experiencia formativa efectiva en el laboratorio?</t>
  </si>
  <si>
    <t>Considero que un aspecto importante no solo para este curso sino para la mayoría es ayudar al tutor a desenvolverse un poco mejor. El tener ese sentimiento de querer enseñar y que los estudiantes aprendan es parte esencial y el no solo cubrir un horario.</t>
  </si>
  <si>
    <t>En su opinion, ¿qué competencia especifica debería desarrollar el estudiante a través del laboratorio para contribuir a su formación profesional?</t>
  </si>
  <si>
    <t>Escribe libremente la competencia o puedes usar la estructura de la parte inferior para guiarte</t>
  </si>
  <si>
    <t>Verbo en Presente</t>
  </si>
  <si>
    <t>Objeto de la acción</t>
  </si>
  <si>
    <t>[Palabras conectoreas] ,  Herramientas, Frameworks o metodología</t>
  </si>
  <si>
    <t>[Palabras conectoreas] Condiciones específicas</t>
  </si>
  <si>
    <t>....</t>
  </si>
  <si>
    <t>Ejemplos. https://drive.google.com/drive/folders/1szLcpzkwozPD6nD4uuaiZQ3mmDRuVKVy?usp=sharing</t>
  </si>
  <si>
    <t>Yo en lo personal utilizo tecnología de virtualización para desarrollar los conceptos en clases con maquinas virtuales como pNETLab.  Esto me permite virtualizar equipos de diferente fabricante como cisco, fortinet, avaya, windows y linux.  En laboratorio utilizan packet tracer que es una simulación.</t>
  </si>
  <si>
    <t>Me gustaría que utilizaran PNETLab que es una maquina virtual que yo uso en clase en donde se puede simular diagramas de red con imagenes de dispositivos realies y sistemas operativos.</t>
  </si>
  <si>
    <t>Yo en clase elaboro un ejemplo completo un mismo diagrama de red que voy modificando durante el semtre en función de los puntos vistos en clase.  De esa forma los alumnos observan la secuencia y aplicación de los conceptos.  Al verse por individual no logran ver la relación en un diseño ya implementado.</t>
  </si>
  <si>
    <t>Hubo una epoca en donde los auxiliares recibian una inducción de pedagogia y eso ayudaba a la forma en que daban la clase.  El saber el tema no siempre es suficiente.  Se debe de tener la habilidad de saber transmitir los conocimientos y forma de explicar.</t>
  </si>
  <si>
    <t>El estudiante diseña, administra, monitorea, supervisa, elabora diseños de red y equipos de telecomunicacones mediante comandos en CLI e interfaces web para garantizar el correcto funcionamiento y performance de una infraestructura de red.</t>
  </si>
  <si>
    <t>diseña, administra, monitorea, supervisa, elabora</t>
  </si>
  <si>
    <t>equipos de telecomunicaciones como router, switch, firewall, access point</t>
  </si>
  <si>
    <t>comandos en CLI e interfaces web</t>
  </si>
  <si>
    <t>para, garantizar el correcto funcionamiento y performance de una infraestructura de red.</t>
  </si>
  <si>
    <t>UNIFICADO</t>
  </si>
  <si>
    <t>En consenso de los catedráticos, se considera indispensable la inclusión de las siguientes herramientas en el laboratorio de Redes de Computadoras 1.</t>
  </si>
  <si>
    <t>Cisco Packet Tracer</t>
  </si>
  <si>
    <t>Como herramienta base de simulación. Ya que permite a los estudiantes comprender de manera sencilla los conceptos fundamentales de configuración de dispositivos de red y funcionamiento de protocolos básicos. (Su bajo consumo de recursos lo hace accesible para todos los estudiantes; también el auto aprendizaje de la herramienta en conjunto con los cursos que ofrece Cisco, lo sigue haciendo una herramienta solida para el laboratorio.)</t>
  </si>
  <si>
    <t>pNETLab</t>
  </si>
  <si>
    <r>
      <rPr>
        <rFont val="Arial"/>
        <color theme="1"/>
        <sz val="10.0"/>
      </rPr>
      <t xml:space="preserve">Esta herramienta permite emular equipos reales de (Cisco, Fortninet, Avaya, Windows, Linux, entre otros) otorgando una experiencia mas cercana a entornos de producción.  </t>
    </r>
    <r>
      <rPr>
        <rFont val="Arial"/>
        <i/>
        <color theme="1"/>
        <sz val="10.0"/>
      </rPr>
      <t>NOTA: Habrá que tomar en cuenta que esta herramienta, requerirá mayor capacidad de hardware (RAM y almacenamiento) en las computadoras de los estudiantes.</t>
    </r>
  </si>
  <si>
    <t>Wireshark</t>
  </si>
  <si>
    <t>Como herramienta complementaria para análisis de tráfico de red. Su aplicación permite obsservar de manera realista los paquetes y protocolos en acción.</t>
  </si>
  <si>
    <t>Se recomendaría en la primera práctica y primer proyecto inicialmente trabajarlo con Cisco Packet Tracer. (Como se encuentra actualmente en el laboratorio) Así sienta las bases para que el estudiante aprenda sobre los dispositivos de red y protocolos más importantes.</t>
  </si>
  <si>
    <t>Primera parte del curso - Cisco Packet Tracer</t>
  </si>
  <si>
    <r>
      <rPr>
        <rFont val="Arial"/>
        <b/>
        <color theme="1"/>
        <sz val="10.0"/>
      </rPr>
      <t>Práctica 1:</t>
    </r>
    <r>
      <rPr>
        <rFont val="Arial"/>
        <color theme="1"/>
        <sz val="10.0"/>
      </rPr>
      <t xml:space="preserve"> Diseño e Implementación de Red LAN                                        </t>
    </r>
  </si>
  <si>
    <r>
      <rPr>
        <rFont val="Arial"/>
        <b/>
        <color theme="1"/>
        <sz val="10.0"/>
      </rPr>
      <t>Proyecto 1:</t>
    </r>
    <r>
      <rPr>
        <rFont val="Arial"/>
        <color theme="1"/>
        <sz val="10.0"/>
      </rPr>
      <t xml:space="preserve"> Red Empresarial Escalable con VLANs, VTP, STP y EtherChannel. </t>
    </r>
  </si>
  <si>
    <t>Se podría añadir una práctica adicional y el proyecto 2 actual migrarlo para que sea implementado en pnetLab. (De gran utilidad que el estudiante experimente en un simulador más robusto, con mas funciones; en este caso pnetLab)</t>
  </si>
  <si>
    <t>Segunda parte del curso - pNETLab</t>
  </si>
  <si>
    <r>
      <rPr>
        <rFont val="Arial"/>
        <b/>
        <color theme="1"/>
        <sz val="10.0"/>
      </rPr>
      <t>Práctica 2:</t>
    </r>
    <r>
      <rPr>
        <rFont val="Arial"/>
        <color theme="1"/>
        <sz val="10.0"/>
      </rPr>
      <t xml:space="preserve"> Se recomendaría para una segunda práctica, una introducción a pnetLab, teniendo como objetivo que el estudiante instale y acceda a pnetLab por medio de una maquina virtual y haga un laboratorio sencillo, como por ejemplo, configurar un router Cisco + un firewall Fortinet + un servidor Linux virtualizado o realizar una configuración de routing estático sencillo entre equipos, así el estudiante puede tener un contacto con pnetLab.  </t>
    </r>
  </si>
  <si>
    <r>
      <rPr>
        <rFont val="Arial"/>
        <b/>
        <color theme="1"/>
        <sz val="10.0"/>
      </rPr>
      <t>Proyecto 2:</t>
    </r>
    <r>
      <rPr>
        <rFont val="Arial"/>
        <color theme="1"/>
        <sz val="10.0"/>
      </rPr>
      <t xml:space="preserve"> Integración de Tecnologías de Capa 2 y Capa 3 en una Topología de Red (Este es el proyecto final, y sería de implementar un proyecto similar al actual del laboratorio, pero ahora en pnetLab). Este podría ser de forma grupal, integrando tecnologías de capa 2 y capa 3, incluyendo configuraciones realistas (ACL, firewalls y servidores.)</t>
    </r>
  </si>
  <si>
    <t>Tarea - Wireshark</t>
  </si>
  <si>
    <t>En una tarea se puede incluir que el estudiante instale Wireshark en su computadora y realice una captura de tráfico local. Realizando una captura de tráfico local (ping, HTTP, o consulta DNS) y deberá identificar cabeceras de protocolos OSI (Ethernet, IP, TCP/UDP, ARP, ICMP) y entregar un informe sencillo.</t>
  </si>
  <si>
    <t>Actividades en clase. (5 pts), Incluir 2 cortos (3 pts cada corto) y examen final (10 pts)</t>
  </si>
  <si>
    <t xml:space="preserve">(1 en Cisco Packet Tracer (22 pts) y otra en pNET Lab (33 pts)) </t>
  </si>
  <si>
    <t>(7 pts cada una) (1 en Cisco Packet Tracer y otra en pNETLab)</t>
  </si>
  <si>
    <t>Añadir una tarea, utilizando Wireshark.</t>
  </si>
  <si>
    <t>El laboratorio debe ser un espacio que complemente la teoría impartida en clase, permitiendo que los estudiantes apliquen de manera práctica los conceptos aprendidos. A través de ejercicios y simulaciones, se busca que el alumno logre visualizar la secuencia y la relación entre los distintos temas del curso, construyendo progresivamente un diseño de red que evolucione a lo largo del semestre. De esta forma, el laboratorio no se limita a tareas aisladas, sino que refuerza competencias clave como el diseño, configuración, análisis y resolución de problemas en entornos de red.</t>
  </si>
  <si>
    <t>El tutor debe poseer no solo conocimientos técnicos en redes y el manejo de las herramientas del curso (Packet Tracer, pNETLab, Wireshark), sino también habilidades pedagógicas que le permitan transmitir los contenidos de forma clara y dinámica. Se espera que tenga la disposición de guiar, motivar y generar confianza en los estudiantes, fomentando un ambiente en el que se privilegie el aprendizaje y no únicamente el cumplimiento de un horario. El tutor debe actuar como facilitador del conocimiento, acompañando a los estudiantes en la resolución de dudas y en la construcción de competencias prácticas para su formación profesional.</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</si>
</sst>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8"/>
      <name val="Arial"/>
      <scheme val="minor"/>
    </font>
    <font>
      <b/>
      <sz val="12.0"/>
      <color theme="1"/>
      <name val="Arial"/>
      <scheme val="minor"/>
    </font>
    <font>
      <color theme="1"/>
      <name val="Arial"/>
    </font>
    <font>
      <b/>
      <sz val="12.0"/>
      <color theme="4"/>
      <name val="Arial"/>
      <scheme val="minor"/>
    </font>
    <font>
      <color rgb="FF666666"/>
      <name val="Arial"/>
      <scheme val="minor"/>
    </font>
    <font>
      <b/>
      <color theme="4"/>
      <name val="Arial"/>
      <scheme val="minor"/>
    </font>
    <font>
      <color theme="1"/>
      <name val="Arial"/>
      <scheme val="minor"/>
    </font>
    <font/>
    <font>
      <sz val="12.0"/>
      <color rgb="FF000000"/>
      <name val="Arial"/>
    </font>
    <font>
      <b/>
      <sz val="11.0"/>
      <color rgb="FFCCCCCC"/>
      <name val="Arial"/>
    </font>
    <font>
      <sz val="11.0"/>
      <color theme="1"/>
      <name val="Arial"/>
    </font>
    <font>
      <b/>
      <sz val="11.0"/>
      <color theme="1"/>
      <name val="Arial"/>
    </font>
    <font>
      <color rgb="FFB7B7B7"/>
      <name val="Arial"/>
      <scheme val="minor"/>
    </font>
    <font>
      <b/>
      <color rgb="FF4285F4"/>
      <name val="Arial"/>
      <scheme val="minor"/>
    </font>
    <font>
      <sz val="11.0"/>
      <color theme="1"/>
      <name val="Arial"/>
      <scheme val="minor"/>
    </font>
    <font>
      <color rgb="FF000000"/>
      <name val="Arial"/>
    </font>
    <font>
      <b/>
      <sz val="10.0"/>
      <color theme="1"/>
      <name val="Arial"/>
      <scheme val="minor"/>
    </font>
    <font>
      <sz val="10.0"/>
      <color theme="1"/>
      <name val="Arial"/>
      <scheme val="minor"/>
    </font>
  </fonts>
  <fills count="11">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D9D9D9"/>
        <bgColor rgb="FFD9D9D9"/>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FFFFFF"/>
        <bgColor rgb="FFFFFFFF"/>
      </patternFill>
    </fill>
  </fills>
  <borders count="39">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top style="double">
        <color rgb="FF434343"/>
      </top>
    </border>
    <border>
      <top style="double">
        <color rgb="FF434343"/>
      </top>
    </border>
    <border>
      <right style="double">
        <color rgb="FF434343"/>
      </right>
      <top style="double">
        <color rgb="FF434343"/>
      </top>
    </border>
    <border>
      <left style="double">
        <color rgb="FF434343"/>
      </left>
      <bottom style="double">
        <color rgb="FF434343"/>
      </bottom>
    </border>
    <border>
      <bottom style="double">
        <color rgb="FF434343"/>
      </bottom>
    </border>
    <border>
      <right style="double">
        <color rgb="FF434343"/>
      </right>
      <bottom style="double">
        <color rgb="FF434343"/>
      </bottom>
    </border>
    <border>
      <left style="double">
        <color rgb="FF434343"/>
      </left>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000000"/>
      </left>
    </border>
    <border>
      <right style="double">
        <color rgb="FF434343"/>
      </right>
    </border>
    <border>
      <left style="double">
        <color rgb="FF000000"/>
      </left>
      <right style="thin">
        <color rgb="FF000000"/>
      </right>
      <top style="thin">
        <color rgb="FF000000"/>
      </top>
      <bottom style="thin">
        <color rgb="FF000000"/>
      </bottom>
    </border>
    <border>
      <right style="double">
        <color rgb="FF000000"/>
      </right>
      <top style="thin">
        <color rgb="FF000000"/>
      </top>
      <bottom style="thin">
        <color rgb="FF000000"/>
      </bottom>
    </border>
    <border>
      <left style="double">
        <color rgb="FF000000"/>
      </left>
      <right style="thin">
        <color rgb="FF000000"/>
      </right>
      <bottom style="thin">
        <color rgb="FF000000"/>
      </bottom>
    </border>
    <border>
      <left style="double">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double">
        <color rgb="FF434343"/>
      </left>
      <top style="double">
        <color rgb="FF434343"/>
      </top>
      <bottom style="thin">
        <color rgb="FF000000"/>
      </bottom>
    </border>
    <border>
      <top style="double">
        <color rgb="FF434343"/>
      </top>
      <bottom style="thin">
        <color rgb="FF000000"/>
      </bottom>
    </border>
    <border>
      <right style="double">
        <color rgb="FF000000"/>
      </right>
      <top style="double">
        <color rgb="FF434343"/>
      </top>
      <bottom style="thin">
        <color rgb="FF000000"/>
      </bottom>
    </border>
    <border>
      <left style="double">
        <color rgb="FF434343"/>
      </left>
    </border>
    <border>
      <right style="double">
        <color rgb="FF000000"/>
      </right>
      <bottom style="thin">
        <color rgb="FF000000"/>
      </bottom>
    </border>
    <border>
      <left style="double">
        <color rgb="FF000000"/>
      </left>
      <top style="thin">
        <color rgb="FF000000"/>
      </top>
    </border>
    <border>
      <left style="double">
        <color rgb="FF000000"/>
      </left>
      <bottom style="thin">
        <color rgb="FF000000"/>
      </bottom>
    </border>
    <border>
      <left style="thin">
        <color rgb="FF000000"/>
      </left>
      <bottom style="double">
        <color rgb="FF434343"/>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vertical="bottom"/>
    </xf>
    <xf borderId="0" fillId="0" fontId="4" numFmtId="0" xfId="0" applyAlignment="1" applyFont="1">
      <alignment readingOrder="0"/>
    </xf>
    <xf borderId="0" fillId="0" fontId="5" numFmtId="0" xfId="0" applyAlignment="1" applyFont="1">
      <alignment readingOrder="0" shrinkToFit="0" wrapText="1"/>
    </xf>
    <xf borderId="0" fillId="0" fontId="6" numFmtId="0" xfId="0" applyAlignment="1" applyFont="1">
      <alignment readingOrder="0"/>
    </xf>
    <xf borderId="1" fillId="2" fontId="7" numFmtId="0" xfId="0" applyAlignment="1" applyBorder="1" applyFill="1" applyFont="1">
      <alignment readingOrder="0" shrinkToFit="0" wrapText="1"/>
    </xf>
    <xf borderId="2" fillId="0" fontId="8" numFmtId="0" xfId="0" applyBorder="1" applyFont="1"/>
    <xf borderId="3" fillId="0" fontId="8" numFmtId="0" xfId="0" applyBorder="1" applyFont="1"/>
    <xf borderId="4" fillId="0" fontId="7" numFmtId="0" xfId="0" applyAlignment="1" applyBorder="1" applyFont="1">
      <alignment readingOrder="0" shrinkToFit="0" wrapText="1"/>
    </xf>
    <xf borderId="5" fillId="0" fontId="8" numFmtId="0" xfId="0" applyBorder="1" applyFont="1"/>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0" fillId="0" fontId="7" numFmtId="0" xfId="0" applyAlignment="1" applyFont="1">
      <alignment shrinkToFit="0" wrapText="1"/>
    </xf>
    <xf borderId="0" fillId="0" fontId="2" numFmtId="0" xfId="0" applyAlignment="1" applyFont="1">
      <alignment readingOrder="0" shrinkToFit="0" wrapText="1"/>
    </xf>
    <xf borderId="10" fillId="3" fontId="2" numFmtId="0" xfId="0" applyAlignment="1" applyBorder="1" applyFill="1" applyFont="1">
      <alignment readingOrder="0" shrinkToFit="0" wrapText="1"/>
    </xf>
    <xf borderId="1" fillId="3" fontId="2" numFmtId="0" xfId="0" applyAlignment="1" applyBorder="1" applyFont="1">
      <alignment readingOrder="0" shrinkToFit="0" wrapText="1"/>
    </xf>
    <xf borderId="10" fillId="0" fontId="9" numFmtId="0" xfId="0" applyAlignment="1" applyBorder="1" applyFont="1">
      <alignment readingOrder="0" shrinkToFit="0" wrapText="1"/>
    </xf>
    <xf borderId="10" fillId="0" fontId="7" numFmtId="0" xfId="0" applyAlignment="1" applyBorder="1" applyFont="1">
      <alignment readingOrder="0"/>
    </xf>
    <xf borderId="1" fillId="0" fontId="7" numFmtId="0" xfId="0" applyAlignment="1" applyBorder="1" applyFont="1">
      <alignment readingOrder="0" shrinkToFit="0" wrapText="1"/>
    </xf>
    <xf borderId="10" fillId="0" fontId="9" numFmtId="0" xfId="0" applyAlignment="1" applyBorder="1" applyFont="1">
      <alignment readingOrder="0"/>
    </xf>
    <xf borderId="1" fillId="0" fontId="7" numFmtId="0" xfId="0" applyAlignment="1" applyBorder="1" applyFont="1">
      <alignment shrinkToFit="0" wrapText="1"/>
    </xf>
    <xf borderId="11" fillId="0" fontId="9" numFmtId="0" xfId="0" applyAlignment="1" applyBorder="1" applyFont="1">
      <alignment readingOrder="0"/>
    </xf>
    <xf borderId="11" fillId="0" fontId="7" numFmtId="0" xfId="0" applyAlignment="1" applyBorder="1" applyFont="1">
      <alignment readingOrder="0"/>
    </xf>
    <xf borderId="12" fillId="4" fontId="2" numFmtId="0" xfId="0" applyAlignment="1" applyBorder="1" applyFill="1" applyFont="1">
      <alignment readingOrder="0" shrinkToFit="0" wrapText="1"/>
    </xf>
    <xf borderId="12" fillId="4" fontId="7" numFmtId="0" xfId="0" applyBorder="1" applyFont="1"/>
    <xf borderId="4" fillId="0" fontId="7" numFmtId="0" xfId="0" applyBorder="1" applyFont="1"/>
    <xf borderId="4" fillId="2" fontId="7" numFmtId="0" xfId="0" applyAlignment="1" applyBorder="1" applyFont="1">
      <alignment readingOrder="0" shrinkToFit="0" wrapText="1"/>
    </xf>
    <xf borderId="13" fillId="0" fontId="10" numFmtId="0" xfId="0" applyAlignment="1" applyBorder="1" applyFont="1">
      <alignment horizontal="center" readingOrder="0" vertical="bottom"/>
    </xf>
    <xf borderId="14" fillId="0" fontId="8" numFmtId="0" xfId="0" applyBorder="1" applyFont="1"/>
    <xf borderId="15" fillId="0" fontId="8" numFmtId="0" xfId="0" applyBorder="1" applyFont="1"/>
    <xf borderId="16" fillId="0" fontId="8" numFmtId="0" xfId="0" applyBorder="1" applyFont="1"/>
    <xf borderId="17" fillId="0" fontId="8" numFmtId="0" xfId="0" applyBorder="1" applyFont="1"/>
    <xf borderId="18" fillId="0" fontId="8" numFmtId="0" xfId="0" applyBorder="1" applyFont="1"/>
    <xf borderId="19" fillId="2" fontId="11" numFmtId="0" xfId="0" applyAlignment="1" applyBorder="1" applyFont="1">
      <alignment horizontal="left" vertical="bottom"/>
    </xf>
    <xf borderId="20" fillId="0" fontId="8" numFmtId="0" xfId="0" applyBorder="1" applyFont="1"/>
    <xf borderId="21" fillId="0" fontId="8" numFmtId="0" xfId="0" applyBorder="1" applyFont="1"/>
    <xf borderId="12" fillId="5" fontId="12" numFmtId="0" xfId="0" applyAlignment="1" applyBorder="1" applyFill="1" applyFont="1">
      <alignment horizontal="center" vertical="bottom"/>
    </xf>
    <xf borderId="19" fillId="5" fontId="12" numFmtId="0" xfId="0" applyAlignment="1" applyBorder="1" applyFont="1">
      <alignment horizontal="center" vertical="bottom"/>
    </xf>
    <xf borderId="12" fillId="5" fontId="12" numFmtId="0" xfId="0" applyAlignment="1" applyBorder="1" applyFont="1">
      <alignment horizontal="center" readingOrder="0" shrinkToFit="0" vertical="bottom" wrapText="1"/>
    </xf>
    <xf borderId="19" fillId="5" fontId="12" numFmtId="0" xfId="0" applyAlignment="1" applyBorder="1" applyFont="1">
      <alignment horizontal="center" shrinkToFit="0" vertical="bottom" wrapText="1"/>
    </xf>
    <xf borderId="12" fillId="6" fontId="3" numFmtId="0" xfId="0" applyAlignment="1" applyBorder="1" applyFill="1" applyFont="1">
      <alignment readingOrder="0" shrinkToFit="0" vertical="bottom" wrapText="1"/>
    </xf>
    <xf borderId="19" fillId="7" fontId="3" numFmtId="0" xfId="0" applyAlignment="1" applyBorder="1" applyFill="1" applyFont="1">
      <alignment shrinkToFit="0" vertical="bottom" wrapText="1"/>
    </xf>
    <xf borderId="12" fillId="8" fontId="3" numFmtId="0" xfId="0" applyAlignment="1" applyBorder="1" applyFill="1" applyFont="1">
      <alignment shrinkToFit="0" vertical="bottom" wrapText="1"/>
    </xf>
    <xf borderId="19" fillId="9" fontId="3" numFmtId="0" xfId="0" applyAlignment="1" applyBorder="1" applyFill="1" applyFont="1">
      <alignment shrinkToFit="0" vertical="bottom" wrapText="1"/>
    </xf>
    <xf borderId="0" fillId="0" fontId="13" numFmtId="0" xfId="0" applyAlignment="1" applyFont="1">
      <alignment readingOrder="0"/>
    </xf>
    <xf borderId="0" fillId="0" fontId="14" numFmtId="0" xfId="0" applyAlignment="1" applyFont="1">
      <alignment readingOrder="0"/>
    </xf>
    <xf borderId="4" fillId="0" fontId="7" numFmtId="0" xfId="0" applyAlignment="1" applyBorder="1" applyFont="1">
      <alignment horizontal="left" readingOrder="0" shrinkToFit="0" vertical="center" wrapText="1"/>
    </xf>
    <xf borderId="10" fillId="0" fontId="7" numFmtId="0" xfId="0" applyBorder="1" applyFont="1"/>
    <xf borderId="4" fillId="0" fontId="7" numFmtId="0" xfId="0" applyAlignment="1" applyBorder="1" applyFont="1">
      <alignment readingOrder="0" shrinkToFit="0" vertical="center" wrapText="1"/>
    </xf>
    <xf borderId="19" fillId="2" fontId="11" numFmtId="0" xfId="0" applyAlignment="1" applyBorder="1" applyFont="1">
      <alignment horizontal="left" shrinkToFit="0" vertical="bottom" wrapText="1"/>
    </xf>
    <xf borderId="19" fillId="7" fontId="3" numFmtId="0" xfId="0" applyAlignment="1" applyBorder="1" applyFont="1">
      <alignment readingOrder="0" shrinkToFit="0" vertical="bottom" wrapText="1"/>
    </xf>
    <xf borderId="12" fillId="8" fontId="3" numFmtId="0" xfId="0" applyAlignment="1" applyBorder="1" applyFont="1">
      <alignment readingOrder="0" shrinkToFit="0" vertical="bottom" wrapText="1"/>
    </xf>
    <xf borderId="19" fillId="9" fontId="3" numFmtId="0" xfId="0" applyAlignment="1" applyBorder="1" applyFont="1">
      <alignment readingOrder="0" shrinkToFit="0" vertical="bottom" wrapText="1"/>
    </xf>
    <xf borderId="1" fillId="2" fontId="15" numFmtId="0" xfId="0" applyAlignment="1" applyBorder="1" applyFont="1">
      <alignment readingOrder="0" shrinkToFit="0" wrapText="1"/>
    </xf>
    <xf borderId="22" fillId="10" fontId="16" numFmtId="0" xfId="0" applyAlignment="1" applyBorder="1" applyFill="1" applyFont="1">
      <alignment horizontal="left" readingOrder="0"/>
    </xf>
    <xf borderId="23" fillId="0" fontId="8" numFmtId="0" xfId="0" applyBorder="1" applyFont="1"/>
    <xf borderId="0" fillId="0" fontId="7" numFmtId="0" xfId="0" applyAlignment="1" applyFont="1">
      <alignment readingOrder="0"/>
    </xf>
    <xf borderId="24" fillId="0" fontId="17" numFmtId="0" xfId="0" applyAlignment="1" applyBorder="1" applyFont="1">
      <alignment horizontal="left" readingOrder="0" shrinkToFit="0" vertical="center" wrapText="1"/>
    </xf>
    <xf borderId="19" fillId="0" fontId="18" numFmtId="0" xfId="0" applyAlignment="1" applyBorder="1" applyFont="1">
      <alignment horizontal="left" readingOrder="0" shrinkToFit="0" vertical="center" wrapText="1"/>
    </xf>
    <xf borderId="25" fillId="0" fontId="8" numFmtId="0" xfId="0" applyBorder="1" applyFont="1"/>
    <xf borderId="26" fillId="0" fontId="17" numFmtId="0" xfId="0" applyAlignment="1" applyBorder="1" applyFont="1">
      <alignment horizontal="left" readingOrder="0" shrinkToFit="0" vertical="center" wrapText="1"/>
    </xf>
    <xf borderId="27" fillId="0" fontId="17" numFmtId="0" xfId="0" applyAlignment="1" applyBorder="1" applyFont="1">
      <alignment horizontal="left" readingOrder="0" shrinkToFit="0" vertical="center" wrapText="1"/>
    </xf>
    <xf borderId="28" fillId="0" fontId="18" numFmtId="0" xfId="0" applyAlignment="1" applyBorder="1" applyFont="1">
      <alignment horizontal="left" readingOrder="0" shrinkToFit="0" vertical="center" wrapText="1"/>
    </xf>
    <xf borderId="29" fillId="0" fontId="8" numFmtId="0" xfId="0" applyBorder="1" applyFont="1"/>
    <xf borderId="30" fillId="0" fontId="8" numFmtId="0" xfId="0" applyBorder="1" applyFont="1"/>
    <xf borderId="31" fillId="0" fontId="18" numFmtId="0" xfId="0" applyAlignment="1" applyBorder="1" applyFont="1">
      <alignment readingOrder="0" shrinkToFit="0" wrapText="1"/>
    </xf>
    <xf borderId="32" fillId="0" fontId="8" numFmtId="0" xfId="0" applyBorder="1" applyFont="1"/>
    <xf borderId="33" fillId="0" fontId="8" numFmtId="0" xfId="0" applyBorder="1" applyFont="1"/>
    <xf borderId="34" fillId="0" fontId="17" numFmtId="0" xfId="0" applyAlignment="1" applyBorder="1" applyFont="1">
      <alignment readingOrder="0" shrinkToFit="0" wrapText="1"/>
    </xf>
    <xf borderId="16" fillId="0" fontId="18" numFmtId="0" xfId="0" applyAlignment="1" applyBorder="1" applyFont="1">
      <alignment readingOrder="0" shrinkToFit="0" wrapText="1"/>
    </xf>
    <xf borderId="35" fillId="0" fontId="8" numFmtId="0" xfId="0" applyBorder="1" applyFont="1"/>
    <xf borderId="34" fillId="0" fontId="8" numFmtId="0" xfId="0" applyBorder="1" applyFont="1"/>
    <xf borderId="19" fillId="0" fontId="18" numFmtId="0" xfId="0" applyAlignment="1" applyBorder="1" applyFont="1">
      <alignment readingOrder="0" shrinkToFit="0" wrapText="1"/>
    </xf>
    <xf borderId="36" fillId="0" fontId="17" numFmtId="0" xfId="0" applyAlignment="1" applyBorder="1" applyFont="1">
      <alignment readingOrder="0" shrinkToFit="0" wrapText="1"/>
    </xf>
    <xf borderId="37" fillId="0" fontId="8" numFmtId="0" xfId="0" applyBorder="1" applyFont="1"/>
    <xf borderId="7" fillId="0" fontId="17" numFmtId="0" xfId="0" applyAlignment="1" applyBorder="1" applyFont="1">
      <alignment readingOrder="0" shrinkToFit="0" wrapText="1"/>
    </xf>
    <xf borderId="38" fillId="0" fontId="18" numFmtId="0" xfId="0" applyAlignment="1" applyBorder="1" applyFont="1">
      <alignment readingOrder="0" shrinkToFit="0" wrapText="1"/>
    </xf>
    <xf borderId="4" fillId="0" fontId="18"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1.5"/>
    <col customWidth="1" min="3" max="3" width="13.38"/>
  </cols>
  <sheetData>
    <row r="1">
      <c r="B1" s="1" t="s">
        <v>0</v>
      </c>
    </row>
    <row r="2">
      <c r="B2" s="2"/>
    </row>
    <row r="3">
      <c r="B3" s="2" t="s">
        <v>1</v>
      </c>
      <c r="C3" s="3" t="s">
        <v>2</v>
      </c>
    </row>
    <row r="4">
      <c r="B4" s="2" t="s">
        <v>3</v>
      </c>
      <c r="C4" s="4">
        <f>IFERROR(__xludf.DUMMYFUNCTION("INDEX(
  QUERY(
    IMPORTRANGE(
      ""https://docs.google.com/spreadsheets/d/1rNNjJXEbbFk-tp1oCnmvsGUasYrK05YsXLDjblwpnKw/edit?gid=0#gid=0"",
      ""BD!A:J""
    ),
    ""select Col2 where Col3 = '"" &amp; C3 &amp; ""' limit 1"",
    1
  ),
  2
)
"),970.0)</f>
        <v>970</v>
      </c>
    </row>
    <row r="5">
      <c r="B5" s="2" t="s">
        <v>4</v>
      </c>
      <c r="C5" s="5" t="str">
        <f>IFERROR(__xludf.DUMMYFUNCTION("INDEX(
  QUERY(
    IMPORTRANGE(
      ""https://docs.google.com/spreadsheets/d/1rNNjJXEbbFk-tp1oCnmvsGUasYrK05YsXLDjblwpnKw/edit?gid=0#gid=0"",
      ""BD!A:J""
    ),
    ""select Col5 where Col8 = 'Docente' and Col3 = '"" &amp; C3 &amp; ""'"",
    0
  ),
  1
)"&amp;"
"),"LUIS FERNANDO ESPINO BARRIOS        ")</f>
        <v>LUIS FERNANDO ESPINO BARRIOS        </v>
      </c>
    </row>
    <row r="7">
      <c r="B7" s="6" t="s">
        <v>5</v>
      </c>
    </row>
    <row r="8">
      <c r="B8" s="7" t="s">
        <v>6</v>
      </c>
    </row>
    <row r="10">
      <c r="B10" s="8" t="s">
        <v>7</v>
      </c>
    </row>
    <row r="12">
      <c r="B12" s="9" t="s">
        <v>8</v>
      </c>
      <c r="C12" s="10"/>
      <c r="D12" s="10"/>
      <c r="E12" s="10"/>
      <c r="F12" s="10"/>
      <c r="G12" s="11"/>
    </row>
    <row r="13">
      <c r="B13" s="12" t="s">
        <v>9</v>
      </c>
      <c r="C13" s="13"/>
      <c r="D13" s="13"/>
      <c r="E13" s="13"/>
      <c r="F13" s="13"/>
      <c r="G13" s="14"/>
    </row>
    <row r="14" ht="29.25" customHeight="1">
      <c r="B14" s="15"/>
      <c r="C14" s="16"/>
      <c r="D14" s="16"/>
      <c r="E14" s="16"/>
      <c r="F14" s="16"/>
      <c r="G14" s="17"/>
    </row>
    <row r="16" ht="33.0" customHeight="1">
      <c r="B16" s="9" t="s">
        <v>10</v>
      </c>
      <c r="C16" s="10"/>
      <c r="D16" s="10"/>
      <c r="E16" s="10"/>
      <c r="F16" s="10"/>
      <c r="G16" s="11"/>
    </row>
    <row r="17">
      <c r="B17" s="12" t="s">
        <v>11</v>
      </c>
      <c r="C17" s="13"/>
      <c r="D17" s="13"/>
      <c r="E17" s="13"/>
      <c r="F17" s="13"/>
      <c r="G17" s="14"/>
    </row>
    <row r="18">
      <c r="B18" s="15"/>
      <c r="C18" s="16"/>
      <c r="D18" s="16"/>
      <c r="E18" s="16"/>
      <c r="F18" s="16"/>
      <c r="G18" s="17"/>
    </row>
    <row r="20">
      <c r="B20" s="8" t="s">
        <v>12</v>
      </c>
    </row>
    <row r="21">
      <c r="B21" s="7" t="s">
        <v>13</v>
      </c>
    </row>
    <row r="22">
      <c r="A22" s="18"/>
      <c r="B22" s="19"/>
      <c r="C22" s="19"/>
      <c r="D22" s="19"/>
      <c r="E22" s="19"/>
      <c r="F22" s="19"/>
      <c r="G22" s="19"/>
      <c r="H22" s="18"/>
      <c r="I22" s="18"/>
      <c r="J22" s="18"/>
      <c r="K22" s="18"/>
      <c r="L22" s="18"/>
      <c r="M22" s="18"/>
      <c r="N22" s="18"/>
      <c r="O22" s="18"/>
      <c r="P22" s="18"/>
      <c r="Q22" s="18"/>
      <c r="R22" s="18"/>
      <c r="S22" s="18"/>
      <c r="T22" s="18"/>
      <c r="U22" s="18"/>
      <c r="V22" s="18"/>
      <c r="W22" s="18"/>
    </row>
    <row r="23">
      <c r="A23" s="18"/>
      <c r="B23" s="20" t="s">
        <v>14</v>
      </c>
      <c r="C23" s="20" t="s">
        <v>15</v>
      </c>
      <c r="D23" s="20" t="s">
        <v>16</v>
      </c>
      <c r="E23" s="21" t="s">
        <v>17</v>
      </c>
      <c r="F23" s="10"/>
      <c r="G23" s="11"/>
      <c r="H23" s="18"/>
      <c r="I23" s="18"/>
      <c r="J23" s="18"/>
      <c r="K23" s="18"/>
      <c r="L23" s="18"/>
      <c r="M23" s="18"/>
      <c r="N23" s="18"/>
      <c r="O23" s="18"/>
      <c r="P23" s="18"/>
      <c r="Q23" s="18"/>
      <c r="R23" s="18"/>
      <c r="S23" s="18"/>
      <c r="T23" s="18"/>
      <c r="U23" s="18"/>
      <c r="V23" s="18"/>
      <c r="W23" s="18"/>
    </row>
    <row r="24">
      <c r="B24" s="22" t="s">
        <v>18</v>
      </c>
      <c r="C24" s="23">
        <v>21.0</v>
      </c>
      <c r="D24" s="23">
        <v>14.0</v>
      </c>
      <c r="E24" s="24" t="s">
        <v>19</v>
      </c>
      <c r="F24" s="10"/>
      <c r="G24" s="11"/>
    </row>
    <row r="25" ht="45.0" customHeight="1">
      <c r="B25" s="25" t="s">
        <v>20</v>
      </c>
      <c r="C25" s="23">
        <v>58.0</v>
      </c>
      <c r="D25" s="23">
        <v>2.0</v>
      </c>
      <c r="E25" s="26"/>
      <c r="F25" s="10"/>
      <c r="G25" s="11"/>
    </row>
    <row r="26" ht="36.75" customHeight="1">
      <c r="B26" s="25" t="s">
        <v>21</v>
      </c>
      <c r="C26" s="23">
        <v>10.0</v>
      </c>
      <c r="D26" s="23">
        <v>1.0</v>
      </c>
      <c r="E26" s="26"/>
      <c r="F26" s="10"/>
      <c r="G26" s="11"/>
    </row>
    <row r="27" ht="36.0" customHeight="1">
      <c r="B27" s="27" t="s">
        <v>22</v>
      </c>
      <c r="C27" s="28">
        <v>11.0</v>
      </c>
      <c r="D27" s="23">
        <v>5.0</v>
      </c>
      <c r="E27" s="26"/>
      <c r="F27" s="10"/>
      <c r="G27" s="11"/>
    </row>
    <row r="28">
      <c r="B28" s="29" t="s">
        <v>23</v>
      </c>
      <c r="C28" s="30">
        <f>SUM(C24:C27)</f>
        <v>100</v>
      </c>
    </row>
    <row r="29">
      <c r="B29" s="2"/>
    </row>
    <row r="30">
      <c r="B30" s="6" t="s">
        <v>24</v>
      </c>
    </row>
    <row r="31">
      <c r="B31" s="7" t="s">
        <v>25</v>
      </c>
    </row>
    <row r="33">
      <c r="B33" s="9" t="s">
        <v>26</v>
      </c>
      <c r="C33" s="10"/>
      <c r="D33" s="10"/>
      <c r="E33" s="10"/>
      <c r="F33" s="10"/>
      <c r="G33" s="11"/>
    </row>
    <row r="34">
      <c r="B34" s="31"/>
      <c r="C34" s="13"/>
      <c r="D34" s="13"/>
      <c r="E34" s="13"/>
      <c r="F34" s="13"/>
      <c r="G34" s="14"/>
    </row>
    <row r="35">
      <c r="B35" s="15"/>
      <c r="C35" s="16"/>
      <c r="D35" s="16"/>
      <c r="E35" s="16"/>
      <c r="F35" s="16"/>
      <c r="G35" s="17"/>
    </row>
    <row r="37">
      <c r="B37" s="9" t="s">
        <v>27</v>
      </c>
      <c r="C37" s="10"/>
      <c r="D37" s="10"/>
      <c r="E37" s="10"/>
      <c r="F37" s="10"/>
      <c r="G37" s="11"/>
    </row>
    <row r="38" ht="41.25" customHeight="1">
      <c r="B38" s="12" t="s">
        <v>28</v>
      </c>
      <c r="C38" s="13"/>
      <c r="D38" s="13"/>
      <c r="E38" s="13"/>
      <c r="F38" s="13"/>
      <c r="G38" s="14"/>
    </row>
    <row r="39">
      <c r="B39" s="15"/>
      <c r="C39" s="16"/>
      <c r="D39" s="16"/>
      <c r="E39" s="16"/>
      <c r="F39" s="16"/>
      <c r="G39" s="17"/>
    </row>
    <row r="41">
      <c r="B41" s="32" t="s">
        <v>29</v>
      </c>
      <c r="C41" s="13"/>
      <c r="D41" s="13"/>
      <c r="E41" s="13"/>
      <c r="F41" s="13"/>
      <c r="G41" s="14"/>
    </row>
    <row r="42">
      <c r="B42" s="33" t="s">
        <v>30</v>
      </c>
      <c r="C42" s="34"/>
      <c r="D42" s="34"/>
      <c r="E42" s="34"/>
      <c r="F42" s="34"/>
      <c r="G42" s="35"/>
    </row>
    <row r="43">
      <c r="B43" s="36"/>
      <c r="C43" s="37"/>
      <c r="D43" s="37"/>
      <c r="E43" s="37"/>
      <c r="F43" s="37"/>
      <c r="G43" s="38"/>
    </row>
    <row r="44">
      <c r="B44" s="39" t="str">
        <f>CONCATENATE("El Estudiante",B46,C46,E46,F46)</f>
        <v>El Estudiante....</v>
      </c>
      <c r="C44" s="40"/>
      <c r="D44" s="40"/>
      <c r="E44" s="40"/>
      <c r="F44" s="40"/>
      <c r="G44" s="41"/>
    </row>
    <row r="45">
      <c r="B45" s="42" t="s">
        <v>31</v>
      </c>
      <c r="C45" s="43" t="s">
        <v>32</v>
      </c>
      <c r="D45" s="41"/>
      <c r="E45" s="44" t="s">
        <v>33</v>
      </c>
      <c r="F45" s="45" t="s">
        <v>34</v>
      </c>
      <c r="G45" s="41"/>
    </row>
    <row r="46" ht="54.75" customHeight="1">
      <c r="A46" s="18"/>
      <c r="B46" s="46" t="s">
        <v>35</v>
      </c>
      <c r="C46" s="47"/>
      <c r="D46" s="41"/>
      <c r="E46" s="48"/>
      <c r="F46" s="49"/>
      <c r="G46" s="41"/>
      <c r="H46" s="18"/>
      <c r="I46" s="18"/>
      <c r="J46" s="18"/>
      <c r="K46" s="18"/>
      <c r="L46" s="18"/>
      <c r="M46" s="18"/>
      <c r="N46" s="18"/>
      <c r="O46" s="18"/>
      <c r="P46" s="18"/>
      <c r="Q46" s="18"/>
      <c r="R46" s="18"/>
      <c r="S46" s="18"/>
      <c r="T46" s="18"/>
      <c r="U46" s="18"/>
      <c r="V46" s="18"/>
      <c r="W46" s="18"/>
    </row>
    <row r="47">
      <c r="B47" s="50" t="s">
        <v>36</v>
      </c>
    </row>
  </sheetData>
  <mergeCells count="27">
    <mergeCell ref="B1:G1"/>
    <mergeCell ref="C3:G3"/>
    <mergeCell ref="C4:G4"/>
    <mergeCell ref="C5:G5"/>
    <mergeCell ref="B8:G8"/>
    <mergeCell ref="B12:G12"/>
    <mergeCell ref="B13:G14"/>
    <mergeCell ref="B16:G16"/>
    <mergeCell ref="B17:G18"/>
    <mergeCell ref="B21:G21"/>
    <mergeCell ref="E23:G23"/>
    <mergeCell ref="E24:G24"/>
    <mergeCell ref="E25:G25"/>
    <mergeCell ref="E26:G26"/>
    <mergeCell ref="B42:G43"/>
    <mergeCell ref="B44:G44"/>
    <mergeCell ref="C45:D45"/>
    <mergeCell ref="F45:G45"/>
    <mergeCell ref="C46:D46"/>
    <mergeCell ref="F46:G46"/>
    <mergeCell ref="E27:G27"/>
    <mergeCell ref="B31:G31"/>
    <mergeCell ref="B33:G33"/>
    <mergeCell ref="B34:G35"/>
    <mergeCell ref="B37:G37"/>
    <mergeCell ref="B38:G39"/>
    <mergeCell ref="B41:G41"/>
  </mergeCell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1.5"/>
    <col customWidth="1" min="3" max="3" width="13.38"/>
  </cols>
  <sheetData>
    <row r="1">
      <c r="B1" s="1" t="s">
        <v>0</v>
      </c>
    </row>
    <row r="2">
      <c r="B2" s="2"/>
    </row>
    <row r="3">
      <c r="B3" s="2" t="s">
        <v>1</v>
      </c>
      <c r="C3" s="3" t="s">
        <v>2</v>
      </c>
    </row>
    <row r="4">
      <c r="B4" s="2" t="s">
        <v>3</v>
      </c>
      <c r="C4" s="4">
        <f>IFERROR(__xludf.DUMMYFUNCTION("INDEX(
  QUERY(
    IMPORTRANGE(
      ""https://docs.google.com/spreadsheets/d/1rNNjJXEbbFk-tp1oCnmvsGUasYrK05YsXLDjblwpnKw/edit?gid=0#gid=0"",
      ""BD!A:J""
    ),
    ""select Col2 where Col3 = '"" &amp; C3 &amp; ""' limit 1"",
    1
  ),
  2
)
"),970.0)</f>
        <v>970</v>
      </c>
    </row>
    <row r="5">
      <c r="B5" s="2" t="s">
        <v>4</v>
      </c>
      <c r="C5" s="5" t="str">
        <f>IFERROR(__xludf.DUMMYFUNCTION("INDEX(
  QUERY(
    IMPORTRANGE(
      ""https://docs.google.com/spreadsheets/d/1rNNjJXEbbFk-tp1oCnmvsGUasYrK05YsXLDjblwpnKw/edit?gid=0#gid=0"",
      ""BD!A:J""
    ),
    ""select Col5 where Col8 = 'Docente' and Col3 = '"" &amp; C3 &amp; ""'"",
    0
  ),
  2
)"&amp;"
"),"PEDRO PABLO HERNANDEZ RAMIREZ")</f>
        <v>PEDRO PABLO HERNANDEZ RAMIREZ</v>
      </c>
    </row>
    <row r="7">
      <c r="B7" s="6" t="s">
        <v>5</v>
      </c>
    </row>
    <row r="8">
      <c r="B8" s="7" t="s">
        <v>6</v>
      </c>
    </row>
    <row r="10">
      <c r="B10" s="51" t="s">
        <v>7</v>
      </c>
    </row>
    <row r="12">
      <c r="B12" s="9" t="s">
        <v>8</v>
      </c>
      <c r="C12" s="10"/>
      <c r="D12" s="10"/>
      <c r="E12" s="10"/>
      <c r="F12" s="10"/>
      <c r="G12" s="11"/>
    </row>
    <row r="13">
      <c r="B13" s="52" t="s">
        <v>37</v>
      </c>
      <c r="C13" s="13"/>
      <c r="D13" s="13"/>
      <c r="E13" s="13"/>
      <c r="F13" s="13"/>
      <c r="G13" s="14"/>
    </row>
    <row r="14" ht="29.25" customHeight="1">
      <c r="B14" s="15"/>
      <c r="C14" s="16"/>
      <c r="D14" s="16"/>
      <c r="E14" s="16"/>
      <c r="F14" s="16"/>
      <c r="G14" s="17"/>
    </row>
    <row r="16" ht="33.0" customHeight="1">
      <c r="B16" s="9" t="s">
        <v>10</v>
      </c>
      <c r="C16" s="10"/>
      <c r="D16" s="10"/>
      <c r="E16" s="10"/>
      <c r="F16" s="10"/>
      <c r="G16" s="11"/>
    </row>
    <row r="17">
      <c r="B17" s="12" t="s">
        <v>38</v>
      </c>
      <c r="C17" s="13"/>
      <c r="D17" s="13"/>
      <c r="E17" s="13"/>
      <c r="F17" s="13"/>
      <c r="G17" s="14"/>
    </row>
    <row r="18">
      <c r="B18" s="15"/>
      <c r="C18" s="16"/>
      <c r="D18" s="16"/>
      <c r="E18" s="16"/>
      <c r="F18" s="16"/>
      <c r="G18" s="17"/>
    </row>
    <row r="20">
      <c r="B20" s="8" t="s">
        <v>12</v>
      </c>
    </row>
    <row r="21">
      <c r="B21" s="7" t="s">
        <v>13</v>
      </c>
    </row>
    <row r="22">
      <c r="A22" s="18"/>
      <c r="B22" s="19"/>
      <c r="C22" s="19"/>
      <c r="D22" s="19"/>
      <c r="E22" s="19"/>
      <c r="F22" s="19"/>
      <c r="G22" s="19"/>
      <c r="H22" s="18"/>
      <c r="I22" s="18"/>
      <c r="J22" s="18"/>
      <c r="K22" s="18"/>
      <c r="L22" s="18"/>
      <c r="M22" s="18"/>
      <c r="N22" s="18"/>
      <c r="O22" s="18"/>
      <c r="P22" s="18"/>
      <c r="Q22" s="18"/>
      <c r="R22" s="18"/>
      <c r="S22" s="18"/>
      <c r="T22" s="18"/>
      <c r="U22" s="18"/>
      <c r="V22" s="18"/>
      <c r="W22" s="18"/>
    </row>
    <row r="23">
      <c r="A23" s="18"/>
      <c r="B23" s="20" t="s">
        <v>14</v>
      </c>
      <c r="C23" s="20" t="s">
        <v>15</v>
      </c>
      <c r="D23" s="20" t="s">
        <v>16</v>
      </c>
      <c r="E23" s="21" t="s">
        <v>17</v>
      </c>
      <c r="F23" s="10"/>
      <c r="G23" s="11"/>
      <c r="H23" s="18"/>
      <c r="I23" s="18"/>
      <c r="J23" s="18"/>
      <c r="K23" s="18"/>
      <c r="L23" s="18"/>
      <c r="M23" s="18"/>
      <c r="N23" s="18"/>
      <c r="O23" s="18"/>
      <c r="P23" s="18"/>
      <c r="Q23" s="18"/>
      <c r="R23" s="18"/>
      <c r="S23" s="18"/>
      <c r="T23" s="18"/>
      <c r="U23" s="18"/>
      <c r="V23" s="18"/>
      <c r="W23" s="18"/>
    </row>
    <row r="24">
      <c r="B24" s="22" t="s">
        <v>18</v>
      </c>
      <c r="C24" s="23">
        <v>25.0</v>
      </c>
      <c r="D24" s="53"/>
      <c r="E24" s="24"/>
      <c r="F24" s="10"/>
      <c r="G24" s="11"/>
    </row>
    <row r="25" ht="45.0" customHeight="1">
      <c r="B25" s="25" t="s">
        <v>20</v>
      </c>
      <c r="C25" s="23">
        <v>40.0</v>
      </c>
      <c r="D25" s="53"/>
      <c r="E25" s="26"/>
      <c r="F25" s="10"/>
      <c r="G25" s="11"/>
    </row>
    <row r="26" ht="36.75" customHeight="1">
      <c r="B26" s="25" t="s">
        <v>21</v>
      </c>
      <c r="C26" s="23">
        <v>25.0</v>
      </c>
      <c r="D26" s="53"/>
      <c r="E26" s="26"/>
      <c r="F26" s="10"/>
      <c r="G26" s="11"/>
    </row>
    <row r="27" ht="36.0" customHeight="1">
      <c r="B27" s="27" t="s">
        <v>22</v>
      </c>
      <c r="C27" s="28">
        <v>10.0</v>
      </c>
      <c r="D27" s="53"/>
      <c r="E27" s="26"/>
      <c r="F27" s="10"/>
      <c r="G27" s="11"/>
    </row>
    <row r="28">
      <c r="B28" s="29" t="s">
        <v>23</v>
      </c>
      <c r="C28" s="30">
        <f>SUM(C24:C27)</f>
        <v>100</v>
      </c>
    </row>
    <row r="29">
      <c r="B29" s="2"/>
    </row>
    <row r="30">
      <c r="B30" s="6" t="s">
        <v>24</v>
      </c>
    </row>
    <row r="31">
      <c r="B31" s="7" t="s">
        <v>25</v>
      </c>
    </row>
    <row r="33">
      <c r="B33" s="9" t="s">
        <v>26</v>
      </c>
      <c r="C33" s="10"/>
      <c r="D33" s="10"/>
      <c r="E33" s="10"/>
      <c r="F33" s="10"/>
      <c r="G33" s="11"/>
    </row>
    <row r="34">
      <c r="B34" s="54" t="s">
        <v>39</v>
      </c>
      <c r="C34" s="13"/>
      <c r="D34" s="13"/>
      <c r="E34" s="13"/>
      <c r="F34" s="13"/>
      <c r="G34" s="14"/>
    </row>
    <row r="35" ht="39.0" customHeight="1">
      <c r="B35" s="15"/>
      <c r="C35" s="16"/>
      <c r="D35" s="16"/>
      <c r="E35" s="16"/>
      <c r="F35" s="16"/>
      <c r="G35" s="17"/>
    </row>
    <row r="37">
      <c r="B37" s="9" t="s">
        <v>27</v>
      </c>
      <c r="C37" s="10"/>
      <c r="D37" s="10"/>
      <c r="E37" s="10"/>
      <c r="F37" s="10"/>
      <c r="G37" s="11"/>
    </row>
    <row r="38">
      <c r="B38" s="54" t="s">
        <v>40</v>
      </c>
      <c r="C38" s="13"/>
      <c r="D38" s="13"/>
      <c r="E38" s="13"/>
      <c r="F38" s="13"/>
      <c r="G38" s="14"/>
    </row>
    <row r="39" ht="46.5" customHeight="1">
      <c r="B39" s="15"/>
      <c r="C39" s="16"/>
      <c r="D39" s="16"/>
      <c r="E39" s="16"/>
      <c r="F39" s="16"/>
      <c r="G39" s="17"/>
    </row>
    <row r="41">
      <c r="B41" s="32" t="s">
        <v>29</v>
      </c>
      <c r="C41" s="13"/>
      <c r="D41" s="13"/>
      <c r="E41" s="13"/>
      <c r="F41" s="13"/>
      <c r="G41" s="14"/>
    </row>
    <row r="42">
      <c r="B42" s="33" t="s">
        <v>41</v>
      </c>
      <c r="C42" s="34"/>
      <c r="D42" s="34"/>
      <c r="E42" s="34"/>
      <c r="F42" s="34"/>
      <c r="G42" s="35"/>
    </row>
    <row r="43">
      <c r="B43" s="36"/>
      <c r="C43" s="37"/>
      <c r="D43" s="37"/>
      <c r="E43" s="37"/>
      <c r="F43" s="37"/>
      <c r="G43" s="38"/>
    </row>
    <row r="44">
      <c r="B44" s="55" t="str">
        <f>CONCATENATE("El Estudiante ",B46,C46,E46,F46)</f>
        <v>El Estudiante diseña, administra, monitorea, supervisa, elaboraequipos de telecomunicaciones como router, switch, firewall, access pointcomandos en CLI e interfaces webpara, garantizar el correcto funcionamiento y performance de una infraestructura de red.</v>
      </c>
      <c r="C44" s="40"/>
      <c r="D44" s="40"/>
      <c r="E44" s="40"/>
      <c r="F44" s="40"/>
      <c r="G44" s="41"/>
    </row>
    <row r="45">
      <c r="B45" s="42" t="s">
        <v>31</v>
      </c>
      <c r="C45" s="43" t="s">
        <v>32</v>
      </c>
      <c r="D45" s="41"/>
      <c r="E45" s="44" t="s">
        <v>33</v>
      </c>
      <c r="F45" s="45" t="s">
        <v>34</v>
      </c>
      <c r="G45" s="41"/>
    </row>
    <row r="46" ht="54.75" customHeight="1">
      <c r="A46" s="18"/>
      <c r="B46" s="46" t="s">
        <v>42</v>
      </c>
      <c r="C46" s="56" t="s">
        <v>43</v>
      </c>
      <c r="D46" s="41"/>
      <c r="E46" s="57" t="s">
        <v>44</v>
      </c>
      <c r="F46" s="58" t="s">
        <v>45</v>
      </c>
      <c r="G46" s="41"/>
      <c r="H46" s="18"/>
      <c r="I46" s="18"/>
      <c r="J46" s="18"/>
      <c r="K46" s="18"/>
      <c r="L46" s="18"/>
      <c r="M46" s="18"/>
      <c r="N46" s="18"/>
      <c r="O46" s="18"/>
      <c r="P46" s="18"/>
      <c r="Q46" s="18"/>
      <c r="R46" s="18"/>
      <c r="S46" s="18"/>
      <c r="T46" s="18"/>
      <c r="U46" s="18"/>
      <c r="V46" s="18"/>
      <c r="W46" s="18"/>
    </row>
    <row r="47">
      <c r="B47" s="50" t="s">
        <v>36</v>
      </c>
    </row>
  </sheetData>
  <mergeCells count="27">
    <mergeCell ref="B1:G1"/>
    <mergeCell ref="C3:G3"/>
    <mergeCell ref="C4:G4"/>
    <mergeCell ref="C5:G5"/>
    <mergeCell ref="B8:G8"/>
    <mergeCell ref="B12:G12"/>
    <mergeCell ref="B13:G14"/>
    <mergeCell ref="B16:G16"/>
    <mergeCell ref="B17:G18"/>
    <mergeCell ref="B21:G21"/>
    <mergeCell ref="E23:G23"/>
    <mergeCell ref="E24:G24"/>
    <mergeCell ref="E25:G25"/>
    <mergeCell ref="E26:G26"/>
    <mergeCell ref="B42:G43"/>
    <mergeCell ref="B44:G44"/>
    <mergeCell ref="C45:D45"/>
    <mergeCell ref="F45:G45"/>
    <mergeCell ref="C46:D46"/>
    <mergeCell ref="F46:G46"/>
    <mergeCell ref="E27:G27"/>
    <mergeCell ref="B31:G31"/>
    <mergeCell ref="B33:G33"/>
    <mergeCell ref="B34:G35"/>
    <mergeCell ref="B37:G37"/>
    <mergeCell ref="B38:G39"/>
    <mergeCell ref="B41:G41"/>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7.63"/>
    <col customWidth="1" min="3" max="3" width="15.63"/>
    <col customWidth="1" min="7" max="7" width="53.88"/>
  </cols>
  <sheetData>
    <row r="1">
      <c r="B1" s="1" t="s">
        <v>0</v>
      </c>
    </row>
    <row r="2">
      <c r="B2" s="2"/>
    </row>
    <row r="3">
      <c r="B3" s="2" t="s">
        <v>1</v>
      </c>
      <c r="C3" s="3" t="s">
        <v>2</v>
      </c>
    </row>
    <row r="4">
      <c r="B4" s="2" t="s">
        <v>3</v>
      </c>
      <c r="C4" s="4">
        <f>IFERROR(__xludf.DUMMYFUNCTION("INDEX(
  QUERY(
    IMPORTRANGE(
      ""https://docs.google.com/spreadsheets/d/1rNNjJXEbbFk-tp1oCnmvsGUasYrK05YsXLDjblwpnKw/edit?gid=0#gid=0"",
      ""BD!A:J""
    ),
    ""select Col2 where Col3 = '"" &amp; C3 &amp; ""' limit 1"",
    1
  ),
  2
)
"),970.0)</f>
        <v>970</v>
      </c>
    </row>
    <row r="5">
      <c r="B5" s="2" t="s">
        <v>4</v>
      </c>
      <c r="C5" s="3" t="s">
        <v>46</v>
      </c>
    </row>
    <row r="7">
      <c r="B7" s="6" t="s">
        <v>5</v>
      </c>
    </row>
    <row r="8">
      <c r="B8" s="7" t="s">
        <v>6</v>
      </c>
    </row>
    <row r="10">
      <c r="B10" s="8" t="s">
        <v>7</v>
      </c>
    </row>
    <row r="12">
      <c r="B12" s="59" t="s">
        <v>8</v>
      </c>
      <c r="C12" s="10"/>
      <c r="D12" s="10"/>
      <c r="E12" s="10"/>
      <c r="F12" s="10"/>
      <c r="G12" s="11"/>
    </row>
    <row r="13" ht="25.5" customHeight="1">
      <c r="B13" s="60" t="s">
        <v>47</v>
      </c>
      <c r="G13" s="61"/>
      <c r="H13" s="62"/>
    </row>
    <row r="14" ht="57.75" customHeight="1">
      <c r="B14" s="63" t="s">
        <v>48</v>
      </c>
      <c r="C14" s="64" t="s">
        <v>49</v>
      </c>
      <c r="D14" s="40"/>
      <c r="E14" s="40"/>
      <c r="F14" s="40"/>
      <c r="G14" s="65"/>
    </row>
    <row r="15" ht="43.5" customHeight="1">
      <c r="B15" s="66" t="s">
        <v>50</v>
      </c>
      <c r="C15" s="64" t="s">
        <v>51</v>
      </c>
      <c r="D15" s="40"/>
      <c r="E15" s="40"/>
      <c r="F15" s="40"/>
      <c r="G15" s="65"/>
    </row>
    <row r="16" ht="42.0" customHeight="1">
      <c r="B16" s="67" t="s">
        <v>52</v>
      </c>
      <c r="C16" s="68" t="s">
        <v>53</v>
      </c>
      <c r="D16" s="69"/>
      <c r="E16" s="69"/>
      <c r="F16" s="69"/>
      <c r="G16" s="70"/>
    </row>
    <row r="17" ht="44.25" customHeight="1"/>
    <row r="18" ht="43.5" customHeight="1">
      <c r="B18" s="59" t="s">
        <v>10</v>
      </c>
      <c r="C18" s="10"/>
      <c r="D18" s="10"/>
      <c r="E18" s="10"/>
      <c r="F18" s="10"/>
      <c r="G18" s="11"/>
    </row>
    <row r="19" ht="33.75" customHeight="1">
      <c r="B19" s="71" t="s">
        <v>54</v>
      </c>
      <c r="C19" s="72"/>
      <c r="D19" s="72"/>
      <c r="E19" s="72"/>
      <c r="F19" s="72"/>
      <c r="G19" s="73"/>
      <c r="H19" s="62"/>
    </row>
    <row r="20" ht="36.75" customHeight="1">
      <c r="B20" s="74" t="s">
        <v>55</v>
      </c>
      <c r="C20" s="75" t="s">
        <v>56</v>
      </c>
      <c r="D20" s="37"/>
      <c r="E20" s="37"/>
      <c r="F20" s="37"/>
      <c r="G20" s="76"/>
      <c r="H20" s="62"/>
    </row>
    <row r="21" ht="30.75" customHeight="1">
      <c r="B21" s="77"/>
      <c r="C21" s="78" t="s">
        <v>57</v>
      </c>
      <c r="D21" s="40"/>
      <c r="E21" s="40"/>
      <c r="F21" s="40"/>
      <c r="G21" s="65"/>
      <c r="H21" s="62"/>
    </row>
    <row r="22" ht="30.75" customHeight="1">
      <c r="B22" s="71" t="s">
        <v>58</v>
      </c>
      <c r="C22" s="72"/>
      <c r="D22" s="72"/>
      <c r="E22" s="72"/>
      <c r="F22" s="72"/>
      <c r="G22" s="73"/>
      <c r="H22" s="62"/>
    </row>
    <row r="23" ht="60.75" customHeight="1">
      <c r="B23" s="79" t="s">
        <v>59</v>
      </c>
      <c r="C23" s="78" t="s">
        <v>60</v>
      </c>
      <c r="D23" s="40"/>
      <c r="E23" s="40"/>
      <c r="F23" s="40"/>
      <c r="G23" s="65"/>
      <c r="H23" s="62"/>
    </row>
    <row r="24" ht="53.25" customHeight="1">
      <c r="B24" s="80"/>
      <c r="C24" s="78" t="s">
        <v>61</v>
      </c>
      <c r="D24" s="40"/>
      <c r="E24" s="40"/>
      <c r="F24" s="40"/>
      <c r="G24" s="65"/>
      <c r="H24" s="62"/>
    </row>
    <row r="25" ht="54.0" customHeight="1">
      <c r="B25" s="81" t="s">
        <v>62</v>
      </c>
      <c r="C25" s="82" t="s">
        <v>63</v>
      </c>
      <c r="D25" s="16"/>
      <c r="E25" s="16"/>
      <c r="F25" s="16"/>
      <c r="G25" s="17"/>
    </row>
    <row r="26">
      <c r="A26" s="18"/>
      <c r="H26" s="18"/>
      <c r="I26" s="18"/>
      <c r="J26" s="18"/>
      <c r="K26" s="18"/>
      <c r="L26" s="18"/>
      <c r="M26" s="18"/>
      <c r="N26" s="18"/>
      <c r="O26" s="18"/>
      <c r="P26" s="18"/>
      <c r="Q26" s="18"/>
      <c r="R26" s="18"/>
      <c r="S26" s="18"/>
      <c r="T26" s="18"/>
      <c r="U26" s="18"/>
      <c r="V26" s="18"/>
      <c r="W26" s="18"/>
    </row>
    <row r="27">
      <c r="A27" s="18"/>
      <c r="B27" s="8" t="s">
        <v>12</v>
      </c>
      <c r="H27" s="18"/>
      <c r="I27" s="18"/>
      <c r="J27" s="18"/>
      <c r="K27" s="18"/>
      <c r="L27" s="18"/>
      <c r="M27" s="18"/>
      <c r="N27" s="18"/>
      <c r="O27" s="18"/>
      <c r="P27" s="18"/>
      <c r="Q27" s="18"/>
      <c r="R27" s="18"/>
      <c r="S27" s="18"/>
      <c r="T27" s="18"/>
      <c r="U27" s="18"/>
      <c r="V27" s="18"/>
      <c r="W27" s="18"/>
    </row>
    <row r="28">
      <c r="B28" s="7" t="s">
        <v>13</v>
      </c>
    </row>
    <row r="29" ht="45.0" customHeight="1">
      <c r="B29" s="19"/>
      <c r="C29" s="19"/>
      <c r="D29" s="19"/>
      <c r="E29" s="19"/>
      <c r="F29" s="19"/>
      <c r="G29" s="19"/>
    </row>
    <row r="30" ht="36.75" customHeight="1">
      <c r="B30" s="20" t="s">
        <v>14</v>
      </c>
      <c r="C30" s="20" t="s">
        <v>15</v>
      </c>
      <c r="D30" s="20" t="s">
        <v>16</v>
      </c>
      <c r="E30" s="21" t="s">
        <v>17</v>
      </c>
      <c r="F30" s="10"/>
      <c r="G30" s="11"/>
    </row>
    <row r="31" ht="48.75" customHeight="1">
      <c r="B31" s="22" t="s">
        <v>18</v>
      </c>
      <c r="C31" s="23">
        <v>21.0</v>
      </c>
      <c r="D31" s="23">
        <v>14.0</v>
      </c>
      <c r="E31" s="24" t="s">
        <v>64</v>
      </c>
      <c r="F31" s="10"/>
      <c r="G31" s="11"/>
    </row>
    <row r="32">
      <c r="B32" s="25" t="s">
        <v>20</v>
      </c>
      <c r="C32" s="23">
        <v>55.0</v>
      </c>
      <c r="D32" s="23">
        <v>2.0</v>
      </c>
      <c r="E32" s="24" t="s">
        <v>65</v>
      </c>
      <c r="F32" s="10"/>
      <c r="G32" s="11"/>
    </row>
    <row r="33">
      <c r="B33" s="25" t="s">
        <v>21</v>
      </c>
      <c r="C33" s="23">
        <v>14.0</v>
      </c>
      <c r="D33" s="23">
        <v>2.0</v>
      </c>
      <c r="E33" s="24" t="s">
        <v>66</v>
      </c>
      <c r="F33" s="10"/>
      <c r="G33" s="11"/>
    </row>
    <row r="34">
      <c r="B34" s="27" t="s">
        <v>22</v>
      </c>
      <c r="C34" s="28">
        <v>10.0</v>
      </c>
      <c r="D34" s="23">
        <v>5.0</v>
      </c>
      <c r="E34" s="24" t="s">
        <v>67</v>
      </c>
      <c r="F34" s="10"/>
      <c r="G34" s="11"/>
    </row>
    <row r="35">
      <c r="B35" s="29" t="s">
        <v>23</v>
      </c>
      <c r="C35" s="30">
        <f>SUM(C31:C34)</f>
        <v>100</v>
      </c>
    </row>
    <row r="36">
      <c r="B36" s="2"/>
    </row>
    <row r="38">
      <c r="B38" s="6" t="s">
        <v>24</v>
      </c>
    </row>
    <row r="39" ht="39.0" customHeight="1">
      <c r="B39" s="7" t="s">
        <v>25</v>
      </c>
    </row>
    <row r="41" ht="41.25" customHeight="1">
      <c r="B41" s="9" t="s">
        <v>26</v>
      </c>
      <c r="C41" s="10"/>
      <c r="D41" s="10"/>
      <c r="E41" s="10"/>
      <c r="F41" s="10"/>
      <c r="G41" s="11"/>
    </row>
    <row r="42">
      <c r="B42" s="83" t="s">
        <v>68</v>
      </c>
      <c r="C42" s="13"/>
      <c r="D42" s="13"/>
      <c r="E42" s="13"/>
      <c r="F42" s="13"/>
      <c r="G42" s="14"/>
    </row>
    <row r="43" ht="59.25" customHeight="1">
      <c r="B43" s="15"/>
      <c r="C43" s="16"/>
      <c r="D43" s="16"/>
      <c r="E43" s="16"/>
      <c r="F43" s="16"/>
      <c r="G43" s="17"/>
    </row>
    <row r="45" ht="67.5" customHeight="1">
      <c r="B45" s="9" t="s">
        <v>27</v>
      </c>
      <c r="C45" s="10"/>
      <c r="D45" s="10"/>
      <c r="E45" s="10"/>
      <c r="F45" s="10"/>
      <c r="G45" s="11"/>
    </row>
    <row r="46">
      <c r="B46" s="54" t="s">
        <v>69</v>
      </c>
      <c r="C46" s="13"/>
      <c r="D46" s="13"/>
      <c r="E46" s="13"/>
      <c r="F46" s="13"/>
      <c r="G46" s="14"/>
    </row>
    <row r="47" ht="64.5" customHeight="1">
      <c r="B47" s="15"/>
      <c r="C47" s="16"/>
      <c r="D47" s="16"/>
      <c r="E47" s="16"/>
      <c r="F47" s="16"/>
      <c r="G47" s="17"/>
    </row>
    <row r="49">
      <c r="B49" s="32" t="s">
        <v>29</v>
      </c>
      <c r="C49" s="13"/>
      <c r="D49" s="13"/>
      <c r="E49" s="13"/>
      <c r="F49" s="13"/>
      <c r="G49" s="14"/>
    </row>
    <row r="50" ht="54.75" customHeight="1">
      <c r="A50" s="18"/>
      <c r="B50" s="33" t="s">
        <v>41</v>
      </c>
      <c r="C50" s="34"/>
      <c r="D50" s="34"/>
      <c r="E50" s="34"/>
      <c r="F50" s="34"/>
      <c r="G50" s="35"/>
      <c r="H50" s="18"/>
      <c r="I50" s="18"/>
      <c r="J50" s="18"/>
      <c r="K50" s="18"/>
      <c r="L50" s="18"/>
      <c r="M50" s="18"/>
      <c r="N50" s="18"/>
      <c r="O50" s="18"/>
      <c r="P50" s="18"/>
      <c r="Q50" s="18"/>
      <c r="R50" s="18"/>
      <c r="S50" s="18"/>
      <c r="T50" s="18"/>
      <c r="U50" s="18"/>
      <c r="V50" s="18"/>
      <c r="W50" s="18"/>
    </row>
    <row r="51">
      <c r="B51" s="36"/>
      <c r="C51" s="37"/>
      <c r="D51" s="37"/>
      <c r="E51" s="37"/>
      <c r="F51" s="37"/>
      <c r="G51" s="38"/>
    </row>
    <row r="52">
      <c r="B52" s="55" t="str">
        <f>CONCATENATE("El Estudiante ",B54,C54,E54,F54)</f>
        <v>El Estudiante diseña, administra, monitorea, supervisa, elaboraequipos de telecomunicaciones como router, switch, firewall, access pointcomandos en CLI e interfaces webpara, garantizar el correcto funcionamiento y performance de una infraestructura de red.</v>
      </c>
      <c r="C52" s="40"/>
      <c r="D52" s="40"/>
      <c r="E52" s="40"/>
      <c r="F52" s="40"/>
      <c r="G52" s="41"/>
    </row>
    <row r="53">
      <c r="B53" s="42" t="s">
        <v>31</v>
      </c>
      <c r="C53" s="43" t="s">
        <v>32</v>
      </c>
      <c r="D53" s="41"/>
      <c r="E53" s="44" t="s">
        <v>33</v>
      </c>
      <c r="F53" s="45" t="s">
        <v>34</v>
      </c>
      <c r="G53" s="41"/>
    </row>
    <row r="54">
      <c r="B54" s="46" t="s">
        <v>42</v>
      </c>
      <c r="C54" s="56" t="s">
        <v>43</v>
      </c>
      <c r="D54" s="41"/>
      <c r="E54" s="57" t="s">
        <v>44</v>
      </c>
      <c r="F54" s="58" t="s">
        <v>45</v>
      </c>
      <c r="G54" s="41"/>
    </row>
    <row r="55">
      <c r="B55" s="50" t="s">
        <v>36</v>
      </c>
    </row>
  </sheetData>
  <mergeCells count="38">
    <mergeCell ref="B1:G1"/>
    <mergeCell ref="C3:G3"/>
    <mergeCell ref="C4:G4"/>
    <mergeCell ref="C5:G5"/>
    <mergeCell ref="B8:G8"/>
    <mergeCell ref="B12:G12"/>
    <mergeCell ref="B13:G13"/>
    <mergeCell ref="C14:G14"/>
    <mergeCell ref="C15:G15"/>
    <mergeCell ref="C16:G16"/>
    <mergeCell ref="B18:G18"/>
    <mergeCell ref="B19:G19"/>
    <mergeCell ref="B20:B21"/>
    <mergeCell ref="C20:G20"/>
    <mergeCell ref="C21:G21"/>
    <mergeCell ref="B22:G22"/>
    <mergeCell ref="B23:B24"/>
    <mergeCell ref="C23:G23"/>
    <mergeCell ref="C24:G24"/>
    <mergeCell ref="C25:G25"/>
    <mergeCell ref="B28:G28"/>
    <mergeCell ref="E30:G30"/>
    <mergeCell ref="E31:G31"/>
    <mergeCell ref="E32:G32"/>
    <mergeCell ref="E33:G33"/>
    <mergeCell ref="E34:G34"/>
    <mergeCell ref="B39:G39"/>
    <mergeCell ref="B41:G41"/>
    <mergeCell ref="C53:D53"/>
    <mergeCell ref="C54:D54"/>
    <mergeCell ref="B42:G43"/>
    <mergeCell ref="B45:G45"/>
    <mergeCell ref="B46:G47"/>
    <mergeCell ref="B49:G49"/>
    <mergeCell ref="B50:G51"/>
    <mergeCell ref="B52:G52"/>
    <mergeCell ref="F53:G53"/>
    <mergeCell ref="F54:G54"/>
  </mergeCells>
  <printOptions gridLines="1" horizontalCentered="1"/>
  <pageMargins bottom="0.75" footer="0.0" header="0.0" left="0.7" right="0.7" top="0.75"/>
  <pageSetup fitToHeight="0" paperSize="9" cellComments="atEnd" orientation="portrait" pageOrder="overThenDown"/>
  <drawing r:id="rId1"/>
</worksheet>
</file>