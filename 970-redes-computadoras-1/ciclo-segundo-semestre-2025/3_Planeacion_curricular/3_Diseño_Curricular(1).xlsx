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gBWfXRxkVy88G4QMyVaNxNaCLbDJag4wu2gqb3ILZE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<sst xmlns="http://schemas.openxmlformats.org/spreadsheetml/2006/main" count="1406" uniqueCount="306">
  <si>
    <t>Diseño de Contenido Curricular</t>
  </si>
  <si>
    <t>Curso</t>
  </si>
  <si>
    <t>970 - Redes de Computadoras 1</t>
  </si>
  <si>
    <t>Periodo al que aplica</t>
  </si>
  <si>
    <t>Primer Semestre 2026</t>
  </si>
  <si>
    <t>No.</t>
  </si>
  <si>
    <t>Competencia</t>
  </si>
  <si>
    <t>Nombre de la Unidad</t>
  </si>
  <si>
    <t>Tema</t>
  </si>
  <si>
    <t>Subtema</t>
  </si>
  <si>
    <t>Mes</t>
  </si>
  <si>
    <t>Semana</t>
  </si>
  <si>
    <t xml:space="preserve">El estudiante aplica los principios de cableado estructurado utilizando normas y estándares internacionales para configurar dispositivos de capa 2 y 3 siguiendo los protocolos y conceptos generales de redes para asegurar una infraestructura eficiente </t>
  </si>
  <si>
    <t>Unidad 1 - Fundamentos e Infraestructura de las Redes</t>
  </si>
  <si>
    <t>Conceptos Generales</t>
  </si>
  <si>
    <t>Redes de Comunicación</t>
  </si>
  <si>
    <t>Enero</t>
  </si>
  <si>
    <t>Tipos de redes</t>
  </si>
  <si>
    <t>Elementos de una Red</t>
  </si>
  <si>
    <t>Topologías</t>
  </si>
  <si>
    <t>Modelo de Referencia OSI</t>
  </si>
  <si>
    <t>Modelo de Referencia TCP/IP</t>
  </si>
  <si>
    <t>Protocolos</t>
  </si>
  <si>
    <t>Cableado estructurado</t>
  </si>
  <si>
    <t>Elementos de un sistema de cableado estructurado</t>
  </si>
  <si>
    <t>Medios de Transmisión</t>
  </si>
  <si>
    <t>Normas y Estándares</t>
  </si>
  <si>
    <t>Cableado Vertical</t>
  </si>
  <si>
    <t>Cableado Horizontal</t>
  </si>
  <si>
    <t>Gestión de Cables y Organización</t>
  </si>
  <si>
    <t>Data Center</t>
  </si>
  <si>
    <t>Unidad 2 - Dispositivos y Protocolos en la Capa 2: Segmentación y Direccionamiento</t>
  </si>
  <si>
    <t>Configuraciones Básicas de Dispositivos de Capa 2 - Hub y Switch</t>
  </si>
  <si>
    <t>Tipos y Modos de Acceso</t>
  </si>
  <si>
    <t>Febrero</t>
  </si>
  <si>
    <t>Direcciones MAC</t>
  </si>
  <si>
    <t>Tabla Direcciones MAC</t>
  </si>
  <si>
    <t>Patrones de Mensajes</t>
  </si>
  <si>
    <t>Conmutación</t>
  </si>
  <si>
    <t>HUB y Dominio de Colisión</t>
  </si>
  <si>
    <t>Switch y Dominio de Colisión</t>
  </si>
  <si>
    <t>Switching y ARP</t>
  </si>
  <si>
    <t>Comandos Básicos en Dispositivos Cisco</t>
  </si>
  <si>
    <t xml:space="preserve">El estudiante será capaz de implementar y verificar  segmentación y redundancia en redes mediante la configuración de VLANs, VTP, STP y EtherChannel en switches Cisco, garantizando conectividad estable y evitando bucles en la topología. </t>
  </si>
  <si>
    <t>VLAN’S</t>
  </si>
  <si>
    <t>Definición y Tipos de VLAN</t>
  </si>
  <si>
    <t>Creación de VLANs en Switches y Configuración de Puertos</t>
  </si>
  <si>
    <t>Beneficios y Desafíos del Uso de VLANs</t>
  </si>
  <si>
    <t>VTP</t>
  </si>
  <si>
    <t>Definición y Modos de Configuración de VTP</t>
  </si>
  <si>
    <t>Propagación de VLANS y Versiones VTP</t>
  </si>
  <si>
    <t>Seguridad y Problemas Comunes en VTP</t>
  </si>
  <si>
    <t>Simulación de VTP en Redes Virtuales</t>
  </si>
  <si>
    <t>STP</t>
  </si>
  <si>
    <t>Definición del protocolo de STP</t>
  </si>
  <si>
    <t>Funcionamiento de STP</t>
  </si>
  <si>
    <t xml:space="preserve">El estudiante será capaz de diseñar, implementar y evaluar redes de computadoras a nivel de las capas física, de enlace de datos y de red del modelo OSI aplicando conocimientos de cableado estructurado, direccionamiento IP, segmentación con VLANs y enrutamiento, para garantizar la conectividad, el rendimiento y la solución de problemas en entornos profesionales. </t>
  </si>
  <si>
    <t>Propiedades del Protocolo STP</t>
  </si>
  <si>
    <t>Modos de Configuración</t>
  </si>
  <si>
    <t>Dominios de Colisión</t>
  </si>
  <si>
    <t>Dominios de Broadcast</t>
  </si>
  <si>
    <t>Configuración y Optimizacion de STP en Switches</t>
  </si>
  <si>
    <t>Port-Channel</t>
  </si>
  <si>
    <t>Modos de Operación de Port-Channel</t>
  </si>
  <si>
    <t>Ventajas de la Agregación de Enlaces</t>
  </si>
  <si>
    <t>Configuración de Port-Channel en Switches</t>
  </si>
  <si>
    <t>Detección y Solución de Problemas en Port-Channel</t>
  </si>
  <si>
    <t>Interacción entre Port-Channel y STP</t>
  </si>
  <si>
    <t>Monitorización del Rendimiento de Port-Channel</t>
  </si>
  <si>
    <t>Integración de Port-Channel con VLANs</t>
  </si>
  <si>
    <t xml:space="preserve">El estudiante aplica estrategias de subneteo fijo y variable mediante cálculos de rangos y asignación eficiente en direcciones IP para optimizar la cantidad de IP disponibles en la red </t>
  </si>
  <si>
    <t>Unidad 3 - Dispositivos y Protocolos en la Capa 3: Enrutamiento, Alta Disponibilidad y Seguridad</t>
  </si>
  <si>
    <t>Direcciones IP y Subnetting</t>
  </si>
  <si>
    <t>Direcciones IP</t>
  </si>
  <si>
    <t>Marzo</t>
  </si>
  <si>
    <t>Versiones del Protocolo IP</t>
  </si>
  <si>
    <t>Clases de Direcciones (A, B, C, D, E).</t>
  </si>
  <si>
    <t>Direcciones Especiales</t>
  </si>
  <si>
    <t>Máscaras de Subred</t>
  </si>
  <si>
    <t>Notación CIDR</t>
  </si>
  <si>
    <t>Subneteo Fijo - FLSM</t>
  </si>
  <si>
    <t>Subneteo Variable - VLSM</t>
  </si>
  <si>
    <t>Ruteo</t>
  </si>
  <si>
    <t>¿Que es enrutamiento?</t>
  </si>
  <si>
    <t>Tipos de Ruteo</t>
  </si>
  <si>
    <t>Tablas de Enrutamiento</t>
  </si>
  <si>
    <t>Propiedades de los Protocolos de Ruteo</t>
  </si>
  <si>
    <t>Protocolos de Ruteo Dinámico</t>
  </si>
  <si>
    <t>Configuración de Rutas Estáticas en un Router</t>
  </si>
  <si>
    <t xml:space="preserve">El estudiante es capaz de diseñar y configurar una topología de red con subredes y enrutamiento estático/dinámico que cumpla con requerimientos de eficiencia, redundancia y  seguridad. </t>
  </si>
  <si>
    <t>Ruteo Dinámico (RIP, OSPF, EIGRP Y BGP)</t>
  </si>
  <si>
    <t>Definición y Configuración del Protocolo RIP</t>
  </si>
  <si>
    <t>Abril</t>
  </si>
  <si>
    <t>Definición y Configuración del Protocolo OSPF</t>
  </si>
  <si>
    <t>Definición y Configuración del Protocolo EIGRP</t>
  </si>
  <si>
    <t>Definición y Configuración del Protocolo BGP</t>
  </si>
  <si>
    <t>Autenticación en Protocolos de Ruteo Dinámico</t>
  </si>
  <si>
    <t>Redistribución de Rutas entre Protocolos de Ruteo Dinámico</t>
  </si>
  <si>
    <t>Solución de Problemas Comunes en Ruteo Dinámico</t>
  </si>
  <si>
    <t xml:space="preserve">Crear una red empresarial funcional y segmentada utilizando simuladores de red y esándares de cableado estructurado, que cumpla con requisitos de comunicación, optimización de IP y alta desponibilidad. </t>
  </si>
  <si>
    <t>Implementación de Alta Disponibilidad y Seguridad</t>
  </si>
  <si>
    <t>Configuración de Alta Disponibilidad con HSRP</t>
  </si>
  <si>
    <t>Configuración de alta disponibilidad en VRRP</t>
  </si>
  <si>
    <t xml:space="preserve"> Configuración de alta disponibilidad en GLBP</t>
  </si>
  <si>
    <t>Comparativa entre HSRP, VRRP y GLBP</t>
  </si>
  <si>
    <t>Solución de Problemas en Redes con HSRP, VRRP y GLBP</t>
  </si>
  <si>
    <t>Políticas de privacidad de firewall</t>
  </si>
  <si>
    <t>Control de listas de acceso</t>
  </si>
  <si>
    <t>Redistribución de Rutas entre Protocolos de Ruteo</t>
  </si>
  <si>
    <t>Ruteo InterVLAN</t>
  </si>
  <si>
    <t>Ruteo InterVLAN. ¿Qué es?</t>
  </si>
  <si>
    <t>Propiedades del Ruteo InterVLAN</t>
  </si>
  <si>
    <t>Métodos de Implementación del Ruteo InterVLAN</t>
  </si>
  <si>
    <t>Router-on-a-Stick: Configuración</t>
  </si>
  <si>
    <t>Router-on-a-Stick: Funcionamiento</t>
  </si>
  <si>
    <t>Configuración de Ruteo InterVLAN en Switches Capa 3</t>
  </si>
  <si>
    <t>Resolución de Problemas en Ruteo InterVLAN</t>
  </si>
  <si>
    <t>Tiempo</t>
  </si>
  <si>
    <t xml:space="preserve">1. Bienvenida y Presentación                                   </t>
  </si>
  <si>
    <t>Tiempo Aproximado</t>
  </si>
  <si>
    <t>No puedes excederte mas de 15 minutos</t>
  </si>
  <si>
    <t xml:space="preserve">Nombre y Formacion Academica </t>
  </si>
  <si>
    <t>Nombre completo, carrera que estudio, semestre actual y certificaciones obtenidas.</t>
  </si>
  <si>
    <t xml:space="preserve">Experiencia docente y profecional </t>
  </si>
  <si>
    <t>Experiencia como auxiliar, prácticas, pasantías o algun trabajo relacionado al entorno de redes o telecomunicaciones.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</si>
  <si>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</si>
  <si>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</si>
  <si>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Apoyar al docente con el laboratorio del curso, resolver dudas, guíar en trabajos y revisar las entregas</t>
  </si>
  <si>
    <t>Expectativas sobre la dinámica del curso</t>
  </si>
  <si>
    <t>Praticipación activa, comunicación constante y compromiso con todo el grupo del laboratorio</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</si>
  <si>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</si>
  <si>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</si>
  <si>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</si>
  <si>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</si>
  <si>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Preguntas relacionadas con conceptos fundamentales del curso anterior, como estructuras básicas de programación, sintaxis, lógica computacional y resolución de problemas. Serán de opción múltiple y/o respuesta breve.</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</si>
  <si>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</si>
  <si>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</si>
  <si>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Actividad corta en la que los estudiantes resolverán un ejercicio para ver los conocimientos previos, se puede incluir algo de programación, modelos de capa OSI, logíca de sistemas.</t>
  </si>
  <si>
    <t xml:space="preserve">3. Presentación de los Estudiantes                                </t>
  </si>
  <si>
    <t xml:space="preserve">No puedes excederte mas de 30 minutos </t>
  </si>
  <si>
    <t>Seleccion al Azar de 5 Estudiantes</t>
  </si>
  <si>
    <t>Uso de una ruleta digital con nombres o selección aleatoria desde la lista de asistencia. Se escogerán 5 estudiantes de forma transparente frente al grupo. Se recomienda esta herramienta: https://echaloasuerte.com/raffle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</si>
  <si>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</si>
  <si>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</si>
  <si>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Se pedirá a los estudiantes compartir su nombre, expectativas del curso, intereses, experiencia previa o algun conocimiento relacionado al redes.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</si>
  <si>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</si>
  <si>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</si>
  <si>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</si>
  <si>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</si>
  <si>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Formulario para horarios de calificación</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</si>
  <si>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</si>
  <si>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</si>
  <si>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Se van a mostrar los posibles días de calificación, para las practicas y los proyectos que se llevaran a cabo en el semestre, mencionandoles a los estudiantes que los horarios no son oficiales, que puede que sufran cambios durante el semestre</t>
  </si>
  <si>
    <t xml:space="preserve">4.  Mostrar Programa del Curso                 </t>
  </si>
  <si>
    <t>No puedes excederte mas de 30 minutos</t>
  </si>
  <si>
    <t xml:space="preserve">2. Evaluación de Conocimientos del Curso Actual                                  </t>
  </si>
  <si>
    <t xml:space="preserve">Redactaras 20 preguntas con sus respectivas respuestas </t>
  </si>
  <si>
    <t>Diseño de la Sesión de Laboratorio</t>
  </si>
  <si>
    <t>Ponderación</t>
  </si>
  <si>
    <t>Validación de Tiempo</t>
  </si>
  <si>
    <t>1. Área Actitudinal (Saber Ser)</t>
  </si>
  <si>
    <t>Tiene que estar en un rango de 3 a 5 minutos</t>
  </si>
  <si>
    <t>Nombre del Valor</t>
  </si>
  <si>
    <t>Pensamiento crítico</t>
  </si>
  <si>
    <t>Descripcion</t>
  </si>
  <si>
    <t>Aplicar la responsabilidad por el cumplimiento de normas, estándares e instalación de cableado, así como mantener el órden y disciplina en la gestión de cables.​</t>
  </si>
  <si>
    <t>Como se relaciona con los conocimientos de la sesion y se aplicaria</t>
  </si>
  <si>
    <t>Por medio de una actividad práctica.</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</si>
  <si>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</si>
  <si>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</si>
  <si>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</si>
  <si>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</si>
  <si>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</si>
  <si>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</si>
  <si>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</si>
  <si>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</si>
  <si>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</si>
  <si>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</si>
  <si>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</si>
  <si>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</si>
  <si>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</si>
  <si>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</si>
  <si>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</si>
  <si>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</si>
  <si>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</si>
  <si>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</si>
  <si>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</si>
  <si>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</si>
  <si>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</si>
  <si>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</si>
  <si>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</si>
  <si>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</si>
  <si>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</si>
  <si>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</si>
  <si>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Realizar un diagrama con las unidades de datos y las capas del modelo OSI y del modelo de referencia TCP/IP y colocar 3 protocolos o tecnologías en cada capa.</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</si>
  <si>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</si>
  <si>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</si>
  <si>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</si>
  <si>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</si>
  <si>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</si>
  <si>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</si>
  <si>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Orden y disciplina</t>
  </si>
  <si>
    <t>Capacidad de trabajar de manera organizada y siguiendo estándares para lograr resultados confiables.</t>
  </si>
  <si>
    <t>El cableado estructurado requiere aplicar normas internacionales y mantener la infraestructura organizada para asegurar rendimiento y facilidad de mantenimiento.</t>
  </si>
  <si>
    <t>Realizar la simulación de una habitación con un switch que distribuya a dispositivos finales.</t>
  </si>
  <si>
    <t>Resolver dudas del contenido, asignar tarea y resolver dudas de notas.</t>
  </si>
  <si>
    <t>Responsabilidad</t>
  </si>
  <si>
    <t>Configurar y cuidar los dispositivos otorgados por la escuela de manera resposable y ordenada.</t>
  </si>
  <si>
    <t>La responsabilidad se refleja en aplicar correctamente los comandos en los switches, verificar resultados y cuidar el equipo haciendo uso adecuado del mismo.</t>
  </si>
  <si>
    <t xml:space="preserve">El estudiante crea una red empresarial funcional y segmentada utilizando simuladores de red y esándares de cableado estructurado, que cumpla con requisitos de comunicación, optimización de IP y alta desponibilidad. </t>
  </si>
  <si>
    <t>25 a 30 minutps</t>
  </si>
  <si>
    <t>25 - 30 minutos</t>
  </si>
  <si>
    <t>Instalar drivers de comunicación serial y conectarse por medio de CLI a un switch cisco fisicamente y realizar configuraciones basicas.</t>
  </si>
  <si>
    <t>Responsabilidad y autonomia</t>
  </si>
  <si>
    <t>La responsabilidad es la capacidad de asumir las tareas asignadas con compromiso, cumpliendo con los objetivos y haciéndose cargo de las consecuencias de las propias acciones. Guardar y verificar los cambios, entendiendo que cualquier error puede afectar la conectividad simulada, y que es su responsabilidad revisar antes de ejecutar.</t>
  </si>
  <si>
    <t>Configurar correctamente las VLANs, asignando los puertos correspondientes y verificando que cada dispositivo esté en la red adecuada.</t>
  </si>
  <si>
    <t>El estudiante hará uso de cisco packet tracer para poder resolver una actividad relacionada a la creación de VLAN y lo que es VTP</t>
  </si>
  <si>
    <t>Se van a estar resolviendo dudas, de lo que se vio en clase, como tambien del ejercicio practico.</t>
  </si>
  <si>
    <t>Responsabilidad y Análisis Lógico</t>
  </si>
  <si>
    <t>Promover la responsabilidad técnica y el análisis lógico en la resolución de conflictos y configuraciones de red. Este valor fomenta la capacidad de analizar, comprender y solucionar problemas de forma razonada, mientras se actúa con disciplina, compromiso y profesionalismo al aplicar configuraciones críticas que aseguren la estabilidad y el correcto funcionamiento de la red.</t>
  </si>
  <si>
    <t>Durante la configuración de entornos de red que involucran STP, EtherChannel y protocolos asociados (LACP/PAgP, VLANs), este valor se aplica mediante actividades prácticas que requieren tanto análisis lógico para diagnosticar y optimizar el comportamiento de la red, como responsabilidad técnica para ejecutar configuraciones de manera segura y confiable, evitando errores que puedan afectar la conectividad.</t>
  </si>
  <si>
    <t>actividades</t>
  </si>
  <si>
    <t>Diseñar una topología y poner en práctica el protocolo STP aplicando los protocolos de EtherChannel Estático y Dinámico (LACP/PAGP) y verificar su funcionamiento.realizando un análisis comparativo con el modo PVST y Rapid PVST.</t>
  </si>
  <si>
    <t>Pensamiento Lógico</t>
  </si>
  <si>
    <t>El subneteo requiere aplicar fórmulas, analizar requisitos de hosts y tomar decisiones sobre qué máscara o prefijo usar. Se estimula la capacidad de razonar paso a paso y validar resultados.</t>
  </si>
  <si>
    <t>Permite aplicar reglas y secuencias claras en el cálculo de direcciones IP, máscaras y subredes, facilitando decisiones correctas en el subneteo fijo y variable. Se aplica al resolver ejercicios, optimizar recursos y validar configuraciones en laboratorio mediante pruebas de conectividad.</t>
  </si>
  <si>
    <t xml:space="preserve">
Realizar el calculo de subneting usando FLSM y VLSM para satisfacer los requisitos de una red especifica.
</t>
  </si>
  <si>
    <t>25 - 30</t>
  </si>
  <si>
    <t>Los estudiantes harán uso de tres switches, para configurar la parte del ruteo estatico, a partir de ello deberan de ver si existe comunicación enviando señales de ping.</t>
  </si>
  <si>
    <t>Autonomía</t>
  </si>
  <si>
    <t>La autonomía es la capacidad de trabajar de manera independiente, tomando decisiones informadas y siendo responsable de los resultados. En el contexto de redes, esto significa ser capaz de configurar y gestionar las rutas de la red sin depender constantemente de ayuda externa.</t>
  </si>
  <si>
    <t>Cuando los estudiantes configuran ruteo estático o usan protocolos de ruteo dinámico como RIP o OSPF en Cisco Packet Tracer, deben demostrar autonomía en las siguientes tareas: Configuración de rutas estáticas, Tablas de enrutamiento, Redistribución de rutas entre protocolos de ruteo. La autonomía es clave para tomar decisiones rápidas, eficientes y bien fundamentadas durante la configuración de una red, lo cual es esencial en el entorno de redes reales.</t>
  </si>
  <si>
    <t>Los estudiantes harán uso de dos switches fisicos, para configurar la parte del ruteo estatico, a partir de ello deberan de ver si existe comunicación enviando señales de ping.</t>
  </si>
  <si>
    <t>Resolución de dudas respecto a la clase, la actividad practica o proyecto/actividad que se tenga contemplada</t>
  </si>
  <si>
    <t>Técnicas de Redistribución</t>
  </si>
  <si>
    <t>Compromiso con la seguridad</t>
  </si>
  <si>
    <t>Mantener una actitud responsable y consciente para garantizar continuidad y protección de la red.</t>
  </si>
  <si>
    <t>Los protocolos de alta disponibilidad (HSRP, VRRP, GLBP) y las ACLs/firewalls requieren compromiso para asegurar redes estables y seguras.</t>
  </si>
  <si>
    <t>Diseño de red en Packet Tracer con VLANs, enrutamiento inter-VLAN, HSRP y ACLs para asegurar redundancia, conectividad y control de tráfico.</t>
  </si>
  <si>
    <t>Resolver dudas del contenido, responder foros y resolver dudas de notas finales.</t>
  </si>
  <si>
    <t>Proyectos</t>
  </si>
  <si>
    <t>La sumatoria de los puntos de los proyectos debe superar el  70% del total de la nota, no puede ser un 100%</t>
  </si>
  <si>
    <t>1. Primer Proyecto</t>
  </si>
  <si>
    <t>Horas para realizarlo</t>
  </si>
  <si>
    <t>Titulo</t>
  </si>
  <si>
    <t>Red Empresarial Escalable con VLANs VTP, STP y EtherChannel</t>
  </si>
  <si>
    <t>Qué tecnologías, lenguajes de programación, plataformas, hardware o software se utilizaran</t>
  </si>
  <si>
    <t>Cisco Packet tracer, switches, VLANs, VTP, STP, EtherChannel</t>
  </si>
  <si>
    <t>Descripción de lo que se realizara</t>
  </si>
  <si>
    <t>Diseño, configuración y simulación de una red empresarial escalable y segmentada, que permita garantizar la eficiencia operativa, seguridad, redundancia y administración centralizada de VLANs.
La solución se basaría en la configuración de direcciones IP estaticas, la segmentación lógica de la red mediante VLANs por departamento, la implementación de VTP para su administración centralizada, la utilización de Spanning Tree Protocol (STP) para evitar bucles de red y garantizar la redundancia, y la configuración de enlaces troncales agregados mediante EtherChannel con LACP o PAGP.</t>
  </si>
  <si>
    <t>2. Segundo Proyecto</t>
  </si>
  <si>
    <t xml:space="preserve">Garantizar la conectividad entre redes diferentes aplicando protocolos de enrutamiento estático y dinámico,  para permitir la propagación eficiente de rutas y el tráfico entre subredes. </t>
  </si>
  <si>
    <t>Red Empresarial, iniciando en el mundo de las telecomunicaciones.</t>
  </si>
  <si>
    <t>Cisco Packet tracer</t>
  </si>
  <si>
    <t>Este proyecto consiste en el diseño y simulación de una red empresarial estructurada en el entorno de Cisco Packet Tracer, donde se integrarán diversos conceptos clave de redes, tales como:
1. Enrutamiento estático y dinámico (utilizando protocolos como RIP, OSPF o EIGRP) para la correcta comunicación entre diferentes segmentos de red.
2. Configuración de VLANs para segmentar la red por departamentos o funciones, optimizando el tráfico interno.
3. Implementación de HSRP (Hot Standby Router Protocol) para lograr alta disponibilidad y redundancia de gateways.
4. Agregación de enlaces mediante PAgP y LACP para aumentar el ancho de banda y la tolerancia a fallos entre switches.
5. Configuración de listas de control de acceso (ACLs) como un firewall básico para controlar el acceso entre subredes.
6. Asignación de direcciones IP estáticas, tanto en hosts como en interfaces de red, para asegurar control total sobre la configuración inicial.
Este proyecto busca simular un entorno de red empresarial robusto, seguro y eficiente, aplicando buenas prácticas en diseño, redundancia, segmentación y seguridad de redes.</t>
  </si>
  <si>
    <t>3. Tercer Proyecto</t>
  </si>
  <si>
    <t>Optativa</t>
  </si>
  <si>
    <t>Practicas</t>
  </si>
  <si>
    <t>La sumatoria de los puntos de los practicas debe no debe super el  20%</t>
  </si>
  <si>
    <t>1. Primera Practica</t>
  </si>
  <si>
    <t>Obligatoria</t>
  </si>
  <si>
    <t>Diseño e implementación de red LAN</t>
  </si>
  <si>
    <t>Cisco Packet Tracer</t>
  </si>
  <si>
    <t>Se diseñará y configurará una red LAN para una empresa, distribuyendo equipos en tres niveles del edificio. Se asignarán direcciones IP estáticas, se configurarán switches con contraseñas y hostnames, y se documentará la topología en Packet Tracer. Además, se deberán realizar pruebas de conectividad (ping) y capturas de paquetes ARP e ICMP para verificar la correcta comunicación entre todos los dispositivos</t>
  </si>
  <si>
    <t>2. Segunda Practica</t>
  </si>
  <si>
    <t>Diseño y aplicación de topología con segmentación de red aplicando protocolos VTP y uso de VLANs.</t>
  </si>
  <si>
    <t>3. Tercera Practica</t>
  </si>
  <si>
    <t>4. Cuarta Practica</t>
  </si>
  <si>
    <t>5. Quinta Practica</t>
  </si>
  <si>
    <t>6. Sexta Practica</t>
  </si>
  <si>
    <t>7. Septima Practica</t>
  </si>
  <si>
    <t>Tareas</t>
  </si>
  <si>
    <t>La sumatoria de los puntos de los practicas debe no debe super el  20% de la nota</t>
  </si>
  <si>
    <t>1. Primera Tarea</t>
  </si>
  <si>
    <t>Introducción a Redes y Herramientas de Simulación</t>
  </si>
  <si>
    <t>Se puede usar cualquier paquete de office, se pueden buscar en plataformas como la academia de cisco, la funtes de oficiales de wiresharh y pnetlab.</t>
  </si>
  <si>
    <t>En esta primera tarea, te familiarizarás con los conceptos básicos de redes de comunicación, incluyendo tipos de redes, elementos, topologías y los modelos de referencia OSI y TCP/IP. Además, explorarás las herramientas que se utilizarán durante el curso: Cisco Packet Tracer, pNETLab y Wireshark.</t>
  </si>
  <si>
    <t>2. Segunda Tarea</t>
  </si>
  <si>
    <t>Evaluación de la comunicación entre equipos en una red local</t>
  </si>
  <si>
    <t>Cisco Packet Tracer y sus propias computadoras.</t>
  </si>
  <si>
    <t>Aplicando parte física, los estudiantes deberan realizar la conexion de dos computadoras de forma física utlizando un cable de red ponchado por ellos mismos. A esta tarea se agrega la realización del curso "Exploring Networking with Cisco Packet Tracer" de Networking Academy de cisco.</t>
  </si>
  <si>
    <t>3. Tercera Tarea</t>
  </si>
  <si>
    <t>Gestión y propagación de VLANs con VTP</t>
  </si>
  <si>
    <t>Cisco Packet Tracer, Editor de texto para generar Markdown.</t>
  </si>
  <si>
    <t xml:space="preserve">Los estudiantes deberán diseñar y configurar una red en Cisco Packet Tracer, implementando VLANs y el protocolo VTP en diferentes modos de operación. </t>
  </si>
  <si>
    <t>4. Cuarta Tarea</t>
  </si>
  <si>
    <t>Subneting con FLSM y VLSM</t>
  </si>
  <si>
    <t>IP, CIDR, FLSM, VLSM</t>
  </si>
  <si>
    <t>Se realizará el subnetting usando FLSM y VLSM para satisfacer los requisitos especificos de una red dada.</t>
  </si>
  <si>
    <t>5. Quinta Tarea</t>
  </si>
  <si>
    <t>Uso de Wireshark</t>
  </si>
  <si>
    <t>Wireshark, IP, Ping, ICMP, Http</t>
  </si>
  <si>
    <t>Instalación de Wirewshark, generar y capturar trafico de diferentes protocolos para familiarizarse con la herramienta.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</si>
  <si>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</si>
  <si>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</si>
  <si>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</si>
  <si>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</si>
  <si>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</si>
  <si>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</si>
  <si>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</si>
  <si>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</si>
  <si>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</si>
  <si>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</si>
  <si>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</si>
  <si>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Actividades en clase. (5 pts), 2 cortos (3 pts cada corto) y examen final (10 pts)</t>
  </si>
  <si>
    <t>Total</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</si>
</sst>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u/>
      <color rgb="FF0000FF"/>
      <name val="Arial"/>
    </font>
    <font>
      <b/>
      <sz val="12.0"/>
      <color rgb="FFFF6D01"/>
      <name val="Arial"/>
    </font>
    <font>
      <b/>
      <sz val="12.0"/>
      <color rgb="FFFFFFFF"/>
      <name val="Arial"/>
    </font>
    <font>
      <color rgb="FFD9D9D9"/>
      <name val="Arial"/>
    </font>
    <font>
      <color rgb="FF000000"/>
      <name val="Arial"/>
    </font>
    <font>
      <sz val="9.0"/>
      <color theme="1"/>
      <name val="Arial"/>
    </font>
    <font>
      <sz val="8.0"/>
      <color theme="1"/>
      <name val="Arial"/>
    </font>
    <font>
      <b/>
      <sz val="12.0"/>
      <color theme="1"/>
      <name val="Arial"/>
    </font>
    <font>
      <sz val="12.0"/>
      <color rgb="FFFFFFFF"/>
      <name val="Arial"/>
    </font>
    <font>
      <sz val="12.0"/>
      <color theme="4"/>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7" numFmtId="0" xfId="0" applyAlignment="1" applyFont="1">
      <alignment readingOrder="0" shrinkToFit="0" wrapText="1"/>
    </xf>
    <xf borderId="0" fillId="0" fontId="4" numFmtId="0" xfId="0" applyAlignment="1" applyFont="1">
      <alignment shrinkToFit="0" wrapText="1"/>
    </xf>
    <xf borderId="0" fillId="0" fontId="7"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Alignment="1" applyFont="1">
      <alignment shrinkToFit="0" wrapText="1"/>
    </xf>
    <xf borderId="0" fillId="0" fontId="10" numFmtId="0" xfId="0" applyAlignment="1" applyFont="1">
      <alignment shrinkToFit="0" wrapText="1"/>
    </xf>
    <xf borderId="0" fillId="3" fontId="1" numFmtId="0" xfId="0" applyAlignment="1" applyFill="1" applyFont="1">
      <alignment readingOrder="0"/>
    </xf>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4" fontId="4" numFmtId="0" xfId="0" applyAlignment="1" applyBorder="1" applyFont="1">
      <alignment shrinkToFit="0" wrapText="1"/>
    </xf>
    <xf borderId="2" fillId="0" fontId="4" numFmtId="0" xfId="0" applyAlignment="1" applyBorder="1" applyFont="1">
      <alignment readingOrder="0"/>
    </xf>
    <xf borderId="0" fillId="0" fontId="12" numFmtId="0" xfId="0" applyAlignment="1" applyFont="1">
      <alignment shrinkToFit="0" wrapText="1"/>
    </xf>
    <xf borderId="0" fillId="0" fontId="13" numFmtId="0" xfId="0" applyAlignment="1" applyFont="1">
      <alignment shrinkToFit="0" wrapText="1"/>
    </xf>
    <xf borderId="2" fillId="0" fontId="4" numFmtId="0" xfId="0" applyAlignment="1" applyBorder="1" applyFont="1">
      <alignment readingOrder="0" shrinkToFit="0" vertical="bottom" wrapText="1"/>
    </xf>
    <xf borderId="0" fillId="0" fontId="4" numFmtId="0" xfId="0" applyAlignment="1" applyFont="1">
      <alignment horizontal="left" shrinkToFit="0" vertical="center" wrapText="1"/>
    </xf>
    <xf borderId="0" fillId="0" fontId="5" numFmtId="0" xfId="0" applyAlignment="1" applyFont="1">
      <alignment shrinkToFit="0" wrapText="1"/>
    </xf>
    <xf borderId="0" fillId="0" fontId="14" numFmtId="0" xfId="0" applyFont="1"/>
    <xf borderId="2" fillId="0" fontId="15" numFmtId="0" xfId="0" applyAlignment="1" applyBorder="1" applyFont="1">
      <alignment readingOrder="0" vertical="bottom"/>
    </xf>
    <xf borderId="0" fillId="0" fontId="4" numFmtId="0" xfId="0" applyAlignment="1" applyFont="1">
      <alignment shrinkToFit="0" vertical="center" wrapText="1"/>
    </xf>
    <xf borderId="2" fillId="0" fontId="4" numFmtId="0" xfId="0" applyAlignment="1" applyBorder="1" applyFont="1">
      <alignment vertical="bottom"/>
    </xf>
    <xf borderId="0" fillId="0" fontId="16" numFmtId="0" xfId="0" applyFont="1"/>
    <xf borderId="1" fillId="0" fontId="4" numFmtId="0" xfId="0" applyAlignment="1" applyBorder="1" applyFont="1">
      <alignment shrinkToFit="0" wrapText="1"/>
    </xf>
    <xf borderId="0" fillId="0" fontId="13" numFmtId="0" xfId="0" applyFont="1"/>
    <xf borderId="0" fillId="5" fontId="17" numFmtId="0" xfId="0" applyAlignment="1" applyFill="1" applyFont="1">
      <alignment readingOrder="0"/>
    </xf>
    <xf borderId="1" fillId="4" fontId="4" numFmtId="0" xfId="0" applyBorder="1" applyFont="1"/>
    <xf borderId="2" fillId="4"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0" fontId="10" numFmtId="0" xfId="0" applyFont="1"/>
    <xf borderId="1" fillId="6" fontId="4" numFmtId="0" xfId="0" applyBorder="1" applyFill="1" applyFont="1"/>
    <xf borderId="2" fillId="6" fontId="4" numFmtId="0" xfId="0" applyBorder="1" applyFont="1"/>
    <xf borderId="1" fillId="7" fontId="4" numFmtId="0" xfId="0" applyBorder="1" applyFill="1" applyFont="1"/>
    <xf borderId="2" fillId="7" fontId="4" numFmtId="0" xfId="0" applyBorder="1" applyFont="1"/>
    <xf borderId="2" fillId="0" fontId="14" numFmtId="0" xfId="0" applyAlignment="1" applyBorder="1" applyFont="1">
      <alignment readingOrder="0"/>
    </xf>
    <xf borderId="11" fillId="0" fontId="8" numFmtId="0" xfId="0" applyBorder="1" applyFont="1"/>
    <xf borderId="12" fillId="0" fontId="8" numFmtId="0" xfId="0" applyBorder="1" applyFont="1"/>
    <xf borderId="2" fillId="0" fontId="14" numFmtId="0" xfId="0" applyBorder="1" applyFont="1"/>
    <xf borderId="0" fillId="0" fontId="18" numFmtId="0" xfId="0" applyFont="1"/>
    <xf borderId="5" fillId="0" fontId="4" numFmtId="0" xfId="0" applyBorder="1" applyFont="1"/>
    <xf borderId="5" fillId="0" fontId="4" numFmtId="0" xfId="0" applyAlignment="1" applyBorder="1" applyFont="1">
      <alignment readingOrder="0" shrinkToFit="0" wrapText="1"/>
    </xf>
    <xf borderId="5" fillId="0" fontId="4" numFmtId="0" xfId="0" applyAlignment="1" applyBorder="1" applyFont="1">
      <alignment horizontal="center" readingOrder="0" shrinkToFit="0" vertical="center" wrapText="1"/>
    </xf>
    <xf borderId="0" fillId="5" fontId="17" numFmtId="0" xfId="0" applyFont="1"/>
    <xf borderId="2" fillId="0" fontId="19" numFmtId="0" xfId="0" applyAlignment="1" applyBorder="1" applyFont="1">
      <alignment readingOrder="0"/>
    </xf>
    <xf borderId="1" fillId="0" fontId="4" numFmtId="0" xfId="0" applyAlignment="1" applyBorder="1" applyFont="1">
      <alignment readingOrder="0"/>
    </xf>
    <xf borderId="5" fillId="0" fontId="20" numFmtId="0" xfId="0" applyAlignment="1" applyBorder="1" applyFont="1">
      <alignment readingOrder="0" shrinkToFit="0" wrapText="1"/>
    </xf>
    <xf borderId="1" fillId="0" fontId="7" numFmtId="0" xfId="0" applyBorder="1" applyFont="1"/>
    <xf borderId="2" fillId="0" fontId="7" numFmtId="0" xfId="0" applyBorder="1" applyFont="1"/>
    <xf borderId="5" fillId="0" fontId="4" numFmtId="0" xfId="0" applyAlignment="1" applyBorder="1" applyFont="1">
      <alignment readingOrder="0" shrinkToFit="0" vertical="center" wrapText="1"/>
    </xf>
    <xf borderId="0" fillId="0" fontId="19" numFmtId="0" xfId="0" applyFont="1"/>
    <xf borderId="5" fillId="0" fontId="21" numFmtId="0" xfId="0" applyAlignment="1" applyBorder="1" applyFont="1">
      <alignment readingOrder="0" shrinkToFit="0" wrapText="1"/>
    </xf>
    <xf borderId="1" fillId="0" fontId="7" numFmtId="0" xfId="0" applyAlignment="1" applyBorder="1" applyFont="1">
      <alignment readingOrder="0"/>
    </xf>
    <xf borderId="0" fillId="0" fontId="7" numFmtId="0" xfId="0" applyAlignment="1" applyFont="1">
      <alignment horizontal="center"/>
    </xf>
    <xf borderId="5" fillId="0" fontId="4" numFmtId="0" xfId="0" applyAlignment="1" applyBorder="1" applyFont="1">
      <alignment horizontal="left" readingOrder="0" shrinkToFit="0" wrapText="1"/>
    </xf>
    <xf borderId="0" fillId="0" fontId="22" numFmtId="0" xfId="0" applyFont="1"/>
    <xf borderId="0" fillId="3" fontId="23" numFmtId="0" xfId="0" applyAlignment="1" applyFont="1">
      <alignment readingOrder="0"/>
    </xf>
    <xf borderId="0" fillId="0" fontId="24" numFmtId="0" xfId="0" applyFont="1"/>
    <xf borderId="0" fillId="0" fontId="25" numFmtId="0" xfId="0" applyAlignment="1" applyFont="1">
      <alignment shrinkToFit="0" wrapText="1"/>
    </xf>
    <xf borderId="0" fillId="0" fontId="25" numFmtId="0" xfId="0" applyFont="1"/>
    <xf borderId="1" fillId="6" fontId="25" numFmtId="0" xfId="0" applyAlignment="1" applyBorder="1" applyFont="1">
      <alignment shrinkToFit="0" wrapText="1"/>
    </xf>
    <xf borderId="1" fillId="6" fontId="25" numFmtId="0" xfId="0" applyBorder="1" applyFont="1"/>
    <xf borderId="1" fillId="0" fontId="4" numFmtId="0" xfId="0" applyAlignment="1" applyBorder="1" applyFont="1">
      <alignment readingOrder="0" shrinkToFit="0" wrapText="1"/>
    </xf>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xyDDaQy5jWArBz9M8"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38"/>
    <col customWidth="1" min="4" max="4" width="81.75"/>
    <col customWidth="1" min="5" max="5" width="19.25"/>
    <col customWidth="1" min="6" max="6" width="40.25"/>
  </cols>
  <sheetData>
    <row r="1" ht="15.75" customHeight="1"/>
    <row r="2" ht="15.75" customHeight="1">
      <c r="A2" s="1">
        <f>VALUE(LEFT(C4,FIND(" - ",C4)-1))</f>
        <v>970</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39.0" customHeight="1">
      <c r="B9" s="10">
        <v>1.0</v>
      </c>
      <c r="C9" s="11" t="s">
        <v>12</v>
      </c>
      <c r="D9" s="12" t="s">
        <v>13</v>
      </c>
      <c r="E9" s="12" t="s">
        <v>14</v>
      </c>
      <c r="F9" s="12" t="s">
        <v>15</v>
      </c>
      <c r="G9" s="12" t="s">
        <v>16</v>
      </c>
      <c r="H9" s="5">
        <v>2.0</v>
      </c>
    </row>
    <row r="10" ht="15.75" customHeight="1">
      <c r="B10" s="10">
        <v>2.0</v>
      </c>
      <c r="C10" s="11" t="s">
        <v>12</v>
      </c>
      <c r="D10" s="10" t="s">
        <v>13</v>
      </c>
      <c r="E10" s="12" t="s">
        <v>14</v>
      </c>
      <c r="F10" s="10" t="s">
        <v>17</v>
      </c>
      <c r="G10" s="10" t="s">
        <v>16</v>
      </c>
      <c r="H10" s="12">
        <v>2.0</v>
      </c>
    </row>
    <row r="11" ht="15.75" customHeight="1">
      <c r="B11" s="10">
        <v>3.0</v>
      </c>
      <c r="C11" s="11" t="s">
        <v>12</v>
      </c>
      <c r="D11" s="10" t="s">
        <v>13</v>
      </c>
      <c r="E11" s="12" t="s">
        <v>14</v>
      </c>
      <c r="F11" s="10" t="s">
        <v>18</v>
      </c>
      <c r="G11" s="10" t="s">
        <v>16</v>
      </c>
      <c r="H11" s="12">
        <v>2.0</v>
      </c>
    </row>
    <row r="12" ht="15.75" customHeight="1">
      <c r="B12" s="10">
        <v>4.0</v>
      </c>
      <c r="C12" s="11" t="s">
        <v>12</v>
      </c>
      <c r="D12" s="10" t="s">
        <v>13</v>
      </c>
      <c r="E12" s="12" t="s">
        <v>14</v>
      </c>
      <c r="F12" s="10" t="s">
        <v>19</v>
      </c>
      <c r="G12" s="10" t="s">
        <v>16</v>
      </c>
      <c r="H12" s="12">
        <v>2.0</v>
      </c>
    </row>
    <row r="13" ht="15.75" customHeight="1">
      <c r="B13" s="10">
        <v>5.0</v>
      </c>
      <c r="C13" s="11" t="s">
        <v>12</v>
      </c>
      <c r="D13" s="10" t="s">
        <v>13</v>
      </c>
      <c r="E13" s="12" t="s">
        <v>14</v>
      </c>
      <c r="F13" s="10" t="s">
        <v>20</v>
      </c>
      <c r="G13" s="10" t="s">
        <v>16</v>
      </c>
      <c r="H13" s="12">
        <v>2.0</v>
      </c>
    </row>
    <row r="14" ht="15.75" customHeight="1">
      <c r="B14" s="10">
        <v>6.0</v>
      </c>
      <c r="C14" s="11" t="s">
        <v>12</v>
      </c>
      <c r="D14" s="10" t="s">
        <v>13</v>
      </c>
      <c r="E14" s="12" t="s">
        <v>14</v>
      </c>
      <c r="F14" s="10" t="s">
        <v>21</v>
      </c>
      <c r="G14" s="10" t="s">
        <v>16</v>
      </c>
      <c r="H14" s="12">
        <v>2.0</v>
      </c>
    </row>
    <row r="15" ht="15.75" customHeight="1">
      <c r="B15" s="10">
        <v>7.0</v>
      </c>
      <c r="C15" s="11" t="s">
        <v>12</v>
      </c>
      <c r="D15" s="10" t="s">
        <v>13</v>
      </c>
      <c r="E15" s="12" t="s">
        <v>14</v>
      </c>
      <c r="F15" s="10" t="s">
        <v>22</v>
      </c>
      <c r="G15" s="10" t="s">
        <v>16</v>
      </c>
      <c r="H15" s="12">
        <v>2.0</v>
      </c>
    </row>
    <row r="16" ht="15.75" customHeight="1">
      <c r="B16" s="10">
        <v>8.0</v>
      </c>
      <c r="C16" s="11" t="s">
        <v>12</v>
      </c>
      <c r="D16" s="10" t="s">
        <v>13</v>
      </c>
      <c r="E16" s="10" t="s">
        <v>23</v>
      </c>
      <c r="F16" s="10" t="s">
        <v>24</v>
      </c>
      <c r="G16" s="10" t="s">
        <v>16</v>
      </c>
      <c r="H16" s="12">
        <v>3.0</v>
      </c>
    </row>
    <row r="17" ht="15.75" customHeight="1">
      <c r="B17" s="10">
        <v>9.0</v>
      </c>
      <c r="C17" s="11" t="s">
        <v>12</v>
      </c>
      <c r="D17" s="10" t="s">
        <v>13</v>
      </c>
      <c r="E17" s="10" t="s">
        <v>23</v>
      </c>
      <c r="F17" s="10" t="s">
        <v>25</v>
      </c>
      <c r="G17" s="10" t="s">
        <v>16</v>
      </c>
      <c r="H17" s="12">
        <v>3.0</v>
      </c>
    </row>
    <row r="18" ht="15.75" customHeight="1">
      <c r="B18" s="10">
        <v>10.0</v>
      </c>
      <c r="C18" s="11" t="s">
        <v>12</v>
      </c>
      <c r="D18" s="10" t="s">
        <v>13</v>
      </c>
      <c r="E18" s="10" t="s">
        <v>23</v>
      </c>
      <c r="F18" s="10" t="s">
        <v>26</v>
      </c>
      <c r="G18" s="10" t="s">
        <v>16</v>
      </c>
      <c r="H18" s="12">
        <v>3.0</v>
      </c>
    </row>
    <row r="19" ht="15.75" customHeight="1">
      <c r="B19" s="10">
        <v>11.0</v>
      </c>
      <c r="C19" s="11" t="s">
        <v>12</v>
      </c>
      <c r="D19" s="10" t="s">
        <v>13</v>
      </c>
      <c r="E19" s="10" t="s">
        <v>23</v>
      </c>
      <c r="F19" s="10" t="s">
        <v>27</v>
      </c>
      <c r="G19" s="10" t="s">
        <v>16</v>
      </c>
      <c r="H19" s="12">
        <v>3.0</v>
      </c>
    </row>
    <row r="20" ht="15.75" customHeight="1">
      <c r="B20" s="10">
        <v>12.0</v>
      </c>
      <c r="C20" s="11" t="s">
        <v>12</v>
      </c>
      <c r="D20" s="10" t="s">
        <v>13</v>
      </c>
      <c r="E20" s="10" t="s">
        <v>23</v>
      </c>
      <c r="F20" s="10" t="s">
        <v>28</v>
      </c>
      <c r="G20" s="10" t="s">
        <v>16</v>
      </c>
      <c r="H20" s="12">
        <v>3.0</v>
      </c>
    </row>
    <row r="21" ht="15.75" customHeight="1">
      <c r="B21" s="10">
        <v>13.0</v>
      </c>
      <c r="C21" s="11" t="s">
        <v>12</v>
      </c>
      <c r="D21" s="10" t="s">
        <v>13</v>
      </c>
      <c r="E21" s="10" t="s">
        <v>23</v>
      </c>
      <c r="F21" s="10" t="s">
        <v>29</v>
      </c>
      <c r="G21" s="10" t="s">
        <v>16</v>
      </c>
      <c r="H21" s="12">
        <v>3.0</v>
      </c>
    </row>
    <row r="22" ht="15.75" customHeight="1">
      <c r="B22" s="10">
        <v>14.0</v>
      </c>
      <c r="C22" s="11" t="s">
        <v>12</v>
      </c>
      <c r="D22" s="10" t="s">
        <v>13</v>
      </c>
      <c r="E22" s="10" t="s">
        <v>23</v>
      </c>
      <c r="F22" s="10" t="s">
        <v>30</v>
      </c>
      <c r="G22" s="10" t="s">
        <v>16</v>
      </c>
      <c r="H22" s="12">
        <v>3.0</v>
      </c>
    </row>
    <row r="23">
      <c r="B23" s="10">
        <v>15.0</v>
      </c>
      <c r="C23" s="11" t="s">
        <v>12</v>
      </c>
      <c r="D23" s="13" t="s">
        <v>31</v>
      </c>
      <c r="E23" s="13" t="s">
        <v>32</v>
      </c>
      <c r="F23" s="10" t="s">
        <v>33</v>
      </c>
      <c r="G23" s="10" t="s">
        <v>34</v>
      </c>
      <c r="H23" s="12">
        <v>4.0</v>
      </c>
    </row>
    <row r="24">
      <c r="B24" s="10">
        <v>16.0</v>
      </c>
      <c r="C24" s="11" t="s">
        <v>12</v>
      </c>
      <c r="D24" s="13" t="s">
        <v>31</v>
      </c>
      <c r="E24" s="13" t="s">
        <v>32</v>
      </c>
      <c r="F24" s="10" t="s">
        <v>35</v>
      </c>
      <c r="G24" s="10" t="s">
        <v>34</v>
      </c>
      <c r="H24" s="12">
        <v>4.0</v>
      </c>
    </row>
    <row r="25">
      <c r="B25" s="10">
        <v>17.0</v>
      </c>
      <c r="C25" s="11" t="s">
        <v>12</v>
      </c>
      <c r="D25" s="13" t="s">
        <v>31</v>
      </c>
      <c r="E25" s="13" t="s">
        <v>32</v>
      </c>
      <c r="F25" s="10" t="s">
        <v>36</v>
      </c>
      <c r="G25" s="10" t="s">
        <v>34</v>
      </c>
      <c r="H25" s="12">
        <v>4.0</v>
      </c>
    </row>
    <row r="26">
      <c r="B26" s="10">
        <v>18.0</v>
      </c>
      <c r="C26" s="11" t="s">
        <v>12</v>
      </c>
      <c r="D26" s="13" t="s">
        <v>31</v>
      </c>
      <c r="E26" s="13" t="s">
        <v>32</v>
      </c>
      <c r="F26" s="10" t="s">
        <v>37</v>
      </c>
      <c r="G26" s="10" t="s">
        <v>34</v>
      </c>
      <c r="H26" s="12">
        <v>4.0</v>
      </c>
    </row>
    <row r="27">
      <c r="B27" s="10">
        <v>19.0</v>
      </c>
      <c r="C27" s="11" t="s">
        <v>12</v>
      </c>
      <c r="D27" s="13" t="s">
        <v>31</v>
      </c>
      <c r="E27" s="13" t="s">
        <v>32</v>
      </c>
      <c r="F27" s="10" t="s">
        <v>38</v>
      </c>
      <c r="G27" s="10" t="s">
        <v>34</v>
      </c>
      <c r="H27" s="12">
        <v>4.0</v>
      </c>
    </row>
    <row r="28">
      <c r="B28" s="10">
        <v>20.0</v>
      </c>
      <c r="C28" s="11" t="s">
        <v>12</v>
      </c>
      <c r="D28" s="13" t="s">
        <v>31</v>
      </c>
      <c r="E28" s="13" t="s">
        <v>32</v>
      </c>
      <c r="F28" s="10" t="s">
        <v>39</v>
      </c>
      <c r="G28" s="10" t="s">
        <v>34</v>
      </c>
      <c r="H28" s="12">
        <v>4.0</v>
      </c>
    </row>
    <row r="29">
      <c r="B29" s="10">
        <v>21.0</v>
      </c>
      <c r="C29" s="11" t="s">
        <v>12</v>
      </c>
      <c r="D29" s="13" t="s">
        <v>31</v>
      </c>
      <c r="E29" s="13" t="s">
        <v>32</v>
      </c>
      <c r="F29" s="10" t="s">
        <v>40</v>
      </c>
      <c r="G29" s="10" t="s">
        <v>34</v>
      </c>
      <c r="H29" s="12">
        <v>4.0</v>
      </c>
    </row>
    <row r="30">
      <c r="B30" s="10">
        <v>22.0</v>
      </c>
      <c r="C30" s="11" t="s">
        <v>12</v>
      </c>
      <c r="D30" s="13" t="s">
        <v>31</v>
      </c>
      <c r="E30" s="13" t="s">
        <v>32</v>
      </c>
      <c r="F30" s="10" t="s">
        <v>41</v>
      </c>
      <c r="G30" s="10" t="s">
        <v>34</v>
      </c>
      <c r="H30" s="12">
        <v>4.0</v>
      </c>
    </row>
    <row r="31">
      <c r="B31" s="10">
        <v>23.0</v>
      </c>
      <c r="C31" s="11" t="s">
        <v>12</v>
      </c>
      <c r="D31" s="13" t="s">
        <v>31</v>
      </c>
      <c r="E31" s="13" t="s">
        <v>32</v>
      </c>
      <c r="F31" s="10" t="s">
        <v>42</v>
      </c>
      <c r="G31" s="10" t="s">
        <v>34</v>
      </c>
      <c r="H31" s="12">
        <v>4.0</v>
      </c>
    </row>
    <row r="32" ht="15.75" customHeight="1">
      <c r="B32" s="10">
        <v>24.0</v>
      </c>
      <c r="C32" s="11" t="s">
        <v>43</v>
      </c>
      <c r="D32" s="13" t="s">
        <v>31</v>
      </c>
      <c r="E32" s="13" t="s">
        <v>44</v>
      </c>
      <c r="F32" s="10" t="s">
        <v>45</v>
      </c>
      <c r="G32" s="10" t="s">
        <v>34</v>
      </c>
      <c r="H32" s="12">
        <v>5.0</v>
      </c>
    </row>
    <row r="33" ht="15.75" customHeight="1">
      <c r="B33" s="10">
        <v>25.0</v>
      </c>
      <c r="C33" s="11" t="s">
        <v>43</v>
      </c>
      <c r="D33" s="13" t="s">
        <v>31</v>
      </c>
      <c r="E33" s="13" t="s">
        <v>44</v>
      </c>
      <c r="F33" s="10" t="s">
        <v>46</v>
      </c>
      <c r="G33" s="10" t="s">
        <v>34</v>
      </c>
      <c r="H33" s="12">
        <v>5.0</v>
      </c>
    </row>
    <row r="34" ht="15.75" customHeight="1">
      <c r="B34" s="10">
        <v>26.0</v>
      </c>
      <c r="C34" s="11" t="s">
        <v>43</v>
      </c>
      <c r="D34" s="10" t="s">
        <v>31</v>
      </c>
      <c r="E34" s="13" t="s">
        <v>44</v>
      </c>
      <c r="F34" s="10" t="s">
        <v>47</v>
      </c>
      <c r="G34" s="10" t="s">
        <v>34</v>
      </c>
      <c r="H34" s="12">
        <v>5.0</v>
      </c>
    </row>
    <row r="35" ht="15.75" customHeight="1">
      <c r="B35" s="10">
        <v>27.0</v>
      </c>
      <c r="C35" s="11" t="s">
        <v>43</v>
      </c>
      <c r="D35" s="10" t="s">
        <v>31</v>
      </c>
      <c r="E35" s="13" t="s">
        <v>48</v>
      </c>
      <c r="F35" s="10" t="s">
        <v>49</v>
      </c>
      <c r="G35" s="10" t="s">
        <v>34</v>
      </c>
      <c r="H35" s="12">
        <v>5.0</v>
      </c>
    </row>
    <row r="36" ht="15.75" customHeight="1">
      <c r="B36" s="10">
        <v>28.0</v>
      </c>
      <c r="C36" s="11" t="s">
        <v>43</v>
      </c>
      <c r="D36" s="10" t="s">
        <v>31</v>
      </c>
      <c r="E36" s="10" t="s">
        <v>48</v>
      </c>
      <c r="F36" s="10" t="s">
        <v>50</v>
      </c>
      <c r="G36" s="10" t="s">
        <v>34</v>
      </c>
      <c r="H36" s="12">
        <v>5.0</v>
      </c>
    </row>
    <row r="37" ht="15.75" customHeight="1">
      <c r="B37" s="10">
        <v>29.0</v>
      </c>
      <c r="C37" s="11" t="s">
        <v>43</v>
      </c>
      <c r="D37" s="10" t="s">
        <v>31</v>
      </c>
      <c r="E37" s="10" t="s">
        <v>48</v>
      </c>
      <c r="F37" s="10" t="s">
        <v>51</v>
      </c>
      <c r="G37" s="10" t="s">
        <v>34</v>
      </c>
      <c r="H37" s="12">
        <v>5.0</v>
      </c>
    </row>
    <row r="38" ht="15.75" customHeight="1">
      <c r="B38" s="10">
        <v>30.0</v>
      </c>
      <c r="C38" s="11" t="s">
        <v>43</v>
      </c>
      <c r="D38" s="10" t="s">
        <v>31</v>
      </c>
      <c r="E38" s="10" t="s">
        <v>48</v>
      </c>
      <c r="F38" s="10" t="s">
        <v>52</v>
      </c>
      <c r="G38" s="10" t="s">
        <v>34</v>
      </c>
      <c r="H38" s="12">
        <v>5.0</v>
      </c>
    </row>
    <row r="39" ht="15.75" customHeight="1">
      <c r="B39" s="10">
        <v>31.0</v>
      </c>
      <c r="C39" s="14"/>
      <c r="H39" s="5"/>
    </row>
    <row r="40" ht="15.75" customHeight="1">
      <c r="B40" s="10">
        <v>32.0</v>
      </c>
      <c r="C40" s="14"/>
      <c r="H40" s="5"/>
    </row>
    <row r="41" ht="15.75" customHeight="1">
      <c r="B41" s="10">
        <v>33.0</v>
      </c>
      <c r="C41" s="14"/>
      <c r="H41" s="5"/>
    </row>
    <row r="42" ht="15.75" customHeight="1">
      <c r="B42" s="10">
        <v>34.0</v>
      </c>
      <c r="C42" s="14"/>
      <c r="H42" s="5"/>
    </row>
    <row r="43" ht="15.75" customHeight="1">
      <c r="B43" s="10">
        <v>35.0</v>
      </c>
      <c r="C43" s="14"/>
      <c r="H43" s="5"/>
    </row>
    <row r="44" ht="15.75" customHeight="1">
      <c r="B44" s="10">
        <v>36.0</v>
      </c>
      <c r="C44" s="14"/>
      <c r="H44" s="5"/>
    </row>
    <row r="45" ht="15.75" customHeight="1">
      <c r="B45" s="10">
        <v>37.0</v>
      </c>
      <c r="C45" s="14"/>
      <c r="H45" s="5"/>
    </row>
    <row r="46" ht="15.75" customHeight="1">
      <c r="B46" s="10">
        <v>38.0</v>
      </c>
      <c r="C46" s="14"/>
      <c r="H46" s="5"/>
    </row>
    <row r="47" ht="15.75" customHeight="1">
      <c r="B47" s="10">
        <v>39.0</v>
      </c>
      <c r="C47" s="14"/>
      <c r="H47" s="5"/>
    </row>
    <row r="48" ht="15.75" customHeight="1">
      <c r="B48" s="10">
        <v>40.0</v>
      </c>
      <c r="C48" s="14"/>
      <c r="H48" s="5"/>
    </row>
    <row r="49" ht="15.75" customHeight="1">
      <c r="B49" s="10">
        <v>41.0</v>
      </c>
      <c r="C49" s="14"/>
      <c r="H49" s="5"/>
    </row>
    <row r="50" ht="15.75" customHeight="1">
      <c r="B50" s="10">
        <v>42.0</v>
      </c>
      <c r="C50" s="14"/>
      <c r="H50" s="5"/>
    </row>
    <row r="51">
      <c r="B51" s="10">
        <v>43.0</v>
      </c>
      <c r="C51" s="11" t="s">
        <v>43</v>
      </c>
      <c r="D51" s="10" t="s">
        <v>31</v>
      </c>
      <c r="E51" s="10" t="s">
        <v>53</v>
      </c>
      <c r="F51" s="10" t="s">
        <v>54</v>
      </c>
      <c r="G51" s="10" t="s">
        <v>34</v>
      </c>
      <c r="H51" s="12">
        <v>6.0</v>
      </c>
    </row>
    <row r="52" ht="15.75" customHeight="1">
      <c r="B52" s="10">
        <v>44.0</v>
      </c>
      <c r="C52" s="11" t="s">
        <v>43</v>
      </c>
      <c r="D52" s="10" t="s">
        <v>31</v>
      </c>
      <c r="E52" s="10" t="s">
        <v>53</v>
      </c>
      <c r="F52" s="10" t="s">
        <v>55</v>
      </c>
      <c r="G52" s="10" t="s">
        <v>34</v>
      </c>
      <c r="H52" s="12">
        <v>6.0</v>
      </c>
    </row>
    <row r="53" ht="15.75" customHeight="1">
      <c r="B53" s="10">
        <v>45.0</v>
      </c>
      <c r="C53" s="11" t="s">
        <v>56</v>
      </c>
      <c r="D53" s="10" t="s">
        <v>31</v>
      </c>
      <c r="E53" s="10" t="s">
        <v>53</v>
      </c>
      <c r="F53" s="10" t="s">
        <v>57</v>
      </c>
      <c r="G53" s="10" t="s">
        <v>34</v>
      </c>
      <c r="H53" s="12">
        <v>6.0</v>
      </c>
    </row>
    <row r="54" ht="15.75" customHeight="1">
      <c r="B54" s="10">
        <v>46.0</v>
      </c>
      <c r="C54" s="11" t="s">
        <v>56</v>
      </c>
      <c r="D54" s="10" t="s">
        <v>31</v>
      </c>
      <c r="E54" s="10" t="s">
        <v>53</v>
      </c>
      <c r="F54" s="10" t="s">
        <v>58</v>
      </c>
      <c r="G54" s="10" t="s">
        <v>34</v>
      </c>
      <c r="H54" s="12">
        <v>6.0</v>
      </c>
    </row>
    <row r="55" ht="15.75" customHeight="1">
      <c r="B55" s="10">
        <v>47.0</v>
      </c>
      <c r="C55" s="11" t="s">
        <v>56</v>
      </c>
      <c r="D55" s="10" t="s">
        <v>31</v>
      </c>
      <c r="E55" s="10" t="s">
        <v>53</v>
      </c>
      <c r="F55" s="10" t="s">
        <v>59</v>
      </c>
      <c r="G55" s="10" t="s">
        <v>34</v>
      </c>
      <c r="H55" s="12">
        <v>6.0</v>
      </c>
    </row>
    <row r="56" ht="15.75" customHeight="1">
      <c r="B56" s="10">
        <v>48.0</v>
      </c>
      <c r="C56" s="11" t="s">
        <v>56</v>
      </c>
      <c r="D56" s="10" t="s">
        <v>31</v>
      </c>
      <c r="E56" s="10" t="s">
        <v>53</v>
      </c>
      <c r="F56" s="10" t="s">
        <v>60</v>
      </c>
      <c r="G56" s="10" t="s">
        <v>34</v>
      </c>
      <c r="H56" s="12">
        <v>6.0</v>
      </c>
    </row>
    <row r="57" ht="15.75" customHeight="1">
      <c r="B57" s="10">
        <v>49.0</v>
      </c>
      <c r="C57" s="11" t="s">
        <v>56</v>
      </c>
      <c r="D57" s="10" t="s">
        <v>31</v>
      </c>
      <c r="E57" s="10" t="s">
        <v>53</v>
      </c>
      <c r="F57" s="10" t="s">
        <v>61</v>
      </c>
      <c r="G57" s="10" t="s">
        <v>34</v>
      </c>
      <c r="H57" s="12">
        <v>6.0</v>
      </c>
    </row>
    <row r="58" ht="15.75" customHeight="1">
      <c r="B58" s="10">
        <v>50.0</v>
      </c>
      <c r="C58" s="11" t="s">
        <v>43</v>
      </c>
      <c r="D58" s="10" t="s">
        <v>31</v>
      </c>
      <c r="E58" s="10" t="s">
        <v>62</v>
      </c>
      <c r="F58" s="10" t="s">
        <v>63</v>
      </c>
      <c r="G58" s="10" t="s">
        <v>34</v>
      </c>
      <c r="H58" s="12">
        <v>6.0</v>
      </c>
    </row>
    <row r="59" ht="15.75" customHeight="1">
      <c r="B59" s="10">
        <v>51.0</v>
      </c>
      <c r="C59" s="11" t="s">
        <v>43</v>
      </c>
      <c r="D59" s="10" t="s">
        <v>31</v>
      </c>
      <c r="E59" s="10" t="s">
        <v>62</v>
      </c>
      <c r="F59" s="10" t="s">
        <v>64</v>
      </c>
      <c r="G59" s="10" t="s">
        <v>34</v>
      </c>
      <c r="H59" s="12">
        <v>6.0</v>
      </c>
    </row>
    <row r="60" ht="15.75" customHeight="1">
      <c r="B60" s="10">
        <v>52.0</v>
      </c>
      <c r="C60" s="11" t="s">
        <v>43</v>
      </c>
      <c r="D60" s="10" t="s">
        <v>31</v>
      </c>
      <c r="E60" s="10" t="s">
        <v>62</v>
      </c>
      <c r="F60" s="10" t="s">
        <v>65</v>
      </c>
      <c r="G60" s="10" t="s">
        <v>34</v>
      </c>
      <c r="H60" s="12">
        <v>6.0</v>
      </c>
    </row>
    <row r="61" ht="15.75" customHeight="1">
      <c r="B61" s="10">
        <v>53.0</v>
      </c>
      <c r="C61" s="11" t="s">
        <v>43</v>
      </c>
      <c r="D61" s="10" t="s">
        <v>31</v>
      </c>
      <c r="E61" s="10" t="s">
        <v>62</v>
      </c>
      <c r="F61" s="10" t="s">
        <v>66</v>
      </c>
      <c r="G61" s="10" t="s">
        <v>34</v>
      </c>
      <c r="H61" s="12">
        <v>6.0</v>
      </c>
    </row>
    <row r="62" ht="15.75" customHeight="1">
      <c r="B62" s="10">
        <v>54.0</v>
      </c>
      <c r="C62" s="11" t="s">
        <v>43</v>
      </c>
      <c r="D62" s="10" t="s">
        <v>31</v>
      </c>
      <c r="E62" s="10" t="s">
        <v>62</v>
      </c>
      <c r="F62" s="10" t="s">
        <v>67</v>
      </c>
      <c r="G62" s="10" t="s">
        <v>34</v>
      </c>
      <c r="H62" s="12">
        <v>6.0</v>
      </c>
    </row>
    <row r="63" ht="15.75" customHeight="1">
      <c r="B63" s="10">
        <v>55.0</v>
      </c>
      <c r="C63" s="11" t="s">
        <v>43</v>
      </c>
      <c r="D63" s="10" t="s">
        <v>31</v>
      </c>
      <c r="E63" s="10" t="s">
        <v>62</v>
      </c>
      <c r="F63" s="10" t="s">
        <v>68</v>
      </c>
      <c r="G63" s="10" t="s">
        <v>34</v>
      </c>
      <c r="H63" s="12">
        <v>6.0</v>
      </c>
    </row>
    <row r="64" ht="15.75" customHeight="1">
      <c r="B64" s="10">
        <v>56.0</v>
      </c>
      <c r="C64" s="11" t="s">
        <v>43</v>
      </c>
      <c r="D64" s="10" t="s">
        <v>31</v>
      </c>
      <c r="E64" s="10" t="s">
        <v>62</v>
      </c>
      <c r="F64" s="10" t="s">
        <v>69</v>
      </c>
      <c r="G64" s="10" t="s">
        <v>34</v>
      </c>
      <c r="H64" s="12">
        <v>6.0</v>
      </c>
    </row>
    <row r="65" ht="15.75" customHeight="1">
      <c r="B65" s="10">
        <v>57.0</v>
      </c>
      <c r="C65" s="11" t="s">
        <v>70</v>
      </c>
      <c r="D65" s="10" t="s">
        <v>71</v>
      </c>
      <c r="E65" s="10" t="s">
        <v>72</v>
      </c>
      <c r="F65" s="10" t="s">
        <v>73</v>
      </c>
      <c r="G65" s="10" t="s">
        <v>74</v>
      </c>
      <c r="H65" s="12">
        <v>7.0</v>
      </c>
    </row>
    <row r="66" ht="15.75" customHeight="1">
      <c r="B66" s="10">
        <v>58.0</v>
      </c>
      <c r="C66" s="11" t="s">
        <v>70</v>
      </c>
      <c r="D66" s="10" t="s">
        <v>71</v>
      </c>
      <c r="E66" s="10" t="s">
        <v>72</v>
      </c>
      <c r="F66" s="10" t="s">
        <v>75</v>
      </c>
      <c r="G66" s="10" t="s">
        <v>74</v>
      </c>
      <c r="H66" s="12">
        <v>7.0</v>
      </c>
    </row>
    <row r="67" ht="15.75" customHeight="1">
      <c r="B67" s="10">
        <v>59.0</v>
      </c>
      <c r="C67" s="11" t="s">
        <v>70</v>
      </c>
      <c r="D67" s="10" t="s">
        <v>71</v>
      </c>
      <c r="E67" s="10" t="s">
        <v>72</v>
      </c>
      <c r="F67" s="10" t="s">
        <v>76</v>
      </c>
      <c r="G67" s="10" t="s">
        <v>74</v>
      </c>
      <c r="H67" s="12">
        <v>7.0</v>
      </c>
    </row>
    <row r="68" ht="15.75" customHeight="1">
      <c r="B68" s="10">
        <v>60.0</v>
      </c>
      <c r="C68" s="11" t="s">
        <v>70</v>
      </c>
      <c r="D68" s="10" t="s">
        <v>71</v>
      </c>
      <c r="E68" s="10" t="s">
        <v>72</v>
      </c>
      <c r="F68" s="10" t="s">
        <v>77</v>
      </c>
      <c r="G68" s="10" t="s">
        <v>74</v>
      </c>
      <c r="H68" s="12"/>
    </row>
    <row r="69" ht="15.75" customHeight="1">
      <c r="B69" s="10">
        <v>61.0</v>
      </c>
      <c r="C69" s="11" t="s">
        <v>70</v>
      </c>
      <c r="D69" s="10" t="s">
        <v>71</v>
      </c>
      <c r="E69" s="10" t="s">
        <v>72</v>
      </c>
      <c r="F69" s="10" t="s">
        <v>78</v>
      </c>
      <c r="G69" s="10" t="s">
        <v>74</v>
      </c>
      <c r="H69" s="12">
        <v>7.0</v>
      </c>
    </row>
    <row r="70" ht="15.75" customHeight="1">
      <c r="B70" s="10">
        <v>62.0</v>
      </c>
      <c r="C70" s="11" t="s">
        <v>70</v>
      </c>
      <c r="D70" s="10" t="s">
        <v>71</v>
      </c>
      <c r="E70" s="10" t="s">
        <v>72</v>
      </c>
      <c r="F70" s="10" t="s">
        <v>79</v>
      </c>
      <c r="G70" s="10" t="s">
        <v>74</v>
      </c>
      <c r="H70" s="12">
        <v>7.0</v>
      </c>
    </row>
    <row r="71" ht="15.75" customHeight="1">
      <c r="B71" s="10">
        <v>63.0</v>
      </c>
      <c r="C71" s="11" t="s">
        <v>70</v>
      </c>
      <c r="D71" s="10" t="s">
        <v>71</v>
      </c>
      <c r="E71" s="10" t="s">
        <v>72</v>
      </c>
      <c r="F71" s="10" t="s">
        <v>80</v>
      </c>
      <c r="G71" s="10" t="s">
        <v>74</v>
      </c>
      <c r="H71" s="12">
        <v>7.0</v>
      </c>
    </row>
    <row r="72" ht="15.75" customHeight="1">
      <c r="B72" s="10">
        <v>64.0</v>
      </c>
      <c r="C72" s="11" t="s">
        <v>70</v>
      </c>
      <c r="D72" s="10" t="s">
        <v>71</v>
      </c>
      <c r="E72" s="10" t="s">
        <v>72</v>
      </c>
      <c r="F72" s="10" t="s">
        <v>81</v>
      </c>
      <c r="G72" s="10" t="s">
        <v>74</v>
      </c>
      <c r="H72" s="12">
        <v>7.0</v>
      </c>
    </row>
    <row r="73" ht="15.75" customHeight="1">
      <c r="B73" s="10">
        <v>65.0</v>
      </c>
      <c r="C73" s="11" t="s">
        <v>56</v>
      </c>
      <c r="D73" s="10" t="s">
        <v>71</v>
      </c>
      <c r="E73" s="10" t="s">
        <v>82</v>
      </c>
      <c r="F73" s="10" t="s">
        <v>83</v>
      </c>
      <c r="G73" s="10" t="s">
        <v>74</v>
      </c>
      <c r="H73" s="12">
        <v>8.0</v>
      </c>
    </row>
    <row r="74" ht="15.75" customHeight="1">
      <c r="B74" s="10">
        <v>66.0</v>
      </c>
      <c r="C74" s="11" t="s">
        <v>56</v>
      </c>
      <c r="D74" s="10" t="s">
        <v>71</v>
      </c>
      <c r="E74" s="10" t="s">
        <v>82</v>
      </c>
      <c r="F74" s="10" t="s">
        <v>84</v>
      </c>
      <c r="G74" s="10" t="s">
        <v>74</v>
      </c>
      <c r="H74" s="12">
        <v>8.0</v>
      </c>
    </row>
    <row r="75" ht="15.75" customHeight="1">
      <c r="B75" s="10">
        <v>67.0</v>
      </c>
      <c r="C75" s="11" t="s">
        <v>56</v>
      </c>
      <c r="D75" s="10" t="s">
        <v>71</v>
      </c>
      <c r="E75" s="10" t="s">
        <v>82</v>
      </c>
      <c r="F75" s="10" t="s">
        <v>85</v>
      </c>
      <c r="G75" s="10" t="s">
        <v>74</v>
      </c>
      <c r="H75" s="12">
        <v>8.0</v>
      </c>
    </row>
    <row r="76" ht="15.75" customHeight="1">
      <c r="B76" s="10">
        <v>68.0</v>
      </c>
      <c r="C76" s="11" t="s">
        <v>56</v>
      </c>
      <c r="D76" s="10" t="s">
        <v>71</v>
      </c>
      <c r="E76" s="10" t="s">
        <v>82</v>
      </c>
      <c r="F76" s="10" t="s">
        <v>86</v>
      </c>
      <c r="G76" s="10" t="s">
        <v>74</v>
      </c>
      <c r="H76" s="12">
        <v>8.0</v>
      </c>
    </row>
    <row r="77" ht="15.75" customHeight="1">
      <c r="B77" s="10">
        <v>69.0</v>
      </c>
      <c r="C77" s="11" t="s">
        <v>56</v>
      </c>
      <c r="D77" s="10" t="s">
        <v>71</v>
      </c>
      <c r="E77" s="10" t="s">
        <v>82</v>
      </c>
      <c r="F77" s="10" t="s">
        <v>87</v>
      </c>
      <c r="G77" s="10" t="s">
        <v>74</v>
      </c>
      <c r="H77" s="12">
        <v>8.0</v>
      </c>
    </row>
    <row r="78" ht="15.75" customHeight="1">
      <c r="B78" s="10">
        <v>70.0</v>
      </c>
      <c r="C78" s="11" t="s">
        <v>56</v>
      </c>
      <c r="D78" s="10" t="s">
        <v>71</v>
      </c>
      <c r="E78" s="10" t="s">
        <v>82</v>
      </c>
      <c r="F78" s="10" t="s">
        <v>88</v>
      </c>
      <c r="G78" s="10" t="s">
        <v>74</v>
      </c>
      <c r="H78" s="12">
        <v>8.0</v>
      </c>
    </row>
    <row r="79" ht="15.75" customHeight="1">
      <c r="B79" s="10">
        <v>71.0</v>
      </c>
      <c r="C79" s="11" t="s">
        <v>89</v>
      </c>
      <c r="D79" s="10" t="s">
        <v>71</v>
      </c>
      <c r="E79" s="10" t="s">
        <v>90</v>
      </c>
      <c r="F79" s="10" t="s">
        <v>91</v>
      </c>
      <c r="G79" s="10" t="s">
        <v>92</v>
      </c>
      <c r="H79" s="12">
        <v>9.0</v>
      </c>
    </row>
    <row r="80" ht="15.75" customHeight="1">
      <c r="B80" s="10">
        <v>72.0</v>
      </c>
      <c r="C80" s="11" t="s">
        <v>89</v>
      </c>
      <c r="D80" s="10" t="s">
        <v>71</v>
      </c>
      <c r="E80" s="10" t="s">
        <v>90</v>
      </c>
      <c r="F80" s="10" t="s">
        <v>93</v>
      </c>
      <c r="G80" s="10" t="s">
        <v>92</v>
      </c>
      <c r="H80" s="12">
        <v>9.0</v>
      </c>
    </row>
    <row r="81" ht="15.75" customHeight="1">
      <c r="B81" s="10">
        <v>73.0</v>
      </c>
      <c r="C81" s="11" t="s">
        <v>89</v>
      </c>
      <c r="D81" s="10" t="s">
        <v>71</v>
      </c>
      <c r="E81" s="10" t="s">
        <v>90</v>
      </c>
      <c r="F81" s="10" t="s">
        <v>94</v>
      </c>
      <c r="G81" s="10" t="s">
        <v>92</v>
      </c>
      <c r="H81" s="12">
        <v>9.0</v>
      </c>
    </row>
    <row r="82" ht="15.75" customHeight="1">
      <c r="B82" s="10">
        <v>74.0</v>
      </c>
      <c r="C82" s="11" t="s">
        <v>89</v>
      </c>
      <c r="D82" s="10" t="s">
        <v>71</v>
      </c>
      <c r="E82" s="10" t="s">
        <v>90</v>
      </c>
      <c r="F82" s="10" t="s">
        <v>95</v>
      </c>
      <c r="G82" s="10" t="s">
        <v>92</v>
      </c>
      <c r="H82" s="12">
        <v>9.0</v>
      </c>
    </row>
    <row r="83" ht="15.75" customHeight="1">
      <c r="B83" s="10">
        <v>75.0</v>
      </c>
      <c r="C83" s="11" t="s">
        <v>89</v>
      </c>
      <c r="D83" s="10" t="s">
        <v>71</v>
      </c>
      <c r="E83" s="10" t="s">
        <v>90</v>
      </c>
      <c r="F83" s="10" t="s">
        <v>96</v>
      </c>
      <c r="G83" s="10" t="s">
        <v>92</v>
      </c>
      <c r="H83" s="12">
        <v>9.0</v>
      </c>
    </row>
    <row r="84" ht="15.75" customHeight="1">
      <c r="B84" s="10">
        <v>76.0</v>
      </c>
      <c r="C84" s="11" t="s">
        <v>89</v>
      </c>
      <c r="D84" s="10" t="s">
        <v>71</v>
      </c>
      <c r="E84" s="10" t="s">
        <v>90</v>
      </c>
      <c r="F84" s="10" t="s">
        <v>97</v>
      </c>
      <c r="G84" s="10" t="s">
        <v>92</v>
      </c>
      <c r="H84" s="12">
        <v>9.0</v>
      </c>
    </row>
    <row r="85" ht="15.75" customHeight="1">
      <c r="B85" s="10">
        <v>77.0</v>
      </c>
      <c r="C85" s="11" t="s">
        <v>89</v>
      </c>
      <c r="D85" s="10" t="s">
        <v>71</v>
      </c>
      <c r="E85" s="10" t="s">
        <v>90</v>
      </c>
      <c r="F85" s="10" t="s">
        <v>98</v>
      </c>
      <c r="G85" s="10" t="s">
        <v>92</v>
      </c>
      <c r="H85" s="12">
        <v>9.0</v>
      </c>
    </row>
    <row r="86" ht="15.75" customHeight="1">
      <c r="B86" s="10">
        <v>78.0</v>
      </c>
      <c r="C86" s="11" t="s">
        <v>99</v>
      </c>
      <c r="D86" s="10" t="s">
        <v>71</v>
      </c>
      <c r="E86" s="10" t="s">
        <v>100</v>
      </c>
      <c r="F86" s="10" t="s">
        <v>101</v>
      </c>
      <c r="G86" s="10" t="s">
        <v>92</v>
      </c>
      <c r="H86" s="12">
        <v>11.0</v>
      </c>
    </row>
    <row r="87" ht="15.75" customHeight="1">
      <c r="B87" s="10">
        <v>79.0</v>
      </c>
      <c r="C87" s="11" t="s">
        <v>99</v>
      </c>
      <c r="D87" s="10" t="s">
        <v>71</v>
      </c>
      <c r="E87" s="10" t="s">
        <v>100</v>
      </c>
      <c r="F87" s="10" t="s">
        <v>102</v>
      </c>
      <c r="G87" s="10" t="s">
        <v>92</v>
      </c>
      <c r="H87" s="12">
        <v>11.0</v>
      </c>
    </row>
    <row r="88" ht="15.75" customHeight="1">
      <c r="B88" s="10">
        <v>80.0</v>
      </c>
      <c r="C88" s="11" t="s">
        <v>99</v>
      </c>
      <c r="D88" s="10" t="s">
        <v>71</v>
      </c>
      <c r="E88" s="10" t="s">
        <v>100</v>
      </c>
      <c r="F88" s="10" t="s">
        <v>103</v>
      </c>
      <c r="G88" s="10" t="s">
        <v>92</v>
      </c>
      <c r="H88" s="12">
        <v>11.0</v>
      </c>
    </row>
    <row r="89" ht="15.75" customHeight="1">
      <c r="B89" s="10">
        <v>81.0</v>
      </c>
      <c r="C89" s="11" t="s">
        <v>99</v>
      </c>
      <c r="D89" s="10" t="s">
        <v>71</v>
      </c>
      <c r="E89" s="10" t="s">
        <v>100</v>
      </c>
      <c r="F89" s="10" t="s">
        <v>104</v>
      </c>
      <c r="G89" s="10" t="s">
        <v>92</v>
      </c>
      <c r="H89" s="12">
        <v>11.0</v>
      </c>
    </row>
    <row r="90" ht="15.75" customHeight="1">
      <c r="B90" s="10">
        <v>82.0</v>
      </c>
      <c r="C90" s="11" t="s">
        <v>99</v>
      </c>
      <c r="D90" s="10" t="s">
        <v>71</v>
      </c>
      <c r="E90" s="10" t="s">
        <v>100</v>
      </c>
      <c r="F90" s="10" t="s">
        <v>105</v>
      </c>
      <c r="G90" s="10" t="s">
        <v>92</v>
      </c>
      <c r="H90" s="12">
        <v>11.0</v>
      </c>
    </row>
    <row r="91" ht="15.75" customHeight="1">
      <c r="B91" s="10">
        <v>83.0</v>
      </c>
      <c r="C91" s="11" t="s">
        <v>99</v>
      </c>
      <c r="D91" s="10" t="s">
        <v>71</v>
      </c>
      <c r="E91" s="10" t="s">
        <v>100</v>
      </c>
      <c r="F91" s="10" t="s">
        <v>106</v>
      </c>
      <c r="G91" s="10" t="s">
        <v>92</v>
      </c>
      <c r="H91" s="12">
        <v>11.0</v>
      </c>
    </row>
    <row r="92" ht="15.75" customHeight="1">
      <c r="B92" s="10">
        <v>84.0</v>
      </c>
      <c r="C92" s="11" t="s">
        <v>99</v>
      </c>
      <c r="D92" s="10" t="s">
        <v>71</v>
      </c>
      <c r="E92" s="10" t="s">
        <v>100</v>
      </c>
      <c r="F92" s="10" t="s">
        <v>107</v>
      </c>
      <c r="G92" s="10" t="s">
        <v>92</v>
      </c>
      <c r="H92" s="12">
        <v>11.0</v>
      </c>
    </row>
    <row r="93" ht="15.75" customHeight="1">
      <c r="B93" s="10">
        <v>85.0</v>
      </c>
      <c r="C93" s="11" t="s">
        <v>56</v>
      </c>
      <c r="D93" s="10" t="s">
        <v>71</v>
      </c>
      <c r="E93" s="10" t="s">
        <v>90</v>
      </c>
      <c r="F93" s="10" t="s">
        <v>108</v>
      </c>
      <c r="G93" s="10" t="s">
        <v>74</v>
      </c>
      <c r="H93" s="12">
        <v>9.0</v>
      </c>
    </row>
    <row r="94" ht="15.75" customHeight="1">
      <c r="B94" s="10">
        <v>86.0</v>
      </c>
      <c r="C94" s="11" t="s">
        <v>89</v>
      </c>
      <c r="D94" s="10" t="s">
        <v>71</v>
      </c>
      <c r="E94" s="10" t="s">
        <v>109</v>
      </c>
      <c r="F94" s="10" t="s">
        <v>110</v>
      </c>
      <c r="G94" s="10" t="s">
        <v>92</v>
      </c>
      <c r="H94" s="12">
        <v>10.0</v>
      </c>
    </row>
    <row r="95" ht="15.75" customHeight="1">
      <c r="B95" s="10">
        <v>87.0</v>
      </c>
      <c r="C95" s="11" t="s">
        <v>89</v>
      </c>
      <c r="D95" s="10" t="s">
        <v>71</v>
      </c>
      <c r="E95" s="10" t="s">
        <v>109</v>
      </c>
      <c r="F95" s="10" t="s">
        <v>111</v>
      </c>
      <c r="G95" s="10" t="s">
        <v>92</v>
      </c>
      <c r="H95" s="12">
        <v>10.0</v>
      </c>
    </row>
    <row r="96" ht="15.75" customHeight="1">
      <c r="B96" s="10">
        <v>88.0</v>
      </c>
      <c r="C96" s="11" t="s">
        <v>89</v>
      </c>
      <c r="D96" s="10" t="s">
        <v>71</v>
      </c>
      <c r="E96" s="10" t="s">
        <v>109</v>
      </c>
      <c r="F96" s="10" t="s">
        <v>112</v>
      </c>
      <c r="G96" s="10" t="s">
        <v>92</v>
      </c>
      <c r="H96" s="12">
        <v>10.0</v>
      </c>
    </row>
    <row r="97" ht="15.75" customHeight="1">
      <c r="B97" s="10">
        <v>89.0</v>
      </c>
      <c r="C97" s="11" t="s">
        <v>89</v>
      </c>
      <c r="D97" s="10" t="s">
        <v>71</v>
      </c>
      <c r="E97" s="10" t="s">
        <v>109</v>
      </c>
      <c r="F97" s="10" t="s">
        <v>113</v>
      </c>
      <c r="G97" s="10" t="s">
        <v>92</v>
      </c>
      <c r="H97" s="12">
        <v>10.0</v>
      </c>
    </row>
    <row r="98" ht="15.75" customHeight="1">
      <c r="B98" s="10">
        <v>90.0</v>
      </c>
      <c r="C98" s="11" t="s">
        <v>89</v>
      </c>
      <c r="D98" s="10" t="s">
        <v>71</v>
      </c>
      <c r="E98" s="10" t="s">
        <v>109</v>
      </c>
      <c r="F98" s="10" t="s">
        <v>114</v>
      </c>
      <c r="G98" s="10" t="s">
        <v>92</v>
      </c>
      <c r="H98" s="12">
        <v>10.0</v>
      </c>
    </row>
    <row r="99" ht="15.75" customHeight="1">
      <c r="B99" s="10">
        <v>91.0</v>
      </c>
      <c r="C99" s="11" t="s">
        <v>89</v>
      </c>
      <c r="D99" s="10" t="s">
        <v>71</v>
      </c>
      <c r="E99" s="10" t="s">
        <v>109</v>
      </c>
      <c r="F99" s="10" t="s">
        <v>115</v>
      </c>
      <c r="G99" s="10" t="s">
        <v>92</v>
      </c>
      <c r="H99" s="12">
        <v>10.0</v>
      </c>
    </row>
    <row r="100" ht="15.75" customHeight="1">
      <c r="B100" s="10">
        <v>92.0</v>
      </c>
      <c r="C100" s="11" t="s">
        <v>89</v>
      </c>
      <c r="D100" s="10" t="s">
        <v>71</v>
      </c>
      <c r="E100" s="10" t="s">
        <v>109</v>
      </c>
      <c r="F100" s="10" t="s">
        <v>116</v>
      </c>
      <c r="G100" s="10" t="s">
        <v>92</v>
      </c>
      <c r="H100" s="12">
        <v>10.0</v>
      </c>
    </row>
    <row r="101" ht="15.75" customHeight="1">
      <c r="B101" s="10">
        <v>93.0</v>
      </c>
      <c r="C101" s="14"/>
      <c r="H101" s="5"/>
    </row>
    <row r="102" ht="15.75" customHeight="1">
      <c r="C102" s="14"/>
      <c r="H102" s="5"/>
    </row>
    <row r="103" ht="15.75" customHeight="1">
      <c r="C103" s="14"/>
    </row>
    <row r="104" ht="15.75" customHeight="1">
      <c r="C104" s="14"/>
    </row>
    <row r="105" ht="15.75" customHeight="1">
      <c r="C105" s="14"/>
    </row>
    <row r="106" ht="15.75" customHeight="1">
      <c r="C106" s="14"/>
    </row>
    <row r="107" ht="15.75" customHeight="1">
      <c r="C107" s="14"/>
    </row>
    <row r="108" ht="15.75" customHeight="1">
      <c r="C108" s="14"/>
    </row>
    <row r="109" ht="15.75" customHeight="1">
      <c r="C109" s="14"/>
    </row>
    <row r="110" ht="15.75" customHeight="1">
      <c r="C110" s="14"/>
    </row>
    <row r="111" ht="15.75" customHeight="1">
      <c r="C111" s="14"/>
    </row>
    <row r="112" ht="15.75" customHeight="1">
      <c r="C112" s="14"/>
    </row>
    <row r="113" ht="15.75" customHeight="1">
      <c r="C113" s="14"/>
    </row>
    <row r="114" ht="15.75" customHeight="1">
      <c r="C114" s="14"/>
    </row>
    <row r="115" ht="15.75" customHeight="1">
      <c r="C115" s="14"/>
    </row>
    <row r="116" ht="15.75" customHeight="1">
      <c r="C116" s="14"/>
    </row>
    <row r="117" ht="15.75" customHeight="1">
      <c r="C117" s="14"/>
    </row>
    <row r="118" ht="15.75" customHeight="1">
      <c r="C118" s="14"/>
    </row>
    <row r="119" ht="15.75" customHeight="1">
      <c r="C119" s="14"/>
    </row>
    <row r="120" ht="15.75" customHeight="1">
      <c r="C120" s="14"/>
    </row>
    <row r="121" ht="15.75" customHeight="1">
      <c r="C121" s="14"/>
    </row>
    <row r="122" ht="15.75" customHeight="1">
      <c r="C122" s="14"/>
    </row>
    <row r="123" ht="15.75" customHeight="1">
      <c r="C123" s="14"/>
    </row>
    <row r="124" ht="15.75" customHeight="1">
      <c r="C124" s="14"/>
    </row>
    <row r="125" ht="15.75" customHeight="1">
      <c r="C125" s="14"/>
    </row>
    <row r="126" ht="15.75" customHeight="1">
      <c r="C126" s="14"/>
    </row>
    <row r="127" ht="15.75" customHeight="1">
      <c r="C127" s="14"/>
    </row>
    <row r="128" ht="15.75" customHeight="1">
      <c r="C128" s="14"/>
    </row>
    <row r="129" ht="15.75" customHeight="1">
      <c r="C129" s="14"/>
    </row>
    <row r="130" ht="15.75" customHeight="1">
      <c r="C130" s="14"/>
    </row>
    <row r="131" ht="15.75" customHeight="1">
      <c r="C131" s="14"/>
    </row>
    <row r="132" ht="15.75" customHeight="1">
      <c r="C132" s="14"/>
    </row>
    <row r="133" ht="15.75" customHeight="1">
      <c r="C133" s="14"/>
    </row>
    <row r="134" ht="15.75" customHeight="1">
      <c r="C134" s="14"/>
    </row>
    <row r="135" ht="15.75" customHeight="1">
      <c r="C135" s="14"/>
    </row>
    <row r="136" ht="15.75" customHeight="1">
      <c r="C136" s="14"/>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38"/>
    <col customWidth="1" min="7" max="7" width="14.88"/>
  </cols>
  <sheetData>
    <row r="1" ht="15.75" customHeight="1">
      <c r="A1" s="15"/>
    </row>
    <row r="2" ht="15.75" customHeight="1">
      <c r="B2" s="2" t="s">
        <v>0</v>
      </c>
    </row>
    <row r="3" ht="15.75" customHeight="1"/>
    <row r="4" ht="15.75" customHeight="1">
      <c r="B4" s="16" t="s">
        <v>1</v>
      </c>
      <c r="C4" s="17" t="str">
        <f>'Diseño'!C4</f>
        <v>970 - Redes de Computadoras 1</v>
      </c>
      <c r="D4" s="18"/>
      <c r="E4" s="18"/>
      <c r="F4" s="18"/>
      <c r="G4" s="19"/>
    </row>
    <row r="5" ht="15.75" customHeight="1">
      <c r="B5" s="20" t="s">
        <v>11</v>
      </c>
      <c r="C5" s="17">
        <v>1.0</v>
      </c>
      <c r="D5" s="18"/>
      <c r="E5" s="18"/>
      <c r="F5" s="18"/>
      <c r="G5" s="19"/>
    </row>
    <row r="6" ht="15.75" customHeight="1">
      <c r="B6" s="20" t="s">
        <v>117</v>
      </c>
      <c r="C6" s="17">
        <f>B15+B22+B29+B41+B47+C48</f>
        <v>100</v>
      </c>
      <c r="D6" s="18"/>
      <c r="E6" s="18"/>
      <c r="F6" s="18"/>
      <c r="G6" s="19"/>
    </row>
    <row r="7" ht="15.75" customHeight="1">
      <c r="A7" s="15"/>
    </row>
    <row r="8" ht="15.75" customHeight="1">
      <c r="A8" s="15"/>
    </row>
    <row r="9" ht="15.75" customHeight="1">
      <c r="A9" s="21" t="s">
        <v>118</v>
      </c>
      <c r="G9" s="22" t="s">
        <v>119</v>
      </c>
      <c r="H9" s="23">
        <v>10.0</v>
      </c>
    </row>
    <row r="10" ht="15.75" customHeight="1">
      <c r="A10" s="15"/>
      <c r="G10" s="24" t="s">
        <v>120</v>
      </c>
    </row>
    <row r="11" ht="51.0" customHeight="1">
      <c r="A11" s="25" t="s">
        <v>121</v>
      </c>
      <c r="B11" s="26" t="s">
        <v>122</v>
      </c>
      <c r="C11" s="18"/>
      <c r="D11" s="18"/>
      <c r="E11" s="18"/>
      <c r="F11" s="18"/>
      <c r="G11" s="18"/>
      <c r="H11" s="19"/>
    </row>
    <row r="12" ht="15.75" customHeight="1">
      <c r="A12" s="25" t="s">
        <v>123</v>
      </c>
      <c r="B12" s="26" t="s">
        <v>124</v>
      </c>
      <c r="C12" s="18"/>
      <c r="D12" s="18"/>
      <c r="E12" s="18"/>
      <c r="F12" s="18"/>
      <c r="G12" s="18"/>
      <c r="H12" s="19"/>
      <c r="K12" s="27" t="s">
        <v>125</v>
      </c>
    </row>
    <row r="13" ht="15.75" customHeight="1">
      <c r="A13" s="28" t="s">
        <v>126</v>
      </c>
      <c r="B13" s="29" t="s">
        <v>127</v>
      </c>
      <c r="C13" s="18"/>
      <c r="D13" s="18"/>
      <c r="E13" s="18"/>
      <c r="F13" s="18"/>
      <c r="G13" s="18"/>
      <c r="H13" s="19"/>
    </row>
    <row r="14" ht="15.75" customHeight="1">
      <c r="A14" s="28" t="s">
        <v>128</v>
      </c>
      <c r="B14" s="29" t="s">
        <v>129</v>
      </c>
      <c r="C14" s="18"/>
      <c r="D14" s="18"/>
      <c r="E14" s="18"/>
      <c r="F14" s="18"/>
      <c r="G14" s="18"/>
      <c r="H14" s="19"/>
    </row>
    <row r="15" ht="15.75" customHeight="1">
      <c r="A15" s="28" t="s">
        <v>130</v>
      </c>
      <c r="B15" s="29">
        <v>10.0</v>
      </c>
      <c r="C15" s="18"/>
      <c r="D15" s="18"/>
      <c r="E15" s="18"/>
      <c r="F15" s="18"/>
      <c r="G15" s="18"/>
      <c r="H15" s="19"/>
    </row>
    <row r="16" ht="15.75" customHeight="1">
      <c r="A16" s="15"/>
    </row>
    <row r="17" ht="15.75" customHeight="1">
      <c r="A17" s="15"/>
    </row>
    <row r="18" ht="15.75" customHeight="1">
      <c r="A18" s="30" t="s">
        <v>131</v>
      </c>
      <c r="G18" s="22" t="s">
        <v>119</v>
      </c>
      <c r="H18" s="23">
        <v>15.0</v>
      </c>
    </row>
    <row r="19" ht="15.75" customHeight="1">
      <c r="A19" s="15"/>
      <c r="G19" s="24" t="s">
        <v>132</v>
      </c>
    </row>
    <row r="20" ht="54.75" customHeight="1">
      <c r="A20" s="25" t="s">
        <v>133</v>
      </c>
      <c r="B20" s="26" t="s">
        <v>134</v>
      </c>
      <c r="C20" s="18"/>
      <c r="D20" s="18"/>
      <c r="E20" s="18"/>
      <c r="F20" s="18"/>
      <c r="G20" s="18"/>
      <c r="H20" s="19"/>
      <c r="K20" s="27" t="s">
        <v>135</v>
      </c>
    </row>
    <row r="21" ht="15.75" customHeight="1">
      <c r="A21" s="25" t="s">
        <v>136</v>
      </c>
      <c r="B21" s="26" t="s">
        <v>137</v>
      </c>
      <c r="C21" s="18"/>
      <c r="D21" s="18"/>
      <c r="E21" s="18"/>
      <c r="F21" s="18"/>
      <c r="G21" s="18"/>
      <c r="H21" s="19"/>
    </row>
    <row r="22" ht="15.75" customHeight="1">
      <c r="A22" s="28" t="s">
        <v>130</v>
      </c>
      <c r="B22" s="29">
        <v>20.0</v>
      </c>
      <c r="C22" s="18"/>
      <c r="D22" s="18"/>
      <c r="E22" s="18"/>
      <c r="F22" s="18"/>
      <c r="G22" s="18"/>
      <c r="H22" s="19"/>
    </row>
    <row r="23" ht="15.75" customHeight="1">
      <c r="A23" s="15"/>
    </row>
    <row r="24" ht="15.75" customHeight="1">
      <c r="A24" s="15"/>
    </row>
    <row r="25" ht="15.75" customHeight="1">
      <c r="A25" s="30" t="s">
        <v>138</v>
      </c>
      <c r="G25" s="31" t="s">
        <v>119</v>
      </c>
      <c r="H25" s="23">
        <v>30.0</v>
      </c>
    </row>
    <row r="26" ht="15.75" customHeight="1">
      <c r="A26" s="15"/>
      <c r="G26" s="24" t="s">
        <v>139</v>
      </c>
      <c r="H26" s="24"/>
      <c r="I26" s="24"/>
      <c r="J26" s="24"/>
    </row>
    <row r="27" ht="39.75" customHeight="1">
      <c r="A27" s="25" t="s">
        <v>140</v>
      </c>
      <c r="B27" s="32" t="s">
        <v>141</v>
      </c>
      <c r="C27" s="18"/>
      <c r="D27" s="18"/>
      <c r="E27" s="18"/>
      <c r="F27" s="18"/>
      <c r="G27" s="18"/>
      <c r="H27" s="19"/>
      <c r="K27" s="33" t="s">
        <v>142</v>
      </c>
    </row>
    <row r="28" ht="69.75" customHeight="1">
      <c r="A28" s="25" t="s">
        <v>143</v>
      </c>
      <c r="B28" s="32" t="s">
        <v>144</v>
      </c>
      <c r="C28" s="18"/>
      <c r="D28" s="18"/>
      <c r="E28" s="18"/>
      <c r="F28" s="18"/>
      <c r="G28" s="18"/>
      <c r="H28" s="19"/>
    </row>
    <row r="29" ht="15.75" customHeight="1">
      <c r="A29" s="28" t="s">
        <v>130</v>
      </c>
      <c r="B29" s="29">
        <v>30.0</v>
      </c>
      <c r="C29" s="18"/>
      <c r="D29" s="18"/>
      <c r="E29" s="18"/>
      <c r="F29" s="18"/>
      <c r="G29" s="18"/>
      <c r="H29" s="19"/>
    </row>
    <row r="30" ht="15.75" customHeight="1">
      <c r="A30" s="15"/>
    </row>
    <row r="31" ht="15.75" customHeight="1">
      <c r="A31" s="15"/>
    </row>
    <row r="32" ht="15.75" customHeight="1">
      <c r="A32" s="30" t="s">
        <v>145</v>
      </c>
      <c r="G32" s="31" t="s">
        <v>119</v>
      </c>
      <c r="H32" s="23">
        <v>5.0</v>
      </c>
    </row>
    <row r="33" ht="32.25" customHeight="1">
      <c r="A33" s="34" t="s">
        <v>146</v>
      </c>
      <c r="G33" s="6" t="s">
        <v>147</v>
      </c>
      <c r="H33" s="35"/>
      <c r="I33" s="35"/>
    </row>
    <row r="34" ht="37.5" customHeight="1">
      <c r="A34" s="25" t="s">
        <v>148</v>
      </c>
      <c r="B34" s="36" t="s">
        <v>149</v>
      </c>
      <c r="C34" s="18"/>
      <c r="D34" s="18"/>
      <c r="E34" s="18"/>
      <c r="F34" s="18"/>
      <c r="G34" s="18"/>
      <c r="H34" s="19"/>
      <c r="K34" s="37" t="s">
        <v>150</v>
      </c>
    </row>
    <row r="35" ht="35.25" customHeight="1">
      <c r="A35" s="25" t="s">
        <v>151</v>
      </c>
      <c r="B35" s="32" t="s">
        <v>152</v>
      </c>
      <c r="C35" s="18"/>
      <c r="D35" s="18"/>
      <c r="E35" s="18"/>
      <c r="F35" s="18"/>
      <c r="G35" s="18"/>
      <c r="H35" s="19"/>
    </row>
    <row r="36" ht="15.75" customHeight="1">
      <c r="A36" s="28" t="s">
        <v>130</v>
      </c>
      <c r="B36" s="29">
        <v>5.0</v>
      </c>
      <c r="C36" s="18"/>
      <c r="D36" s="18"/>
      <c r="E36" s="18"/>
      <c r="F36" s="18"/>
      <c r="G36" s="18"/>
      <c r="H36" s="19"/>
    </row>
    <row r="37" ht="15.75" customHeight="1">
      <c r="A37" s="15"/>
    </row>
    <row r="38" ht="15.75" customHeight="1">
      <c r="A38" s="15"/>
    </row>
    <row r="39" ht="15.75" customHeight="1">
      <c r="A39" s="30" t="s">
        <v>153</v>
      </c>
      <c r="G39" s="31" t="s">
        <v>119</v>
      </c>
      <c r="H39" s="23">
        <v>25.0</v>
      </c>
    </row>
    <row r="40" ht="15.75" customHeight="1">
      <c r="A40" s="15"/>
      <c r="G40" s="24" t="s">
        <v>154</v>
      </c>
    </row>
    <row r="41" ht="15.75" customHeight="1">
      <c r="A41" s="28" t="s">
        <v>130</v>
      </c>
      <c r="B41" s="29">
        <v>25.0</v>
      </c>
      <c r="C41" s="18"/>
      <c r="D41" s="18"/>
      <c r="E41" s="18"/>
      <c r="F41" s="18"/>
      <c r="G41" s="18"/>
      <c r="H41" s="19"/>
    </row>
    <row r="42" ht="15.75" customHeight="1">
      <c r="A42" s="15"/>
    </row>
    <row r="43" ht="15.75" customHeight="1">
      <c r="A43" s="15"/>
    </row>
    <row r="44" ht="15.75" customHeight="1">
      <c r="A44" s="30" t="s">
        <v>155</v>
      </c>
      <c r="G44" s="31" t="s">
        <v>119</v>
      </c>
      <c r="H44" s="23">
        <v>15.0</v>
      </c>
    </row>
    <row r="45" ht="15.75" customHeight="1">
      <c r="A45" s="15"/>
      <c r="G45" s="24" t="s">
        <v>120</v>
      </c>
    </row>
    <row r="46" ht="15.75" customHeight="1">
      <c r="A46" s="25" t="s">
        <v>156</v>
      </c>
      <c r="B46" s="38"/>
      <c r="C46" s="18"/>
      <c r="D46" s="18"/>
      <c r="E46" s="18"/>
      <c r="F46" s="18"/>
      <c r="G46" s="18"/>
      <c r="H46" s="19"/>
    </row>
    <row r="47" ht="15.75" customHeight="1">
      <c r="A47" s="28" t="s">
        <v>130</v>
      </c>
      <c r="B47" s="29">
        <v>15.0</v>
      </c>
      <c r="C47" s="18"/>
      <c r="D47" s="18"/>
      <c r="E47" s="18"/>
      <c r="F47" s="18"/>
      <c r="G47" s="18"/>
      <c r="H47" s="19"/>
    </row>
    <row r="48" ht="15.75" customHeight="1">
      <c r="A48" s="15"/>
    </row>
    <row r="49" ht="15.75" customHeight="1">
      <c r="A49" s="15"/>
    </row>
    <row r="50" ht="15.75" customHeight="1">
      <c r="A50" s="15"/>
    </row>
    <row r="51" ht="15.75" customHeight="1">
      <c r="A51" s="15"/>
    </row>
    <row r="52" ht="15.75" customHeight="1">
      <c r="A52" s="15"/>
    </row>
    <row r="53" ht="15.75" customHeight="1">
      <c r="A53" s="15"/>
    </row>
    <row r="54" ht="15.75" customHeight="1">
      <c r="A54" s="15"/>
    </row>
    <row r="55" ht="15.75" customHeight="1">
      <c r="A55" s="15"/>
    </row>
    <row r="56" ht="15.75" customHeight="1">
      <c r="A56" s="15"/>
    </row>
    <row r="57" ht="15.75" customHeight="1">
      <c r="A57" s="15"/>
    </row>
    <row r="58" ht="15.75" customHeight="1">
      <c r="A58" s="15"/>
    </row>
    <row r="59" ht="15.75" customHeight="1">
      <c r="A59" s="15"/>
    </row>
    <row r="60" ht="15.75" customHeight="1">
      <c r="A60" s="15"/>
    </row>
    <row r="61" ht="15.75" customHeight="1">
      <c r="A61" s="15"/>
    </row>
    <row r="62" ht="15.75" customHeight="1">
      <c r="A62" s="15"/>
    </row>
    <row r="63" ht="15.75" customHeight="1">
      <c r="A63" s="15"/>
    </row>
    <row r="64" ht="15.75" customHeight="1">
      <c r="A64" s="15"/>
    </row>
    <row r="65" ht="15.75" customHeight="1">
      <c r="A65" s="15"/>
    </row>
    <row r="66" ht="15.75" customHeight="1">
      <c r="A66" s="15"/>
    </row>
    <row r="67" ht="15.75" customHeight="1">
      <c r="A67" s="15"/>
    </row>
    <row r="68" ht="15.75" customHeight="1">
      <c r="A68" s="15"/>
    </row>
    <row r="69" ht="15.75" customHeight="1">
      <c r="A69" s="15"/>
    </row>
    <row r="70" ht="15.75" customHeight="1">
      <c r="A70" s="15"/>
    </row>
    <row r="71" ht="15.75" customHeight="1">
      <c r="A71" s="15"/>
    </row>
    <row r="72" ht="15.75" customHeight="1">
      <c r="A72" s="15"/>
    </row>
    <row r="73" ht="15.75" customHeight="1">
      <c r="A73" s="15"/>
    </row>
    <row r="74" ht="15.75" customHeight="1">
      <c r="A74" s="15"/>
    </row>
    <row r="75" ht="15.75" customHeight="1">
      <c r="A75" s="15"/>
    </row>
    <row r="76" ht="15.75" customHeight="1">
      <c r="A76" s="15"/>
    </row>
    <row r="77" ht="15.75" customHeight="1">
      <c r="A77" s="15"/>
    </row>
    <row r="78" ht="15.75" customHeight="1">
      <c r="A78" s="15"/>
    </row>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A85" s="15"/>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c r="A92" s="15"/>
    </row>
    <row r="93" ht="15.75" customHeight="1">
      <c r="A93" s="15"/>
    </row>
    <row r="94" ht="15.75" customHeight="1">
      <c r="A94" s="15"/>
    </row>
    <row r="95" ht="15.75" customHeight="1">
      <c r="A95" s="15"/>
    </row>
    <row r="96" ht="15.75" customHeight="1">
      <c r="A96" s="15"/>
    </row>
    <row r="97" ht="15.75" customHeight="1">
      <c r="A97" s="15"/>
    </row>
    <row r="98" ht="15.75" customHeight="1">
      <c r="A98" s="15"/>
    </row>
    <row r="99" ht="15.75" customHeight="1">
      <c r="A99" s="15"/>
    </row>
    <row r="100" ht="15.75" customHeight="1">
      <c r="A100" s="15"/>
    </row>
    <row r="101" ht="15.75" customHeight="1">
      <c r="A101" s="15"/>
    </row>
    <row r="102" ht="15.75" customHeight="1">
      <c r="A102" s="15"/>
    </row>
    <row r="103" ht="15.75" customHeight="1">
      <c r="A103" s="15"/>
    </row>
    <row r="104" ht="15.75" customHeight="1">
      <c r="A104" s="15"/>
    </row>
    <row r="105" ht="15.75" customHeight="1">
      <c r="A105" s="15"/>
    </row>
    <row r="106" ht="15.75" customHeight="1">
      <c r="A106" s="15"/>
    </row>
    <row r="107" ht="15.75" customHeight="1">
      <c r="A107" s="15"/>
    </row>
    <row r="108" ht="15.75" customHeight="1">
      <c r="A108" s="15"/>
    </row>
    <row r="109" ht="15.75" customHeight="1">
      <c r="A109" s="15"/>
    </row>
    <row r="110" ht="15.75" customHeight="1">
      <c r="A110" s="15"/>
    </row>
    <row r="111" ht="15.75" customHeight="1">
      <c r="A111" s="15"/>
    </row>
    <row r="112" ht="15.75" customHeight="1">
      <c r="A112" s="15"/>
    </row>
    <row r="113" ht="15.75" customHeight="1">
      <c r="A113" s="15"/>
    </row>
    <row r="114" ht="15.75" customHeight="1">
      <c r="A114" s="15"/>
    </row>
    <row r="115" ht="15.75" customHeight="1">
      <c r="A115" s="15"/>
    </row>
    <row r="116" ht="15.75" customHeight="1">
      <c r="A116" s="15"/>
    </row>
    <row r="117" ht="15.75" customHeight="1">
      <c r="A117" s="15"/>
    </row>
    <row r="118" ht="15.75" customHeight="1">
      <c r="A118" s="15"/>
    </row>
    <row r="119" ht="15.75" customHeight="1">
      <c r="A119" s="15"/>
    </row>
    <row r="120" ht="15.75" customHeight="1">
      <c r="A120" s="15"/>
    </row>
    <row r="121" ht="15.75" customHeight="1">
      <c r="A121" s="15"/>
    </row>
    <row r="122" ht="15.75" customHeight="1">
      <c r="A122" s="15"/>
    </row>
    <row r="123" ht="15.75" customHeight="1">
      <c r="A123" s="15"/>
    </row>
    <row r="124" ht="15.75" customHeight="1">
      <c r="A124" s="15"/>
    </row>
    <row r="125" ht="15.75" customHeight="1">
      <c r="A125" s="15"/>
    </row>
    <row r="126" ht="15.75" customHeight="1">
      <c r="A126" s="15"/>
    </row>
    <row r="127" ht="15.75" customHeight="1">
      <c r="A127" s="15"/>
    </row>
    <row r="128" ht="15.75" customHeight="1">
      <c r="A128" s="15"/>
    </row>
    <row r="129" ht="15.75" customHeight="1">
      <c r="A129" s="15"/>
    </row>
    <row r="130" ht="15.75" customHeight="1">
      <c r="A130" s="15"/>
    </row>
    <row r="131" ht="15.75" customHeight="1">
      <c r="A131" s="15"/>
    </row>
    <row r="132" ht="15.75" customHeight="1">
      <c r="A132" s="15"/>
    </row>
    <row r="133" ht="15.75" customHeight="1">
      <c r="A133" s="15"/>
    </row>
    <row r="134" ht="15.75" customHeight="1">
      <c r="A134" s="15"/>
    </row>
    <row r="135" ht="15.75" customHeight="1">
      <c r="A135" s="15"/>
    </row>
    <row r="136" ht="15.75" customHeight="1">
      <c r="A136" s="15"/>
    </row>
    <row r="137" ht="15.75" customHeight="1">
      <c r="A137" s="15"/>
    </row>
    <row r="138" ht="15.75" customHeight="1">
      <c r="A138" s="15"/>
    </row>
    <row r="139" ht="15.75" customHeight="1">
      <c r="A139" s="15"/>
    </row>
    <row r="140" ht="15.75" customHeight="1">
      <c r="A140" s="15"/>
    </row>
    <row r="141" ht="15.75" customHeight="1">
      <c r="A141" s="15"/>
    </row>
    <row r="142" ht="15.75" customHeight="1">
      <c r="A142" s="15"/>
    </row>
    <row r="143" ht="15.75" customHeight="1">
      <c r="A143" s="15"/>
    </row>
    <row r="144" ht="15.75" customHeight="1">
      <c r="A144" s="15"/>
    </row>
    <row r="145" ht="15.75" customHeight="1">
      <c r="A145" s="15"/>
    </row>
    <row r="146" ht="15.75" customHeight="1">
      <c r="A146" s="15"/>
    </row>
    <row r="147" ht="15.75" customHeight="1">
      <c r="A147" s="15"/>
    </row>
    <row r="148" ht="15.75" customHeight="1">
      <c r="A148" s="15"/>
    </row>
    <row r="149" ht="15.75" customHeight="1">
      <c r="A149" s="15"/>
    </row>
    <row r="150" ht="15.75" customHeight="1">
      <c r="A150" s="15"/>
    </row>
    <row r="151" ht="15.75" customHeight="1">
      <c r="A151" s="15"/>
    </row>
    <row r="152" ht="15.75" customHeight="1">
      <c r="A152" s="15"/>
    </row>
    <row r="153" ht="15.75" customHeight="1">
      <c r="A153" s="15"/>
    </row>
    <row r="154" ht="15.75" customHeight="1">
      <c r="A154" s="15"/>
    </row>
    <row r="155" ht="15.75" customHeight="1">
      <c r="A155" s="15"/>
    </row>
    <row r="156" ht="15.75" customHeight="1">
      <c r="A156" s="15"/>
    </row>
    <row r="157" ht="15.75" customHeight="1">
      <c r="A157" s="15"/>
    </row>
    <row r="158" ht="15.75" customHeight="1">
      <c r="A158" s="15"/>
    </row>
    <row r="159" ht="15.75" customHeight="1">
      <c r="A159" s="15"/>
    </row>
    <row r="160" ht="15.75" customHeight="1">
      <c r="A160" s="15"/>
    </row>
    <row r="161" ht="15.75" customHeight="1">
      <c r="A161" s="15"/>
    </row>
    <row r="162" ht="15.75" customHeight="1">
      <c r="A162" s="15"/>
    </row>
    <row r="163" ht="15.75" customHeight="1">
      <c r="A163" s="15"/>
    </row>
    <row r="164" ht="15.75" customHeight="1">
      <c r="A164" s="15"/>
    </row>
    <row r="165" ht="15.75" customHeight="1">
      <c r="A165" s="15"/>
    </row>
    <row r="166" ht="15.75" customHeight="1">
      <c r="A166" s="15"/>
    </row>
    <row r="167" ht="15.75" customHeight="1">
      <c r="A167" s="15"/>
    </row>
    <row r="168" ht="15.75" customHeight="1">
      <c r="A168" s="15"/>
    </row>
    <row r="169" ht="15.75" customHeight="1">
      <c r="A169" s="15"/>
    </row>
    <row r="170" ht="15.75" customHeight="1">
      <c r="A170" s="15"/>
    </row>
    <row r="171" ht="15.75" customHeight="1">
      <c r="A171" s="15"/>
    </row>
    <row r="172" ht="15.75" customHeight="1">
      <c r="A172" s="15"/>
    </row>
    <row r="173" ht="15.75" customHeight="1">
      <c r="A173" s="15"/>
    </row>
    <row r="174" ht="15.75" customHeight="1">
      <c r="A174" s="15"/>
    </row>
    <row r="175" ht="15.75" customHeight="1">
      <c r="A175" s="15"/>
    </row>
    <row r="176" ht="15.75" customHeight="1">
      <c r="A176" s="15"/>
    </row>
    <row r="177" ht="15.75" customHeight="1">
      <c r="A177" s="15"/>
    </row>
    <row r="178" ht="15.75" customHeight="1">
      <c r="A178" s="15"/>
    </row>
    <row r="179" ht="15.75" customHeight="1">
      <c r="A179" s="15"/>
    </row>
    <row r="180" ht="15.75" customHeight="1">
      <c r="A180" s="15"/>
    </row>
    <row r="181" ht="15.75" customHeight="1">
      <c r="A181" s="15"/>
    </row>
    <row r="182" ht="15.75" customHeight="1">
      <c r="A182" s="15"/>
    </row>
    <row r="183" ht="15.75" customHeight="1">
      <c r="A183" s="15"/>
    </row>
    <row r="184" ht="15.75" customHeight="1">
      <c r="A184" s="15"/>
    </row>
    <row r="185" ht="15.75" customHeight="1">
      <c r="A185" s="15"/>
    </row>
    <row r="186" ht="15.75" customHeight="1">
      <c r="A186" s="15"/>
    </row>
    <row r="187" ht="15.75" customHeight="1">
      <c r="A187" s="15"/>
    </row>
    <row r="188" ht="15.75" customHeight="1">
      <c r="A188" s="15"/>
    </row>
    <row r="189" ht="15.75" customHeight="1">
      <c r="A189" s="15"/>
    </row>
    <row r="190" ht="15.75" customHeight="1">
      <c r="A190" s="15"/>
    </row>
    <row r="191" ht="15.75" customHeight="1">
      <c r="A191" s="15"/>
    </row>
    <row r="192" ht="15.75" customHeight="1">
      <c r="A192" s="15"/>
    </row>
    <row r="193" ht="15.75" customHeight="1">
      <c r="A193" s="15"/>
    </row>
    <row r="194" ht="15.75" customHeight="1">
      <c r="A194" s="15"/>
    </row>
    <row r="195" ht="15.75" customHeight="1">
      <c r="A195" s="15"/>
    </row>
    <row r="196" ht="15.75" customHeight="1">
      <c r="A196" s="15"/>
    </row>
    <row r="197" ht="15.75" customHeight="1">
      <c r="A197" s="15"/>
    </row>
    <row r="198" ht="15.75" customHeight="1">
      <c r="A198" s="15"/>
    </row>
    <row r="199" ht="15.75" customHeight="1">
      <c r="A199" s="15"/>
    </row>
    <row r="200" ht="15.75" customHeight="1">
      <c r="A200" s="15"/>
    </row>
    <row r="201" ht="15.75" customHeight="1">
      <c r="A201" s="15"/>
    </row>
    <row r="202" ht="15.75" customHeight="1">
      <c r="A202" s="15"/>
    </row>
    <row r="203" ht="15.75" customHeight="1">
      <c r="A203" s="15"/>
    </row>
    <row r="204" ht="15.75" customHeight="1">
      <c r="A204" s="15"/>
    </row>
    <row r="205" ht="15.75" customHeight="1">
      <c r="A205" s="15"/>
    </row>
    <row r="206" ht="15.75" customHeight="1">
      <c r="A206" s="15"/>
    </row>
    <row r="207" ht="15.75" customHeight="1">
      <c r="A207" s="15"/>
    </row>
    <row r="208" ht="15.75" customHeight="1">
      <c r="A208" s="15"/>
    </row>
    <row r="209" ht="15.75" customHeight="1">
      <c r="A209" s="15"/>
    </row>
    <row r="210" ht="15.75" customHeight="1">
      <c r="A210" s="15"/>
    </row>
    <row r="211" ht="15.75" customHeight="1">
      <c r="A211" s="15"/>
    </row>
    <row r="212" ht="15.75" customHeight="1">
      <c r="A212" s="15"/>
    </row>
    <row r="213" ht="15.75" customHeight="1">
      <c r="A213" s="15"/>
    </row>
    <row r="214" ht="15.75" customHeight="1">
      <c r="A214" s="15"/>
    </row>
    <row r="215" ht="15.75" customHeight="1">
      <c r="A215" s="15"/>
    </row>
    <row r="216" ht="15.75" customHeight="1">
      <c r="A216" s="15"/>
    </row>
    <row r="217" ht="15.75" customHeight="1">
      <c r="A217" s="15"/>
    </row>
    <row r="218" ht="15.75" customHeight="1">
      <c r="A218" s="15"/>
    </row>
    <row r="219" ht="15.75" customHeight="1">
      <c r="A219" s="15"/>
    </row>
    <row r="220" ht="15.75" customHeight="1">
      <c r="A220" s="15"/>
    </row>
    <row r="221" ht="15.75" customHeight="1">
      <c r="A221" s="15"/>
    </row>
    <row r="222" ht="15.75" customHeight="1">
      <c r="A222" s="15"/>
    </row>
    <row r="223" ht="15.75" customHeight="1">
      <c r="A223" s="15"/>
    </row>
    <row r="224" ht="15.75" customHeight="1">
      <c r="A224" s="15"/>
    </row>
    <row r="225" ht="15.75" customHeight="1">
      <c r="A225" s="15"/>
    </row>
    <row r="226" ht="15.75" customHeight="1">
      <c r="A226" s="15"/>
    </row>
    <row r="227" ht="15.75" customHeight="1">
      <c r="A227" s="15"/>
    </row>
    <row r="228" ht="15.75" customHeight="1">
      <c r="A228" s="15"/>
    </row>
    <row r="229" ht="15.75" customHeight="1">
      <c r="A229" s="15"/>
    </row>
    <row r="230" ht="15.75" customHeight="1">
      <c r="A230" s="15"/>
    </row>
    <row r="231" ht="15.75" customHeight="1">
      <c r="A231" s="15"/>
    </row>
    <row r="232" ht="15.75" customHeight="1">
      <c r="A232" s="15"/>
    </row>
    <row r="233" ht="15.75" customHeight="1">
      <c r="A233" s="15"/>
    </row>
    <row r="234" ht="15.75" customHeight="1">
      <c r="A234" s="15"/>
    </row>
    <row r="235" ht="15.75" customHeight="1">
      <c r="A235" s="15"/>
    </row>
    <row r="236" ht="15.75" customHeight="1">
      <c r="A236" s="15"/>
    </row>
    <row r="237" ht="15.75" customHeight="1">
      <c r="A237" s="15"/>
    </row>
    <row r="238" ht="15.75" customHeight="1">
      <c r="A238" s="15"/>
    </row>
    <row r="239" ht="15.75" customHeight="1">
      <c r="A239" s="15"/>
    </row>
    <row r="240" ht="15.75" customHeight="1">
      <c r="A240" s="15"/>
    </row>
    <row r="241" ht="15.75" customHeight="1">
      <c r="A241" s="15"/>
    </row>
    <row r="242" ht="15.75" customHeight="1">
      <c r="A242" s="15"/>
    </row>
    <row r="243" ht="15.75" customHeight="1">
      <c r="A243" s="15"/>
    </row>
    <row r="244" ht="15.75" customHeight="1">
      <c r="A244" s="15"/>
    </row>
    <row r="245" ht="15.75" customHeight="1">
      <c r="A245" s="15"/>
    </row>
    <row r="246" ht="15.75" customHeight="1">
      <c r="A246" s="15"/>
    </row>
    <row r="247" ht="15.75" customHeight="1">
      <c r="A247" s="15"/>
    </row>
    <row r="248" ht="15.75" customHeight="1">
      <c r="A248" s="15"/>
    </row>
    <row r="249" ht="15.75" customHeight="1">
      <c r="A249" s="15"/>
    </row>
    <row r="250" ht="15.75" customHeight="1">
      <c r="A250" s="15"/>
    </row>
    <row r="251" ht="15.75" customHeight="1">
      <c r="A251" s="15"/>
    </row>
    <row r="252" ht="15.75" customHeight="1">
      <c r="A252" s="15"/>
    </row>
    <row r="253" ht="15.75" customHeight="1">
      <c r="A253" s="15"/>
    </row>
    <row r="254" ht="15.75" customHeight="1">
      <c r="A254" s="15"/>
    </row>
    <row r="255" ht="15.75" customHeight="1">
      <c r="A255" s="15"/>
    </row>
    <row r="256" ht="15.75" customHeight="1">
      <c r="A256" s="15"/>
    </row>
    <row r="257" ht="15.75" customHeight="1">
      <c r="A257" s="15"/>
    </row>
    <row r="258" ht="15.75" customHeight="1">
      <c r="A258" s="15"/>
    </row>
    <row r="259" ht="15.75" customHeight="1">
      <c r="A259" s="15"/>
    </row>
    <row r="260" ht="15.75" customHeight="1">
      <c r="A260" s="15"/>
    </row>
    <row r="261" ht="15.75" customHeight="1">
      <c r="A261" s="15"/>
    </row>
    <row r="262" ht="15.75" customHeight="1">
      <c r="A262" s="15"/>
    </row>
    <row r="263" ht="15.75" customHeight="1">
      <c r="A263" s="15"/>
    </row>
    <row r="264" ht="15.75" customHeight="1">
      <c r="A264" s="15"/>
    </row>
    <row r="265" ht="15.75" customHeight="1">
      <c r="A265" s="15"/>
    </row>
    <row r="266" ht="15.75" customHeight="1">
      <c r="A266" s="15"/>
    </row>
    <row r="267" ht="15.75" customHeight="1">
      <c r="A267" s="15"/>
    </row>
    <row r="268" ht="15.75" customHeight="1">
      <c r="A268" s="15"/>
    </row>
    <row r="269" ht="15.75" customHeight="1">
      <c r="A269" s="15"/>
    </row>
    <row r="270" ht="15.75" customHeight="1">
      <c r="A270" s="15"/>
    </row>
    <row r="271" ht="15.75" customHeight="1">
      <c r="A271" s="15"/>
    </row>
    <row r="272" ht="15.75" customHeight="1">
      <c r="A272" s="15"/>
    </row>
    <row r="273" ht="15.75" customHeight="1">
      <c r="A273" s="15"/>
    </row>
    <row r="274" ht="15.75" customHeight="1">
      <c r="A274" s="15"/>
    </row>
    <row r="275" ht="15.75" customHeight="1">
      <c r="A275" s="15"/>
    </row>
    <row r="276" ht="15.75" customHeight="1">
      <c r="A276" s="15"/>
    </row>
    <row r="277" ht="15.75" customHeight="1">
      <c r="A277" s="15"/>
    </row>
    <row r="278" ht="15.75" customHeight="1">
      <c r="A278" s="15"/>
    </row>
    <row r="279" ht="15.75" customHeight="1">
      <c r="A279" s="15"/>
    </row>
    <row r="280" ht="15.75" customHeight="1">
      <c r="A280" s="15"/>
    </row>
    <row r="281" ht="15.75" customHeight="1">
      <c r="A281" s="15"/>
    </row>
    <row r="282" ht="15.75" customHeight="1">
      <c r="A282" s="15"/>
    </row>
    <row r="283" ht="15.75" customHeight="1">
      <c r="A283" s="15"/>
    </row>
    <row r="284" ht="15.75" customHeight="1">
      <c r="A284" s="15"/>
    </row>
    <row r="285" ht="15.75" customHeight="1">
      <c r="A285" s="15"/>
    </row>
    <row r="286" ht="15.75" customHeight="1">
      <c r="A286" s="15"/>
    </row>
    <row r="287" ht="15.75" customHeight="1">
      <c r="A287" s="15"/>
    </row>
    <row r="288" ht="15.75" customHeight="1">
      <c r="A288" s="15"/>
    </row>
    <row r="289" ht="15.75" customHeight="1">
      <c r="A289" s="15"/>
    </row>
    <row r="290" ht="15.75" customHeight="1">
      <c r="A290" s="15"/>
    </row>
    <row r="291" ht="15.75" customHeight="1">
      <c r="A291" s="15"/>
    </row>
    <row r="292" ht="15.75" customHeight="1">
      <c r="A292" s="15"/>
    </row>
    <row r="293" ht="15.75" customHeight="1">
      <c r="A293" s="15"/>
    </row>
    <row r="294" ht="15.75" customHeight="1">
      <c r="A294" s="15"/>
    </row>
    <row r="295" ht="15.75" customHeight="1">
      <c r="A295" s="15"/>
    </row>
    <row r="296" ht="15.75" customHeight="1">
      <c r="A296" s="15"/>
    </row>
    <row r="297" ht="15.75" customHeight="1">
      <c r="A297" s="15"/>
    </row>
    <row r="298" ht="15.75" customHeight="1">
      <c r="A298" s="15"/>
    </row>
    <row r="299" ht="15.75" customHeight="1">
      <c r="A299" s="15"/>
    </row>
    <row r="300" ht="15.75" customHeight="1">
      <c r="A300" s="15"/>
    </row>
    <row r="301" ht="15.75" customHeight="1">
      <c r="A301" s="15"/>
    </row>
    <row r="302" ht="15.75" customHeight="1">
      <c r="A302" s="15"/>
    </row>
    <row r="303" ht="15.75" customHeight="1">
      <c r="A303" s="15"/>
    </row>
    <row r="304" ht="15.75" customHeight="1">
      <c r="A304" s="15"/>
    </row>
    <row r="305" ht="15.75" customHeight="1">
      <c r="A305" s="15"/>
    </row>
    <row r="306" ht="15.75" customHeight="1">
      <c r="A306" s="15"/>
    </row>
    <row r="307" ht="15.75" customHeight="1">
      <c r="A307" s="15"/>
    </row>
    <row r="308" ht="15.75" customHeight="1">
      <c r="A308" s="15"/>
    </row>
    <row r="309" ht="15.75" customHeight="1">
      <c r="A309" s="15"/>
    </row>
    <row r="310" ht="15.75" customHeight="1">
      <c r="A310" s="15"/>
    </row>
    <row r="311" ht="15.75" customHeight="1">
      <c r="A311" s="15"/>
    </row>
    <row r="312" ht="15.75" customHeight="1">
      <c r="A312" s="15"/>
    </row>
    <row r="313" ht="15.75" customHeight="1">
      <c r="A313" s="15"/>
    </row>
    <row r="314" ht="15.75" customHeight="1">
      <c r="A314" s="15"/>
    </row>
    <row r="315" ht="15.75" customHeight="1">
      <c r="A315" s="15"/>
    </row>
    <row r="316" ht="15.75" customHeight="1">
      <c r="A316" s="15"/>
    </row>
    <row r="317" ht="15.75" customHeight="1">
      <c r="A317" s="15"/>
    </row>
    <row r="318" ht="15.75" customHeight="1">
      <c r="A318" s="15"/>
    </row>
    <row r="319" ht="15.75" customHeight="1">
      <c r="A319" s="15"/>
    </row>
    <row r="320" ht="15.75" customHeight="1">
      <c r="A320" s="15"/>
    </row>
    <row r="321" ht="15.75" customHeight="1">
      <c r="A321" s="15"/>
    </row>
    <row r="322" ht="15.75" customHeight="1">
      <c r="A322" s="15"/>
    </row>
    <row r="323" ht="15.75" customHeight="1">
      <c r="A323" s="15"/>
    </row>
    <row r="324" ht="15.75" customHeight="1">
      <c r="A324" s="15"/>
    </row>
    <row r="325" ht="15.75" customHeight="1">
      <c r="A325" s="15"/>
    </row>
    <row r="326" ht="15.75" customHeight="1">
      <c r="A326" s="15"/>
    </row>
    <row r="327" ht="15.75" customHeight="1">
      <c r="A327" s="15"/>
    </row>
    <row r="328" ht="15.75" customHeight="1">
      <c r="A328" s="15"/>
    </row>
    <row r="329" ht="15.75" customHeight="1">
      <c r="A329" s="15"/>
    </row>
    <row r="330" ht="15.75" customHeight="1">
      <c r="A330" s="15"/>
    </row>
    <row r="331" ht="15.75" customHeight="1">
      <c r="A331" s="15"/>
    </row>
    <row r="332" ht="15.75" customHeight="1">
      <c r="A332" s="15"/>
    </row>
    <row r="333" ht="15.75" customHeight="1">
      <c r="A333" s="15"/>
    </row>
    <row r="334" ht="15.75" customHeight="1">
      <c r="A334" s="15"/>
    </row>
    <row r="335" ht="15.75" customHeight="1">
      <c r="A335" s="15"/>
    </row>
    <row r="336" ht="15.75" customHeight="1">
      <c r="A336" s="15"/>
    </row>
    <row r="337" ht="15.75" customHeight="1">
      <c r="A337" s="15"/>
    </row>
    <row r="338" ht="15.75" customHeight="1">
      <c r="A338" s="15"/>
    </row>
    <row r="339" ht="15.75" customHeight="1">
      <c r="A339" s="15"/>
    </row>
    <row r="340" ht="15.75" customHeight="1">
      <c r="A340" s="15"/>
    </row>
    <row r="341" ht="15.75" customHeight="1">
      <c r="A341" s="15"/>
    </row>
    <row r="342" ht="15.75" customHeight="1">
      <c r="A342" s="15"/>
    </row>
    <row r="343" ht="15.75" customHeight="1">
      <c r="A343" s="15"/>
    </row>
    <row r="344" ht="15.75" customHeight="1">
      <c r="A344" s="15"/>
    </row>
    <row r="345" ht="15.75" customHeight="1">
      <c r="A345" s="15"/>
    </row>
    <row r="346" ht="15.75" customHeight="1">
      <c r="A346" s="15"/>
    </row>
    <row r="347" ht="15.75" customHeight="1">
      <c r="A347" s="15"/>
    </row>
    <row r="348" ht="15.75" customHeight="1">
      <c r="A348" s="15"/>
    </row>
    <row r="349" ht="15.75" customHeight="1">
      <c r="A349" s="15"/>
    </row>
    <row r="350" ht="15.75" customHeight="1">
      <c r="A350" s="15"/>
    </row>
    <row r="351" ht="15.75" customHeight="1">
      <c r="A351" s="15"/>
    </row>
    <row r="352" ht="15.75" customHeight="1">
      <c r="A352" s="15"/>
    </row>
    <row r="353" ht="15.75" customHeight="1">
      <c r="A353" s="15"/>
    </row>
    <row r="354" ht="15.75" customHeight="1">
      <c r="A354" s="15"/>
    </row>
    <row r="355" ht="15.75" customHeight="1">
      <c r="A355" s="15"/>
    </row>
    <row r="356" ht="15.75" customHeight="1">
      <c r="A356" s="15"/>
    </row>
    <row r="357" ht="15.75" customHeight="1">
      <c r="A357" s="15"/>
    </row>
    <row r="358" ht="15.75" customHeight="1">
      <c r="A358" s="15"/>
    </row>
    <row r="359" ht="15.75" customHeight="1">
      <c r="A359" s="15"/>
    </row>
    <row r="360" ht="15.75" customHeight="1">
      <c r="A360" s="15"/>
    </row>
    <row r="361" ht="15.75" customHeight="1">
      <c r="A361" s="15"/>
    </row>
    <row r="362" ht="15.75" customHeight="1">
      <c r="A362" s="15"/>
    </row>
    <row r="363" ht="15.75" customHeight="1">
      <c r="A363" s="15"/>
    </row>
    <row r="364" ht="15.75" customHeight="1">
      <c r="A364" s="15"/>
    </row>
    <row r="365" ht="15.75" customHeight="1">
      <c r="A365" s="15"/>
    </row>
    <row r="366" ht="15.75" customHeight="1">
      <c r="A366" s="15"/>
    </row>
    <row r="367" ht="15.75" customHeight="1">
      <c r="A367" s="15"/>
    </row>
    <row r="368" ht="15.75" customHeight="1">
      <c r="A368" s="15"/>
    </row>
    <row r="369" ht="15.75" customHeight="1">
      <c r="A369" s="15"/>
    </row>
    <row r="370" ht="15.75" customHeight="1">
      <c r="A370" s="15"/>
    </row>
    <row r="371" ht="15.75" customHeight="1">
      <c r="A371" s="15"/>
    </row>
    <row r="372" ht="15.75" customHeight="1">
      <c r="A372" s="15"/>
    </row>
    <row r="373" ht="15.75" customHeight="1">
      <c r="A373" s="15"/>
    </row>
    <row r="374" ht="15.75" customHeight="1">
      <c r="A374" s="15"/>
    </row>
    <row r="375" ht="15.75" customHeight="1">
      <c r="A375" s="15"/>
    </row>
    <row r="376" ht="15.75" customHeight="1">
      <c r="A376" s="15"/>
    </row>
    <row r="377" ht="15.75" customHeight="1">
      <c r="A377" s="15"/>
    </row>
    <row r="378" ht="15.75" customHeight="1">
      <c r="A378" s="15"/>
    </row>
    <row r="379" ht="15.75" customHeight="1">
      <c r="A379" s="15"/>
    </row>
    <row r="380" ht="15.75" customHeight="1">
      <c r="A380" s="15"/>
    </row>
    <row r="381" ht="15.75" customHeight="1">
      <c r="A381" s="15"/>
    </row>
    <row r="382" ht="15.75" customHeight="1">
      <c r="A382" s="15"/>
    </row>
    <row r="383" ht="15.75" customHeight="1">
      <c r="A383" s="15"/>
    </row>
    <row r="384" ht="15.75" customHeight="1">
      <c r="A384" s="15"/>
    </row>
    <row r="385" ht="15.75" customHeight="1">
      <c r="A385" s="15"/>
    </row>
    <row r="386" ht="15.75" customHeight="1">
      <c r="A386" s="15"/>
    </row>
    <row r="387" ht="15.75" customHeight="1">
      <c r="A387" s="15"/>
    </row>
    <row r="388" ht="15.75" customHeight="1">
      <c r="A388" s="15"/>
    </row>
    <row r="389" ht="15.75" customHeight="1">
      <c r="A389" s="15"/>
    </row>
    <row r="390" ht="15.75" customHeight="1">
      <c r="A390" s="15"/>
    </row>
    <row r="391" ht="15.75" customHeight="1">
      <c r="A391" s="15"/>
    </row>
    <row r="392" ht="15.75" customHeight="1">
      <c r="A392" s="15"/>
    </row>
    <row r="393" ht="15.75" customHeight="1">
      <c r="A393" s="15"/>
    </row>
    <row r="394" ht="15.75" customHeight="1">
      <c r="A394" s="15"/>
    </row>
    <row r="395" ht="15.75" customHeight="1">
      <c r="A395" s="15"/>
    </row>
    <row r="396" ht="15.75" customHeight="1">
      <c r="A396" s="15"/>
    </row>
    <row r="397" ht="15.75" customHeight="1">
      <c r="A397" s="15"/>
    </row>
    <row r="398" ht="15.75" customHeight="1">
      <c r="A398" s="15"/>
    </row>
    <row r="399" ht="15.75" customHeight="1">
      <c r="A399" s="15"/>
    </row>
    <row r="400" ht="15.75" customHeight="1">
      <c r="A400" s="15"/>
    </row>
    <row r="401" ht="15.75" customHeight="1">
      <c r="A401" s="15"/>
    </row>
    <row r="402" ht="15.75" customHeight="1">
      <c r="A402" s="15"/>
    </row>
    <row r="403" ht="15.75" customHeight="1">
      <c r="A403" s="15"/>
    </row>
    <row r="404" ht="15.75" customHeight="1">
      <c r="A404" s="15"/>
    </row>
    <row r="405" ht="15.75" customHeight="1">
      <c r="A405" s="15"/>
    </row>
    <row r="406" ht="15.75" customHeight="1">
      <c r="A406" s="15"/>
    </row>
    <row r="407" ht="15.75" customHeight="1">
      <c r="A407" s="15"/>
    </row>
    <row r="408" ht="15.75" customHeight="1">
      <c r="A408" s="15"/>
    </row>
    <row r="409" ht="15.75" customHeight="1">
      <c r="A409" s="15"/>
    </row>
    <row r="410" ht="15.75" customHeight="1">
      <c r="A410" s="15"/>
    </row>
    <row r="411" ht="15.75" customHeight="1">
      <c r="A411" s="15"/>
    </row>
    <row r="412" ht="15.75" customHeight="1">
      <c r="A412" s="15"/>
    </row>
    <row r="413" ht="15.75" customHeight="1">
      <c r="A413" s="15"/>
    </row>
    <row r="414" ht="15.75" customHeight="1">
      <c r="A414" s="15"/>
    </row>
    <row r="415" ht="15.75" customHeight="1">
      <c r="A415" s="15"/>
    </row>
    <row r="416" ht="15.75" customHeight="1">
      <c r="A416" s="15"/>
    </row>
    <row r="417" ht="15.75" customHeight="1">
      <c r="A417" s="15"/>
    </row>
    <row r="418" ht="15.75" customHeight="1">
      <c r="A418" s="15"/>
    </row>
    <row r="419" ht="15.75" customHeight="1">
      <c r="A419" s="15"/>
    </row>
    <row r="420" ht="15.75" customHeight="1">
      <c r="A420" s="15"/>
    </row>
    <row r="421" ht="15.75" customHeight="1">
      <c r="A421" s="15"/>
    </row>
    <row r="422" ht="15.75" customHeight="1">
      <c r="A422" s="15"/>
    </row>
    <row r="423" ht="15.75" customHeight="1">
      <c r="A423" s="15"/>
    </row>
    <row r="424" ht="15.75" customHeight="1">
      <c r="A424" s="15"/>
    </row>
    <row r="425" ht="15.75" customHeight="1">
      <c r="A425" s="15"/>
    </row>
    <row r="426" ht="15.75" customHeight="1">
      <c r="A426" s="15"/>
    </row>
    <row r="427" ht="15.75" customHeight="1">
      <c r="A427" s="15"/>
    </row>
    <row r="428" ht="15.75" customHeight="1">
      <c r="A428" s="15"/>
    </row>
    <row r="429" ht="15.75" customHeight="1">
      <c r="A429" s="15"/>
    </row>
    <row r="430" ht="15.75" customHeight="1">
      <c r="A430" s="15"/>
    </row>
    <row r="431" ht="15.75" customHeight="1">
      <c r="A431" s="15"/>
    </row>
    <row r="432" ht="15.75" customHeight="1">
      <c r="A432" s="15"/>
    </row>
    <row r="433" ht="15.75" customHeight="1">
      <c r="A433" s="15"/>
    </row>
    <row r="434" ht="15.75" customHeight="1">
      <c r="A434" s="15"/>
    </row>
    <row r="435" ht="15.75" customHeight="1">
      <c r="A435" s="15"/>
    </row>
    <row r="436" ht="15.75" customHeight="1">
      <c r="A436" s="15"/>
    </row>
    <row r="437" ht="15.75" customHeight="1">
      <c r="A437" s="15"/>
    </row>
    <row r="438" ht="15.75" customHeight="1">
      <c r="A438" s="15"/>
    </row>
    <row r="439" ht="15.75" customHeight="1">
      <c r="A439" s="15"/>
    </row>
    <row r="440" ht="15.75" customHeight="1">
      <c r="A440" s="15"/>
    </row>
    <row r="441" ht="15.75" customHeight="1">
      <c r="A441" s="15"/>
    </row>
    <row r="442" ht="15.75" customHeight="1">
      <c r="A442" s="15"/>
    </row>
    <row r="443" ht="15.75" customHeight="1">
      <c r="A443" s="15"/>
    </row>
    <row r="444" ht="15.75" customHeight="1">
      <c r="A444" s="15"/>
    </row>
    <row r="445" ht="15.75" customHeight="1">
      <c r="A445" s="15"/>
    </row>
    <row r="446" ht="15.75" customHeight="1">
      <c r="A446" s="15"/>
    </row>
    <row r="447" ht="15.75" customHeight="1">
      <c r="A447" s="15"/>
    </row>
    <row r="448" ht="15.75" customHeight="1">
      <c r="A448" s="15"/>
    </row>
    <row r="449" ht="15.75" customHeight="1">
      <c r="A449" s="15"/>
    </row>
    <row r="450" ht="15.75" customHeight="1">
      <c r="A450" s="15"/>
    </row>
    <row r="451" ht="15.75" customHeight="1">
      <c r="A451" s="15"/>
    </row>
    <row r="452" ht="15.75" customHeight="1">
      <c r="A452" s="15"/>
    </row>
    <row r="453" ht="15.75" customHeight="1">
      <c r="A453" s="15"/>
    </row>
    <row r="454" ht="15.75" customHeight="1">
      <c r="A454" s="15"/>
    </row>
    <row r="455" ht="15.75" customHeight="1">
      <c r="A455" s="15"/>
    </row>
    <row r="456" ht="15.75" customHeight="1">
      <c r="A456" s="15"/>
    </row>
    <row r="457" ht="15.75" customHeight="1">
      <c r="A457" s="15"/>
    </row>
    <row r="458" ht="15.75" customHeight="1">
      <c r="A458" s="15"/>
    </row>
    <row r="459" ht="15.75" customHeight="1">
      <c r="A459" s="15"/>
    </row>
    <row r="460" ht="15.75" customHeight="1">
      <c r="A460" s="15"/>
    </row>
    <row r="461" ht="15.75" customHeight="1">
      <c r="A461" s="15"/>
    </row>
    <row r="462" ht="15.75" customHeight="1">
      <c r="A462" s="15"/>
    </row>
    <row r="463" ht="15.75" customHeight="1">
      <c r="A463" s="15"/>
    </row>
    <row r="464" ht="15.75" customHeight="1">
      <c r="A464" s="15"/>
    </row>
    <row r="465" ht="15.75" customHeight="1">
      <c r="A465" s="15"/>
    </row>
    <row r="466" ht="15.75" customHeight="1">
      <c r="A466" s="15"/>
    </row>
    <row r="467" ht="15.75" customHeight="1">
      <c r="A467" s="15"/>
    </row>
    <row r="468" ht="15.75" customHeight="1">
      <c r="A468" s="15"/>
    </row>
    <row r="469" ht="15.75" customHeight="1">
      <c r="A469" s="15"/>
    </row>
    <row r="470" ht="15.75" customHeight="1">
      <c r="A470" s="15"/>
    </row>
    <row r="471" ht="15.75" customHeight="1">
      <c r="A471" s="15"/>
    </row>
    <row r="472" ht="15.75" customHeight="1">
      <c r="A472" s="15"/>
    </row>
    <row r="473" ht="15.75" customHeight="1">
      <c r="A473" s="15"/>
    </row>
    <row r="474" ht="15.75" customHeight="1">
      <c r="A474" s="15"/>
    </row>
    <row r="475" ht="15.75" customHeight="1">
      <c r="A475" s="15"/>
    </row>
    <row r="476" ht="15.75" customHeight="1">
      <c r="A476" s="15"/>
    </row>
    <row r="477" ht="15.75" customHeight="1">
      <c r="A477" s="15"/>
    </row>
    <row r="478" ht="15.75" customHeight="1">
      <c r="A478" s="15"/>
    </row>
    <row r="479" ht="15.75" customHeight="1">
      <c r="A479" s="15"/>
    </row>
    <row r="480" ht="15.75" customHeight="1">
      <c r="A480" s="15"/>
    </row>
    <row r="481" ht="15.75" customHeight="1">
      <c r="A481" s="15"/>
    </row>
    <row r="482" ht="15.75" customHeight="1">
      <c r="A482" s="15"/>
    </row>
    <row r="483" ht="15.75" customHeight="1">
      <c r="A483" s="15"/>
    </row>
    <row r="484" ht="15.75" customHeight="1">
      <c r="A484" s="15"/>
    </row>
    <row r="485" ht="15.75" customHeight="1">
      <c r="A485" s="15"/>
    </row>
    <row r="486" ht="15.75" customHeight="1">
      <c r="A486" s="15"/>
    </row>
    <row r="487" ht="15.75" customHeight="1">
      <c r="A487" s="15"/>
    </row>
    <row r="488" ht="15.75" customHeight="1">
      <c r="A488" s="15"/>
    </row>
    <row r="489" ht="15.75" customHeight="1">
      <c r="A489" s="15"/>
    </row>
    <row r="490" ht="15.75" customHeight="1">
      <c r="A490" s="15"/>
    </row>
    <row r="491" ht="15.75" customHeight="1">
      <c r="A491" s="15"/>
    </row>
    <row r="492" ht="15.75" customHeight="1">
      <c r="A492" s="15"/>
    </row>
    <row r="493" ht="15.75" customHeight="1">
      <c r="A493" s="15"/>
    </row>
    <row r="494" ht="15.75" customHeight="1">
      <c r="A494" s="15"/>
    </row>
    <row r="495" ht="15.75" customHeight="1">
      <c r="A495" s="15"/>
    </row>
    <row r="496" ht="15.75" customHeight="1">
      <c r="A496" s="15"/>
    </row>
    <row r="497" ht="15.75" customHeight="1">
      <c r="A497" s="15"/>
    </row>
    <row r="498" ht="15.75" customHeight="1">
      <c r="A498" s="15"/>
    </row>
    <row r="499" ht="15.75" customHeight="1">
      <c r="A499" s="15"/>
    </row>
    <row r="500" ht="15.75" customHeight="1">
      <c r="A500" s="15"/>
    </row>
    <row r="501" ht="15.75" customHeight="1">
      <c r="A501" s="15"/>
    </row>
    <row r="502" ht="15.75" customHeight="1">
      <c r="A502" s="15"/>
    </row>
    <row r="503" ht="15.75" customHeight="1">
      <c r="A503" s="15"/>
    </row>
    <row r="504" ht="15.75" customHeight="1">
      <c r="A504" s="15"/>
    </row>
    <row r="505" ht="15.75" customHeight="1">
      <c r="A505" s="15"/>
    </row>
    <row r="506" ht="15.75" customHeight="1">
      <c r="A506" s="15"/>
    </row>
    <row r="507" ht="15.75" customHeight="1">
      <c r="A507" s="15"/>
    </row>
    <row r="508" ht="15.75" customHeight="1">
      <c r="A508" s="15"/>
    </row>
    <row r="509" ht="15.75" customHeight="1">
      <c r="A509" s="15"/>
    </row>
    <row r="510" ht="15.75" customHeight="1">
      <c r="A510" s="15"/>
    </row>
    <row r="511" ht="15.75" customHeight="1">
      <c r="A511" s="15"/>
    </row>
    <row r="512" ht="15.75" customHeight="1">
      <c r="A512" s="15"/>
    </row>
    <row r="513" ht="15.75" customHeight="1">
      <c r="A513" s="15"/>
    </row>
    <row r="514" ht="15.75" customHeight="1">
      <c r="A514" s="15"/>
    </row>
    <row r="515" ht="15.75" customHeight="1">
      <c r="A515" s="15"/>
    </row>
    <row r="516" ht="15.75" customHeight="1">
      <c r="A516" s="15"/>
    </row>
    <row r="517" ht="15.75" customHeight="1">
      <c r="A517" s="15"/>
    </row>
    <row r="518" ht="15.75" customHeight="1">
      <c r="A518" s="15"/>
    </row>
    <row r="519" ht="15.75" customHeight="1">
      <c r="A519" s="15"/>
    </row>
    <row r="520" ht="15.75" customHeight="1">
      <c r="A520" s="15"/>
    </row>
    <row r="521" ht="15.75" customHeight="1">
      <c r="A521" s="15"/>
    </row>
    <row r="522" ht="15.75" customHeight="1">
      <c r="A522" s="15"/>
    </row>
    <row r="523" ht="15.75" customHeight="1">
      <c r="A523" s="15"/>
    </row>
    <row r="524" ht="15.75" customHeight="1">
      <c r="A524" s="15"/>
    </row>
    <row r="525" ht="15.75" customHeight="1">
      <c r="A525" s="15"/>
    </row>
    <row r="526" ht="15.75" customHeight="1">
      <c r="A526" s="15"/>
    </row>
    <row r="527" ht="15.75" customHeight="1">
      <c r="A527" s="15"/>
    </row>
    <row r="528" ht="15.75" customHeight="1">
      <c r="A528" s="15"/>
    </row>
    <row r="529" ht="15.75" customHeight="1">
      <c r="A529" s="15"/>
    </row>
    <row r="530" ht="15.75" customHeight="1">
      <c r="A530" s="15"/>
    </row>
    <row r="531" ht="15.75" customHeight="1">
      <c r="A531" s="15"/>
    </row>
    <row r="532" ht="15.75" customHeight="1">
      <c r="A532" s="15"/>
    </row>
    <row r="533" ht="15.75" customHeight="1">
      <c r="A533" s="15"/>
    </row>
    <row r="534" ht="15.75" customHeight="1">
      <c r="A534" s="15"/>
    </row>
    <row r="535" ht="15.75" customHeight="1">
      <c r="A535" s="15"/>
    </row>
    <row r="536" ht="15.75" customHeight="1">
      <c r="A536" s="15"/>
    </row>
    <row r="537" ht="15.75" customHeight="1">
      <c r="A537" s="15"/>
    </row>
    <row r="538" ht="15.75" customHeight="1">
      <c r="A538" s="15"/>
    </row>
    <row r="539" ht="15.75" customHeight="1">
      <c r="A539" s="15"/>
    </row>
    <row r="540" ht="15.75" customHeight="1">
      <c r="A540" s="15"/>
    </row>
    <row r="541" ht="15.75" customHeight="1">
      <c r="A541" s="15"/>
    </row>
    <row r="542" ht="15.75" customHeight="1">
      <c r="A542" s="15"/>
    </row>
    <row r="543" ht="15.75" customHeight="1">
      <c r="A543" s="15"/>
    </row>
    <row r="544" ht="15.75" customHeight="1">
      <c r="A544" s="15"/>
    </row>
    <row r="545" ht="15.75" customHeight="1">
      <c r="A545" s="15"/>
    </row>
    <row r="546" ht="15.75" customHeight="1">
      <c r="A546" s="15"/>
    </row>
    <row r="547" ht="15.75" customHeight="1">
      <c r="A547" s="15"/>
    </row>
    <row r="548" ht="15.75" customHeight="1">
      <c r="A548" s="15"/>
    </row>
    <row r="549" ht="15.75" customHeight="1">
      <c r="A549" s="15"/>
    </row>
    <row r="550" ht="15.75" customHeight="1">
      <c r="A550" s="15"/>
    </row>
    <row r="551" ht="15.75" customHeight="1">
      <c r="A551" s="15"/>
    </row>
    <row r="552" ht="15.75" customHeight="1">
      <c r="A552" s="15"/>
    </row>
    <row r="553" ht="15.75" customHeight="1">
      <c r="A553" s="15"/>
    </row>
    <row r="554" ht="15.75" customHeight="1">
      <c r="A554" s="15"/>
    </row>
    <row r="555" ht="15.75" customHeight="1">
      <c r="A555" s="15"/>
    </row>
    <row r="556" ht="15.75" customHeight="1">
      <c r="A556" s="15"/>
    </row>
    <row r="557" ht="15.75" customHeight="1">
      <c r="A557" s="15"/>
    </row>
    <row r="558" ht="15.75" customHeight="1">
      <c r="A558" s="15"/>
    </row>
    <row r="559" ht="15.75" customHeight="1">
      <c r="A559" s="15"/>
    </row>
    <row r="560" ht="15.75" customHeight="1">
      <c r="A560" s="15"/>
    </row>
    <row r="561" ht="15.75" customHeight="1">
      <c r="A561" s="15"/>
    </row>
    <row r="562" ht="15.75" customHeight="1">
      <c r="A562" s="15"/>
    </row>
    <row r="563" ht="15.75" customHeight="1">
      <c r="A563" s="15"/>
    </row>
    <row r="564" ht="15.75" customHeight="1">
      <c r="A564" s="15"/>
    </row>
    <row r="565" ht="15.75" customHeight="1">
      <c r="A565" s="15"/>
    </row>
    <row r="566" ht="15.75" customHeight="1">
      <c r="A566" s="15"/>
    </row>
    <row r="567" ht="15.75" customHeight="1">
      <c r="A567" s="15"/>
    </row>
    <row r="568" ht="15.75" customHeight="1">
      <c r="A568" s="15"/>
    </row>
    <row r="569" ht="15.75" customHeight="1">
      <c r="A569" s="15"/>
    </row>
    <row r="570" ht="15.75" customHeight="1">
      <c r="A570" s="15"/>
    </row>
    <row r="571" ht="15.75" customHeight="1">
      <c r="A571" s="15"/>
    </row>
    <row r="572" ht="15.75" customHeight="1">
      <c r="A572" s="15"/>
    </row>
    <row r="573" ht="15.75" customHeight="1">
      <c r="A573" s="15"/>
    </row>
    <row r="574" ht="15.75" customHeight="1">
      <c r="A574" s="15"/>
    </row>
    <row r="575" ht="15.75" customHeight="1">
      <c r="A575" s="15"/>
    </row>
    <row r="576" ht="15.75" customHeight="1">
      <c r="A576" s="15"/>
    </row>
    <row r="577" ht="15.75" customHeight="1">
      <c r="A577" s="15"/>
    </row>
    <row r="578" ht="15.75" customHeight="1">
      <c r="A578" s="15"/>
    </row>
    <row r="579" ht="15.75" customHeight="1">
      <c r="A579" s="15"/>
    </row>
    <row r="580" ht="15.75" customHeight="1">
      <c r="A580" s="15"/>
    </row>
    <row r="581" ht="15.75" customHeight="1">
      <c r="A581" s="15"/>
    </row>
    <row r="582" ht="15.75" customHeight="1">
      <c r="A582" s="15"/>
    </row>
    <row r="583" ht="15.75" customHeight="1">
      <c r="A583" s="15"/>
    </row>
    <row r="584" ht="15.75" customHeight="1">
      <c r="A584" s="15"/>
    </row>
    <row r="585" ht="15.75" customHeight="1">
      <c r="A585" s="15"/>
    </row>
    <row r="586" ht="15.75" customHeight="1">
      <c r="A586" s="15"/>
    </row>
    <row r="587" ht="15.75" customHeight="1">
      <c r="A587" s="15"/>
    </row>
    <row r="588" ht="15.75" customHeight="1">
      <c r="A588" s="15"/>
    </row>
    <row r="589" ht="15.75" customHeight="1">
      <c r="A589" s="15"/>
    </row>
    <row r="590" ht="15.75" customHeight="1">
      <c r="A590" s="15"/>
    </row>
    <row r="591" ht="15.75" customHeight="1">
      <c r="A591" s="15"/>
    </row>
    <row r="592" ht="15.75" customHeight="1">
      <c r="A592" s="15"/>
    </row>
    <row r="593" ht="15.75" customHeight="1">
      <c r="A593" s="15"/>
    </row>
    <row r="594" ht="15.75" customHeight="1">
      <c r="A594" s="15"/>
    </row>
    <row r="595" ht="15.75" customHeight="1">
      <c r="A595" s="15"/>
    </row>
    <row r="596" ht="15.75" customHeight="1">
      <c r="A596" s="15"/>
    </row>
    <row r="597" ht="15.75" customHeight="1">
      <c r="A597" s="15"/>
    </row>
    <row r="598" ht="15.75" customHeight="1">
      <c r="A598" s="15"/>
    </row>
    <row r="599" ht="15.75" customHeight="1">
      <c r="A599" s="15"/>
    </row>
    <row r="600" ht="15.75" customHeight="1">
      <c r="A600" s="15"/>
    </row>
    <row r="601" ht="15.75" customHeight="1">
      <c r="A601" s="15"/>
    </row>
    <row r="602" ht="15.75" customHeight="1">
      <c r="A602" s="15"/>
    </row>
    <row r="603" ht="15.75" customHeight="1">
      <c r="A603" s="15"/>
    </row>
    <row r="604" ht="15.75" customHeight="1">
      <c r="A604" s="15"/>
    </row>
    <row r="605" ht="15.75" customHeight="1">
      <c r="A605" s="15"/>
    </row>
    <row r="606" ht="15.75" customHeight="1">
      <c r="A606" s="15"/>
    </row>
    <row r="607" ht="15.75" customHeight="1">
      <c r="A607" s="15"/>
    </row>
    <row r="608" ht="15.75" customHeight="1">
      <c r="A608" s="15"/>
    </row>
    <row r="609" ht="15.75" customHeight="1">
      <c r="A609" s="15"/>
    </row>
    <row r="610" ht="15.75" customHeight="1">
      <c r="A610" s="15"/>
    </row>
    <row r="611" ht="15.75" customHeight="1">
      <c r="A611" s="15"/>
    </row>
    <row r="612" ht="15.75" customHeight="1">
      <c r="A612" s="15"/>
    </row>
    <row r="613" ht="15.75" customHeight="1">
      <c r="A613" s="15"/>
    </row>
    <row r="614" ht="15.75" customHeight="1">
      <c r="A614" s="15"/>
    </row>
    <row r="615" ht="15.75" customHeight="1">
      <c r="A615" s="15"/>
    </row>
    <row r="616" ht="15.75" customHeight="1">
      <c r="A616" s="15"/>
    </row>
    <row r="617" ht="15.75" customHeight="1">
      <c r="A617" s="15"/>
    </row>
    <row r="618" ht="15.75" customHeight="1">
      <c r="A618" s="15"/>
    </row>
    <row r="619" ht="15.75" customHeight="1">
      <c r="A619" s="15"/>
    </row>
    <row r="620" ht="15.75" customHeight="1">
      <c r="A620" s="15"/>
    </row>
    <row r="621" ht="15.75" customHeight="1">
      <c r="A621" s="15"/>
    </row>
    <row r="622" ht="15.75" customHeight="1">
      <c r="A622" s="15"/>
    </row>
    <row r="623" ht="15.75" customHeight="1">
      <c r="A623" s="15"/>
    </row>
    <row r="624" ht="15.75" customHeight="1">
      <c r="A624" s="15"/>
    </row>
    <row r="625" ht="15.75" customHeight="1">
      <c r="A625" s="15"/>
    </row>
    <row r="626" ht="15.75" customHeight="1">
      <c r="A626" s="15"/>
    </row>
    <row r="627" ht="15.75" customHeight="1">
      <c r="A627" s="15"/>
    </row>
    <row r="628" ht="15.75" customHeight="1">
      <c r="A628" s="15"/>
    </row>
    <row r="629" ht="15.75" customHeight="1">
      <c r="A629" s="15"/>
    </row>
    <row r="630" ht="15.75" customHeight="1">
      <c r="A630" s="15"/>
    </row>
    <row r="631" ht="15.75" customHeight="1">
      <c r="A631" s="15"/>
    </row>
    <row r="632" ht="15.75" customHeight="1">
      <c r="A632" s="15"/>
    </row>
    <row r="633" ht="15.75" customHeight="1">
      <c r="A633" s="15"/>
    </row>
    <row r="634" ht="15.75" customHeight="1">
      <c r="A634" s="15"/>
    </row>
    <row r="635" ht="15.75" customHeight="1">
      <c r="A635" s="15"/>
    </row>
    <row r="636" ht="15.75" customHeight="1">
      <c r="A636" s="15"/>
    </row>
    <row r="637" ht="15.75" customHeight="1">
      <c r="A637" s="15"/>
    </row>
    <row r="638" ht="15.75" customHeight="1">
      <c r="A638" s="15"/>
    </row>
    <row r="639" ht="15.75" customHeight="1">
      <c r="A639" s="15"/>
    </row>
    <row r="640" ht="15.75" customHeight="1">
      <c r="A640" s="15"/>
    </row>
    <row r="641" ht="15.75" customHeight="1">
      <c r="A641" s="15"/>
    </row>
    <row r="642" ht="15.75" customHeight="1">
      <c r="A642" s="15"/>
    </row>
    <row r="643" ht="15.75" customHeight="1">
      <c r="A643" s="15"/>
    </row>
    <row r="644" ht="15.75" customHeight="1">
      <c r="A644" s="15"/>
    </row>
    <row r="645" ht="15.75" customHeight="1">
      <c r="A645" s="15"/>
    </row>
    <row r="646" ht="15.75" customHeight="1">
      <c r="A646" s="15"/>
    </row>
    <row r="647" ht="15.75" customHeight="1">
      <c r="A647" s="15"/>
    </row>
    <row r="648" ht="15.75" customHeight="1">
      <c r="A648" s="15"/>
    </row>
    <row r="649" ht="15.75" customHeight="1">
      <c r="A649" s="15"/>
    </row>
    <row r="650" ht="15.75" customHeight="1">
      <c r="A650" s="15"/>
    </row>
    <row r="651" ht="15.75" customHeight="1">
      <c r="A651" s="15"/>
    </row>
    <row r="652" ht="15.75" customHeight="1">
      <c r="A652" s="15"/>
    </row>
    <row r="653" ht="15.75" customHeight="1">
      <c r="A653" s="15"/>
    </row>
    <row r="654" ht="15.75" customHeight="1">
      <c r="A654" s="15"/>
    </row>
    <row r="655" ht="15.75" customHeight="1">
      <c r="A655" s="15"/>
    </row>
    <row r="656" ht="15.75" customHeight="1">
      <c r="A656" s="15"/>
    </row>
    <row r="657" ht="15.75" customHeight="1">
      <c r="A657" s="15"/>
    </row>
    <row r="658" ht="15.75" customHeight="1">
      <c r="A658" s="15"/>
    </row>
    <row r="659" ht="15.75" customHeight="1">
      <c r="A659" s="15"/>
    </row>
    <row r="660" ht="15.75" customHeight="1">
      <c r="A660" s="15"/>
    </row>
    <row r="661" ht="15.75" customHeight="1">
      <c r="A661" s="15"/>
    </row>
    <row r="662" ht="15.75" customHeight="1">
      <c r="A662" s="15"/>
    </row>
    <row r="663" ht="15.75" customHeight="1">
      <c r="A663" s="15"/>
    </row>
    <row r="664" ht="15.75" customHeight="1">
      <c r="A664" s="15"/>
    </row>
    <row r="665" ht="15.75" customHeight="1">
      <c r="A665" s="15"/>
    </row>
    <row r="666" ht="15.75" customHeight="1">
      <c r="A666" s="15"/>
    </row>
    <row r="667" ht="15.75" customHeight="1">
      <c r="A667" s="15"/>
    </row>
    <row r="668" ht="15.75" customHeight="1">
      <c r="A668" s="15"/>
    </row>
    <row r="669" ht="15.75" customHeight="1">
      <c r="A669" s="15"/>
    </row>
    <row r="670" ht="15.75" customHeight="1">
      <c r="A670" s="15"/>
    </row>
    <row r="671" ht="15.75" customHeight="1">
      <c r="A671" s="15"/>
    </row>
    <row r="672" ht="15.75" customHeight="1">
      <c r="A672" s="15"/>
    </row>
    <row r="673" ht="15.75" customHeight="1">
      <c r="A673" s="15"/>
    </row>
    <row r="674" ht="15.75" customHeight="1">
      <c r="A674" s="15"/>
    </row>
    <row r="675" ht="15.75" customHeight="1">
      <c r="A675" s="15"/>
    </row>
    <row r="676" ht="15.75" customHeight="1">
      <c r="A676" s="15"/>
    </row>
    <row r="677" ht="15.75" customHeight="1">
      <c r="A677" s="15"/>
    </row>
    <row r="678" ht="15.75" customHeight="1">
      <c r="A678" s="15"/>
    </row>
    <row r="679" ht="15.75" customHeight="1">
      <c r="A679" s="15"/>
    </row>
    <row r="680" ht="15.75" customHeight="1">
      <c r="A680" s="15"/>
    </row>
    <row r="681" ht="15.75" customHeight="1">
      <c r="A681" s="15"/>
    </row>
    <row r="682" ht="15.75" customHeight="1">
      <c r="A682" s="15"/>
    </row>
    <row r="683" ht="15.75" customHeight="1">
      <c r="A683" s="15"/>
    </row>
    <row r="684" ht="15.75" customHeight="1">
      <c r="A684" s="15"/>
    </row>
    <row r="685" ht="15.75" customHeight="1">
      <c r="A685" s="15"/>
    </row>
    <row r="686" ht="15.75" customHeight="1">
      <c r="A686" s="15"/>
    </row>
    <row r="687" ht="15.75" customHeight="1">
      <c r="A687" s="15"/>
    </row>
    <row r="688" ht="15.75" customHeight="1">
      <c r="A688" s="15"/>
    </row>
    <row r="689" ht="15.75" customHeight="1">
      <c r="A689" s="15"/>
    </row>
    <row r="690" ht="15.75" customHeight="1">
      <c r="A690" s="15"/>
    </row>
    <row r="691" ht="15.75" customHeight="1">
      <c r="A691" s="15"/>
    </row>
    <row r="692" ht="15.75" customHeight="1">
      <c r="A692" s="15"/>
    </row>
    <row r="693" ht="15.75" customHeight="1">
      <c r="A693" s="15"/>
    </row>
    <row r="694" ht="15.75" customHeight="1">
      <c r="A694" s="15"/>
    </row>
    <row r="695" ht="15.75" customHeight="1">
      <c r="A695" s="15"/>
    </row>
    <row r="696" ht="15.75" customHeight="1">
      <c r="A696" s="15"/>
    </row>
    <row r="697" ht="15.75" customHeight="1">
      <c r="A697" s="15"/>
    </row>
    <row r="698" ht="15.75" customHeight="1">
      <c r="A698" s="15"/>
    </row>
    <row r="699" ht="15.75" customHeight="1">
      <c r="A699" s="15"/>
    </row>
    <row r="700" ht="15.75" customHeight="1">
      <c r="A700" s="15"/>
    </row>
    <row r="701" ht="15.75" customHeight="1">
      <c r="A701" s="15"/>
    </row>
    <row r="702" ht="15.75" customHeight="1">
      <c r="A702" s="15"/>
    </row>
    <row r="703" ht="15.75" customHeight="1">
      <c r="A703" s="15"/>
    </row>
    <row r="704" ht="15.75" customHeight="1">
      <c r="A704" s="15"/>
    </row>
    <row r="705" ht="15.75" customHeight="1">
      <c r="A705" s="15"/>
    </row>
    <row r="706" ht="15.75" customHeight="1">
      <c r="A706" s="15"/>
    </row>
    <row r="707" ht="15.75" customHeight="1">
      <c r="A707" s="15"/>
    </row>
    <row r="708" ht="15.75" customHeight="1">
      <c r="A708" s="15"/>
    </row>
    <row r="709" ht="15.75" customHeight="1">
      <c r="A709" s="15"/>
    </row>
    <row r="710" ht="15.75" customHeight="1">
      <c r="A710" s="15"/>
    </row>
    <row r="711" ht="15.75" customHeight="1">
      <c r="A711" s="15"/>
    </row>
    <row r="712" ht="15.75" customHeight="1">
      <c r="A712" s="15"/>
    </row>
    <row r="713" ht="15.75" customHeight="1">
      <c r="A713" s="15"/>
    </row>
    <row r="714" ht="15.75" customHeight="1">
      <c r="A714" s="15"/>
    </row>
    <row r="715" ht="15.75" customHeight="1">
      <c r="A715" s="15"/>
    </row>
    <row r="716" ht="15.75" customHeight="1">
      <c r="A716" s="15"/>
    </row>
    <row r="717" ht="15.75" customHeight="1">
      <c r="A717" s="15"/>
    </row>
    <row r="718" ht="15.75" customHeight="1">
      <c r="A718" s="15"/>
    </row>
    <row r="719" ht="15.75" customHeight="1">
      <c r="A719" s="15"/>
    </row>
    <row r="720" ht="15.75" customHeight="1">
      <c r="A720" s="15"/>
    </row>
    <row r="721" ht="15.75" customHeight="1">
      <c r="A721" s="15"/>
    </row>
    <row r="722" ht="15.75" customHeight="1">
      <c r="A722" s="15"/>
    </row>
    <row r="723" ht="15.75" customHeight="1">
      <c r="A723" s="15"/>
    </row>
    <row r="724" ht="15.75" customHeight="1">
      <c r="A724" s="15"/>
    </row>
    <row r="725" ht="15.75" customHeight="1">
      <c r="A725" s="15"/>
    </row>
    <row r="726" ht="15.75" customHeight="1">
      <c r="A726" s="15"/>
    </row>
    <row r="727" ht="15.75" customHeight="1">
      <c r="A727" s="15"/>
    </row>
    <row r="728" ht="15.75" customHeight="1">
      <c r="A728" s="15"/>
    </row>
    <row r="729" ht="15.75" customHeight="1">
      <c r="A729" s="15"/>
    </row>
    <row r="730" ht="15.75" customHeight="1">
      <c r="A730" s="15"/>
    </row>
    <row r="731" ht="15.75" customHeight="1">
      <c r="A731" s="15"/>
    </row>
    <row r="732" ht="15.75" customHeight="1">
      <c r="A732" s="15"/>
    </row>
    <row r="733" ht="15.75" customHeight="1">
      <c r="A733" s="15"/>
    </row>
    <row r="734" ht="15.75" customHeight="1">
      <c r="A734" s="15"/>
    </row>
    <row r="735" ht="15.75" customHeight="1">
      <c r="A735" s="15"/>
    </row>
    <row r="736" ht="15.75" customHeight="1">
      <c r="A736" s="15"/>
    </row>
    <row r="737" ht="15.75" customHeight="1">
      <c r="A737" s="15"/>
    </row>
    <row r="738" ht="15.75" customHeight="1">
      <c r="A738" s="15"/>
    </row>
    <row r="739" ht="15.75" customHeight="1">
      <c r="A739" s="15"/>
    </row>
    <row r="740" ht="15.75" customHeight="1">
      <c r="A740" s="15"/>
    </row>
    <row r="741" ht="15.75" customHeight="1">
      <c r="A741" s="15"/>
    </row>
    <row r="742" ht="15.75" customHeight="1">
      <c r="A742" s="15"/>
    </row>
    <row r="743" ht="15.75" customHeight="1">
      <c r="A743" s="15"/>
    </row>
    <row r="744" ht="15.75" customHeight="1">
      <c r="A744" s="15"/>
    </row>
    <row r="745" ht="15.75" customHeight="1">
      <c r="A745" s="15"/>
    </row>
    <row r="746" ht="15.75" customHeight="1">
      <c r="A746" s="15"/>
    </row>
    <row r="747" ht="15.75" customHeight="1">
      <c r="A747" s="15"/>
    </row>
    <row r="748" ht="15.75" customHeight="1">
      <c r="A748" s="15"/>
    </row>
    <row r="749" ht="15.75" customHeight="1">
      <c r="A749" s="15"/>
    </row>
    <row r="750" ht="15.75" customHeight="1">
      <c r="A750" s="15"/>
    </row>
    <row r="751" ht="15.75" customHeight="1">
      <c r="A751" s="15"/>
    </row>
    <row r="752" ht="15.75" customHeight="1">
      <c r="A752" s="15"/>
    </row>
    <row r="753" ht="15.75" customHeight="1">
      <c r="A753" s="15"/>
    </row>
    <row r="754" ht="15.75" customHeight="1">
      <c r="A754" s="15"/>
    </row>
    <row r="755" ht="15.75" customHeight="1">
      <c r="A755" s="15"/>
    </row>
    <row r="756" ht="15.75" customHeight="1">
      <c r="A756" s="15"/>
    </row>
    <row r="757" ht="15.75" customHeight="1">
      <c r="A757" s="15"/>
    </row>
    <row r="758" ht="15.75" customHeight="1">
      <c r="A758" s="15"/>
    </row>
    <row r="759" ht="15.75" customHeight="1">
      <c r="A759" s="15"/>
    </row>
    <row r="760" ht="15.75" customHeight="1">
      <c r="A760" s="15"/>
    </row>
    <row r="761" ht="15.75" customHeight="1">
      <c r="A761" s="15"/>
    </row>
    <row r="762" ht="15.75" customHeight="1">
      <c r="A762" s="15"/>
    </row>
    <row r="763" ht="15.75" customHeight="1">
      <c r="A763" s="15"/>
    </row>
    <row r="764" ht="15.75" customHeight="1">
      <c r="A764" s="15"/>
    </row>
    <row r="765" ht="15.75" customHeight="1">
      <c r="A765" s="15"/>
    </row>
    <row r="766" ht="15.75" customHeight="1">
      <c r="A766" s="15"/>
    </row>
    <row r="767" ht="15.75" customHeight="1">
      <c r="A767" s="15"/>
    </row>
    <row r="768" ht="15.75" customHeight="1">
      <c r="A768" s="15"/>
    </row>
    <row r="769" ht="15.75" customHeight="1">
      <c r="A769" s="15"/>
    </row>
    <row r="770" ht="15.75" customHeight="1">
      <c r="A770" s="15"/>
    </row>
    <row r="771" ht="15.75" customHeight="1">
      <c r="A771" s="15"/>
    </row>
    <row r="772" ht="15.75" customHeight="1">
      <c r="A772" s="15"/>
    </row>
    <row r="773" ht="15.75" customHeight="1">
      <c r="A773" s="15"/>
    </row>
    <row r="774" ht="15.75" customHeight="1">
      <c r="A774" s="15"/>
    </row>
    <row r="775" ht="15.75" customHeight="1">
      <c r="A775" s="15"/>
    </row>
    <row r="776" ht="15.75" customHeight="1">
      <c r="A776" s="15"/>
    </row>
    <row r="777" ht="15.75" customHeight="1">
      <c r="A777" s="15"/>
    </row>
    <row r="778" ht="15.75" customHeight="1">
      <c r="A778" s="15"/>
    </row>
    <row r="779" ht="15.75" customHeight="1">
      <c r="A779" s="15"/>
    </row>
    <row r="780" ht="15.75" customHeight="1">
      <c r="A780" s="15"/>
    </row>
    <row r="781" ht="15.75" customHeight="1">
      <c r="A781" s="15"/>
    </row>
    <row r="782" ht="15.75" customHeight="1">
      <c r="A782" s="15"/>
    </row>
    <row r="783" ht="15.75" customHeight="1">
      <c r="A783" s="15"/>
    </row>
    <row r="784" ht="15.75" customHeight="1">
      <c r="A784" s="15"/>
    </row>
    <row r="785" ht="15.75" customHeight="1">
      <c r="A785" s="15"/>
    </row>
    <row r="786" ht="15.75" customHeight="1">
      <c r="A786" s="15"/>
    </row>
    <row r="787" ht="15.75" customHeight="1">
      <c r="A787" s="15"/>
    </row>
    <row r="788" ht="15.75" customHeight="1">
      <c r="A788" s="15"/>
    </row>
    <row r="789" ht="15.75" customHeight="1">
      <c r="A789" s="15"/>
    </row>
    <row r="790" ht="15.75" customHeight="1">
      <c r="A790" s="15"/>
    </row>
    <row r="791" ht="15.75" customHeight="1">
      <c r="A791" s="15"/>
    </row>
    <row r="792" ht="15.75" customHeight="1">
      <c r="A792" s="15"/>
    </row>
    <row r="793" ht="15.75" customHeight="1">
      <c r="A793" s="15"/>
    </row>
    <row r="794" ht="15.75" customHeight="1">
      <c r="A794" s="15"/>
    </row>
    <row r="795" ht="15.75" customHeight="1">
      <c r="A795" s="15"/>
    </row>
    <row r="796" ht="15.75" customHeight="1">
      <c r="A796" s="15"/>
    </row>
    <row r="797" ht="15.75" customHeight="1">
      <c r="A797" s="15"/>
    </row>
    <row r="798" ht="15.75" customHeight="1">
      <c r="A798" s="15"/>
    </row>
    <row r="799" ht="15.75" customHeight="1">
      <c r="A799" s="15"/>
    </row>
    <row r="800" ht="15.75" customHeight="1">
      <c r="A800" s="15"/>
    </row>
    <row r="801" ht="15.75" customHeight="1">
      <c r="A801" s="15"/>
    </row>
    <row r="802" ht="15.75" customHeight="1">
      <c r="A802" s="15"/>
    </row>
    <row r="803" ht="15.75" customHeight="1">
      <c r="A803" s="15"/>
    </row>
    <row r="804" ht="15.75" customHeight="1">
      <c r="A804" s="15"/>
    </row>
    <row r="805" ht="15.75" customHeight="1">
      <c r="A805" s="15"/>
    </row>
    <row r="806" ht="15.75" customHeight="1">
      <c r="A806" s="15"/>
    </row>
    <row r="807" ht="15.75" customHeight="1">
      <c r="A807" s="15"/>
    </row>
    <row r="808" ht="15.75" customHeight="1">
      <c r="A808" s="15"/>
    </row>
    <row r="809" ht="15.75" customHeight="1">
      <c r="A809" s="15"/>
    </row>
    <row r="810" ht="15.75" customHeight="1">
      <c r="A810" s="15"/>
    </row>
    <row r="811" ht="15.75" customHeight="1">
      <c r="A811" s="15"/>
    </row>
    <row r="812" ht="15.75" customHeight="1">
      <c r="A812" s="15"/>
    </row>
    <row r="813" ht="15.75" customHeight="1">
      <c r="A813" s="15"/>
    </row>
    <row r="814" ht="15.75" customHeight="1">
      <c r="A814" s="15"/>
    </row>
    <row r="815" ht="15.75" customHeight="1">
      <c r="A815" s="15"/>
    </row>
    <row r="816" ht="15.75" customHeight="1">
      <c r="A816" s="15"/>
    </row>
    <row r="817" ht="15.75" customHeight="1">
      <c r="A817" s="15"/>
    </row>
    <row r="818" ht="15.75" customHeight="1">
      <c r="A818" s="15"/>
    </row>
    <row r="819" ht="15.75" customHeight="1">
      <c r="A819" s="15"/>
    </row>
    <row r="820" ht="15.75" customHeight="1">
      <c r="A820" s="15"/>
    </row>
    <row r="821" ht="15.75" customHeight="1">
      <c r="A821" s="15"/>
    </row>
    <row r="822" ht="15.75" customHeight="1">
      <c r="A822" s="15"/>
    </row>
    <row r="823" ht="15.75" customHeight="1">
      <c r="A823" s="15"/>
    </row>
    <row r="824" ht="15.75" customHeight="1">
      <c r="A824" s="15"/>
    </row>
    <row r="825" ht="15.75" customHeight="1">
      <c r="A825" s="15"/>
    </row>
    <row r="826" ht="15.75" customHeight="1">
      <c r="A826" s="15"/>
    </row>
    <row r="827" ht="15.75" customHeight="1">
      <c r="A827" s="15"/>
    </row>
    <row r="828" ht="15.75" customHeight="1">
      <c r="A828" s="15"/>
    </row>
    <row r="829" ht="15.75" customHeight="1">
      <c r="A829" s="15"/>
    </row>
    <row r="830" ht="15.75" customHeight="1">
      <c r="A830" s="15"/>
    </row>
    <row r="831" ht="15.75" customHeight="1">
      <c r="A831" s="15"/>
    </row>
    <row r="832" ht="15.75" customHeight="1">
      <c r="A832" s="15"/>
    </row>
    <row r="833" ht="15.75" customHeight="1">
      <c r="A833" s="15"/>
    </row>
    <row r="834" ht="15.75" customHeight="1">
      <c r="A834" s="15"/>
    </row>
    <row r="835" ht="15.75" customHeight="1">
      <c r="A835" s="15"/>
    </row>
    <row r="836" ht="15.75" customHeight="1">
      <c r="A836" s="15"/>
    </row>
    <row r="837" ht="15.75" customHeight="1">
      <c r="A837" s="15"/>
    </row>
    <row r="838" ht="15.75" customHeight="1">
      <c r="A838" s="15"/>
    </row>
    <row r="839" ht="15.75" customHeight="1">
      <c r="A839" s="15"/>
    </row>
    <row r="840" ht="15.75" customHeight="1">
      <c r="A840" s="15"/>
    </row>
    <row r="841" ht="15.75" customHeight="1">
      <c r="A841" s="15"/>
    </row>
    <row r="842" ht="15.75" customHeight="1">
      <c r="A842" s="15"/>
    </row>
    <row r="843" ht="15.75" customHeight="1">
      <c r="A843" s="15"/>
    </row>
    <row r="844" ht="15.75" customHeight="1">
      <c r="A844" s="15"/>
    </row>
    <row r="845" ht="15.75" customHeight="1">
      <c r="A845" s="15"/>
    </row>
    <row r="846" ht="15.75" customHeight="1">
      <c r="A846" s="15"/>
    </row>
    <row r="847" ht="15.75" customHeight="1">
      <c r="A847" s="15"/>
    </row>
    <row r="848" ht="15.75" customHeight="1">
      <c r="A848" s="15"/>
    </row>
    <row r="849" ht="15.75" customHeight="1">
      <c r="A849" s="15"/>
    </row>
    <row r="850" ht="15.75" customHeight="1">
      <c r="A850" s="15"/>
    </row>
    <row r="851" ht="15.75" customHeight="1">
      <c r="A851" s="15"/>
    </row>
    <row r="852" ht="15.75" customHeight="1">
      <c r="A852" s="15"/>
    </row>
    <row r="853" ht="15.75" customHeight="1">
      <c r="A853" s="15"/>
    </row>
    <row r="854" ht="15.75" customHeight="1">
      <c r="A854" s="15"/>
    </row>
    <row r="855" ht="15.75" customHeight="1">
      <c r="A855" s="15"/>
    </row>
    <row r="856" ht="15.75" customHeight="1">
      <c r="A856" s="15"/>
    </row>
    <row r="857" ht="15.75" customHeight="1">
      <c r="A857" s="15"/>
    </row>
    <row r="858" ht="15.75" customHeight="1">
      <c r="A858" s="15"/>
    </row>
    <row r="859" ht="15.75" customHeight="1">
      <c r="A859" s="15"/>
    </row>
    <row r="860" ht="15.75" customHeight="1">
      <c r="A860" s="15"/>
    </row>
    <row r="861" ht="15.75" customHeight="1">
      <c r="A861" s="15"/>
    </row>
    <row r="862" ht="15.75" customHeight="1">
      <c r="A862" s="15"/>
    </row>
    <row r="863" ht="15.75" customHeight="1">
      <c r="A863" s="15"/>
    </row>
    <row r="864" ht="15.75" customHeight="1">
      <c r="A864" s="15"/>
    </row>
    <row r="865" ht="15.75" customHeight="1">
      <c r="A865" s="15"/>
    </row>
    <row r="866" ht="15.75" customHeight="1">
      <c r="A866" s="15"/>
    </row>
    <row r="867" ht="15.75" customHeight="1">
      <c r="A867" s="15"/>
    </row>
    <row r="868" ht="15.75" customHeight="1">
      <c r="A868" s="15"/>
    </row>
    <row r="869" ht="15.75" customHeight="1">
      <c r="A869" s="15"/>
    </row>
    <row r="870" ht="15.75" customHeight="1">
      <c r="A870" s="15"/>
    </row>
    <row r="871" ht="15.75" customHeight="1">
      <c r="A871" s="15"/>
    </row>
    <row r="872" ht="15.75" customHeight="1">
      <c r="A872" s="15"/>
    </row>
    <row r="873" ht="15.75" customHeight="1">
      <c r="A873" s="15"/>
    </row>
    <row r="874" ht="15.75" customHeight="1">
      <c r="A874" s="15"/>
    </row>
    <row r="875" ht="15.75" customHeight="1">
      <c r="A875" s="15"/>
    </row>
    <row r="876" ht="15.75" customHeight="1">
      <c r="A876" s="15"/>
    </row>
    <row r="877" ht="15.75" customHeight="1">
      <c r="A877" s="15"/>
    </row>
    <row r="878" ht="15.75" customHeight="1">
      <c r="A878" s="15"/>
    </row>
    <row r="879" ht="15.75" customHeight="1">
      <c r="A879" s="15"/>
    </row>
    <row r="880" ht="15.75" customHeight="1">
      <c r="A880" s="15"/>
    </row>
    <row r="881" ht="15.75" customHeight="1">
      <c r="A881" s="15"/>
    </row>
    <row r="882" ht="15.75" customHeight="1">
      <c r="A882" s="15"/>
    </row>
    <row r="883" ht="15.75" customHeight="1">
      <c r="A883" s="15"/>
    </row>
    <row r="884" ht="15.75" customHeight="1">
      <c r="A884" s="15"/>
    </row>
    <row r="885" ht="15.75" customHeight="1">
      <c r="A885" s="15"/>
    </row>
    <row r="886" ht="15.75" customHeight="1">
      <c r="A886" s="15"/>
    </row>
    <row r="887" ht="15.75" customHeight="1">
      <c r="A887" s="15"/>
    </row>
    <row r="888" ht="15.75" customHeight="1">
      <c r="A888" s="15"/>
    </row>
    <row r="889" ht="15.75" customHeight="1">
      <c r="A889" s="15"/>
    </row>
    <row r="890" ht="15.75" customHeight="1">
      <c r="A890" s="15"/>
    </row>
    <row r="891" ht="15.75" customHeight="1">
      <c r="A891" s="15"/>
    </row>
    <row r="892" ht="15.75" customHeight="1">
      <c r="A892" s="15"/>
    </row>
    <row r="893" ht="15.75" customHeight="1">
      <c r="A893" s="15"/>
    </row>
    <row r="894" ht="15.75" customHeight="1">
      <c r="A894" s="15"/>
    </row>
    <row r="895" ht="15.75" customHeight="1">
      <c r="A895" s="15"/>
    </row>
    <row r="896" ht="15.75" customHeight="1">
      <c r="A896" s="15"/>
    </row>
    <row r="897" ht="15.75" customHeight="1">
      <c r="A897" s="15"/>
    </row>
    <row r="898" ht="15.75" customHeight="1">
      <c r="A898" s="15"/>
    </row>
    <row r="899" ht="15.75" customHeight="1">
      <c r="A899" s="15"/>
    </row>
    <row r="900" ht="15.75" customHeight="1">
      <c r="A900" s="15"/>
    </row>
    <row r="901" ht="15.75" customHeight="1">
      <c r="A901" s="15"/>
    </row>
    <row r="902" ht="15.75" customHeight="1">
      <c r="A902" s="15"/>
    </row>
    <row r="903" ht="15.75" customHeight="1">
      <c r="A903" s="15"/>
    </row>
    <row r="904" ht="15.75" customHeight="1">
      <c r="A904" s="15"/>
    </row>
    <row r="905" ht="15.75" customHeight="1">
      <c r="A905" s="15"/>
    </row>
    <row r="906" ht="15.75" customHeight="1">
      <c r="A906" s="15"/>
    </row>
    <row r="907" ht="15.75" customHeight="1">
      <c r="A907" s="15"/>
    </row>
    <row r="908" ht="15.75" customHeight="1">
      <c r="A908" s="15"/>
    </row>
    <row r="909" ht="15.75" customHeight="1">
      <c r="A909" s="15"/>
    </row>
    <row r="910" ht="15.75" customHeight="1">
      <c r="A910" s="15"/>
    </row>
    <row r="911" ht="15.75" customHeight="1">
      <c r="A911" s="15"/>
    </row>
    <row r="912" ht="15.75" customHeight="1">
      <c r="A912" s="15"/>
    </row>
    <row r="913" ht="15.75" customHeight="1">
      <c r="A913" s="15"/>
    </row>
    <row r="914" ht="15.75" customHeight="1">
      <c r="A914" s="15"/>
    </row>
    <row r="915" ht="15.75" customHeight="1">
      <c r="A915" s="15"/>
    </row>
    <row r="916" ht="15.75" customHeight="1">
      <c r="A916" s="15"/>
    </row>
    <row r="917" ht="15.75" customHeight="1">
      <c r="A917" s="15"/>
    </row>
    <row r="918" ht="15.75" customHeight="1">
      <c r="A918" s="15"/>
    </row>
    <row r="919" ht="15.75" customHeight="1">
      <c r="A919" s="15"/>
    </row>
    <row r="920" ht="15.75" customHeight="1">
      <c r="A920" s="15"/>
    </row>
    <row r="921" ht="15.75" customHeight="1">
      <c r="A921" s="15"/>
    </row>
    <row r="922" ht="15.75" customHeight="1">
      <c r="A922" s="15"/>
    </row>
    <row r="923" ht="15.75" customHeight="1">
      <c r="A923" s="15"/>
    </row>
    <row r="924" ht="15.75" customHeight="1">
      <c r="A924" s="15"/>
    </row>
    <row r="925" ht="15.75" customHeight="1">
      <c r="A925" s="15"/>
    </row>
    <row r="926" ht="15.75" customHeight="1">
      <c r="A926" s="15"/>
    </row>
    <row r="927" ht="15.75" customHeight="1">
      <c r="A927" s="15"/>
    </row>
    <row r="928" ht="15.75" customHeight="1">
      <c r="A928" s="15"/>
    </row>
    <row r="929" ht="15.75" customHeight="1">
      <c r="A929" s="15"/>
    </row>
    <row r="930" ht="15.75" customHeight="1">
      <c r="A930" s="15"/>
    </row>
    <row r="931" ht="15.75" customHeight="1">
      <c r="A931" s="15"/>
    </row>
    <row r="932" ht="15.75" customHeight="1">
      <c r="A932" s="15"/>
    </row>
    <row r="933" ht="15.75" customHeight="1">
      <c r="A933" s="15"/>
    </row>
    <row r="934" ht="15.75" customHeight="1">
      <c r="A934" s="15"/>
    </row>
    <row r="935" ht="15.75" customHeight="1">
      <c r="A935" s="15"/>
    </row>
    <row r="936" ht="15.75" customHeight="1">
      <c r="A936" s="15"/>
    </row>
    <row r="937" ht="15.75" customHeight="1">
      <c r="A937" s="15"/>
    </row>
    <row r="938" ht="15.75" customHeight="1">
      <c r="A938" s="15"/>
    </row>
    <row r="939" ht="15.75" customHeight="1">
      <c r="A939" s="15"/>
    </row>
    <row r="940" ht="15.75" customHeight="1">
      <c r="A940" s="15"/>
    </row>
    <row r="941" ht="15.75" customHeight="1">
      <c r="A941" s="15"/>
    </row>
    <row r="942" ht="15.75" customHeight="1">
      <c r="A942" s="15"/>
    </row>
    <row r="943" ht="15.75" customHeight="1">
      <c r="A943" s="15"/>
    </row>
    <row r="944" ht="15.75" customHeight="1">
      <c r="A944" s="15"/>
    </row>
    <row r="945" ht="15.75" customHeight="1">
      <c r="A945" s="15"/>
    </row>
    <row r="946" ht="15.75" customHeight="1">
      <c r="A946" s="15"/>
    </row>
    <row r="947" ht="15.75" customHeight="1">
      <c r="A947" s="15"/>
    </row>
    <row r="948" ht="15.75" customHeight="1">
      <c r="A948" s="15"/>
    </row>
    <row r="949" ht="15.75" customHeight="1">
      <c r="A949" s="15"/>
    </row>
    <row r="950" ht="15.75" customHeight="1">
      <c r="A950" s="15"/>
    </row>
    <row r="951" ht="15.75" customHeight="1">
      <c r="A951" s="15"/>
    </row>
    <row r="952" ht="15.75" customHeight="1">
      <c r="A952" s="15"/>
    </row>
    <row r="953" ht="15.75" customHeight="1">
      <c r="A953" s="15"/>
    </row>
    <row r="954" ht="15.75" customHeight="1">
      <c r="A954" s="15"/>
    </row>
    <row r="955" ht="15.75" customHeight="1">
      <c r="A955" s="15"/>
    </row>
    <row r="956" ht="15.75" customHeight="1">
      <c r="A956" s="15"/>
    </row>
    <row r="957" ht="15.75" customHeight="1">
      <c r="A957" s="15"/>
    </row>
    <row r="958" ht="15.75" customHeight="1">
      <c r="A958" s="15"/>
    </row>
    <row r="959" ht="15.75" customHeight="1">
      <c r="A959" s="15"/>
    </row>
    <row r="960" ht="15.75" customHeight="1">
      <c r="A960" s="15"/>
    </row>
    <row r="961" ht="15.75" customHeight="1">
      <c r="A961" s="15"/>
    </row>
    <row r="962" ht="15.75" customHeight="1">
      <c r="A962" s="15"/>
    </row>
    <row r="963" ht="15.75" customHeight="1">
      <c r="A963" s="15"/>
    </row>
    <row r="964" ht="15.75" customHeight="1">
      <c r="A964" s="15"/>
    </row>
    <row r="965" ht="15.75" customHeight="1">
      <c r="A965" s="15"/>
    </row>
    <row r="966" ht="15.75" customHeight="1">
      <c r="A966" s="15"/>
    </row>
    <row r="967" ht="15.75" customHeight="1">
      <c r="A967" s="15"/>
    </row>
    <row r="968" ht="15.75" customHeight="1">
      <c r="A968" s="15"/>
    </row>
    <row r="969" ht="15.75" customHeight="1">
      <c r="A969" s="15"/>
    </row>
    <row r="970" ht="15.75" customHeight="1">
      <c r="A970" s="15"/>
    </row>
    <row r="971" ht="15.75" customHeight="1">
      <c r="A971" s="15"/>
    </row>
    <row r="972" ht="15.75" customHeight="1">
      <c r="A972" s="15"/>
    </row>
    <row r="973" ht="15.75" customHeight="1">
      <c r="A973" s="15"/>
    </row>
    <row r="974" ht="15.75" customHeight="1">
      <c r="A974" s="15"/>
    </row>
    <row r="975" ht="15.75" customHeight="1">
      <c r="A975" s="15"/>
    </row>
    <row r="976" ht="15.75" customHeight="1">
      <c r="A976" s="15"/>
    </row>
    <row r="977" ht="15.75" customHeight="1">
      <c r="A977" s="15"/>
    </row>
    <row r="978" ht="15.75" customHeight="1">
      <c r="A978" s="15"/>
    </row>
    <row r="979" ht="15.75" customHeight="1">
      <c r="A979" s="15"/>
    </row>
    <row r="980" ht="15.75" customHeight="1">
      <c r="A980" s="15"/>
    </row>
    <row r="981" ht="15.75" customHeight="1">
      <c r="A981" s="15"/>
    </row>
    <row r="982" ht="15.75" customHeight="1">
      <c r="A982" s="15"/>
    </row>
    <row r="983" ht="15.75" customHeight="1">
      <c r="A983" s="15"/>
    </row>
    <row r="984" ht="15.75" customHeight="1">
      <c r="A984" s="15"/>
    </row>
    <row r="985" ht="15.75" customHeight="1">
      <c r="A985" s="15"/>
    </row>
    <row r="986" ht="15.75" customHeight="1">
      <c r="A986" s="15"/>
    </row>
    <row r="987" ht="15.75" customHeight="1">
      <c r="A987" s="15"/>
    </row>
    <row r="988" ht="15.75" customHeight="1">
      <c r="A988" s="15"/>
    </row>
    <row r="989" ht="15.75" customHeight="1">
      <c r="A989" s="15"/>
    </row>
    <row r="990" ht="15.75" customHeight="1">
      <c r="A990" s="15"/>
    </row>
    <row r="991" ht="15.75" customHeight="1">
      <c r="A991" s="15"/>
    </row>
    <row r="992" ht="15.75" customHeight="1">
      <c r="A992" s="15"/>
    </row>
    <row r="993" ht="15.75" customHeight="1">
      <c r="A993" s="15"/>
    </row>
    <row r="994" ht="15.75" customHeight="1">
      <c r="A994" s="15"/>
    </row>
    <row r="995" ht="15.75" customHeight="1">
      <c r="A995" s="15"/>
    </row>
    <row r="996" ht="15.75" customHeight="1">
      <c r="A996" s="15"/>
    </row>
    <row r="997" ht="15.75" customHeight="1">
      <c r="A997" s="15"/>
    </row>
    <row r="998" ht="15.75" customHeight="1">
      <c r="A998" s="15"/>
    </row>
    <row r="999" ht="15.75" customHeight="1">
      <c r="A999" s="15"/>
    </row>
    <row r="1000" ht="15.75" customHeight="1">
      <c r="A1000" s="15"/>
    </row>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2.0</v>
      </c>
      <c r="D5" s="18"/>
      <c r="E5" s="18"/>
      <c r="F5" s="18"/>
      <c r="G5" s="19"/>
    </row>
    <row r="6" ht="15.75" customHeight="1">
      <c r="B6" s="40" t="s">
        <v>117</v>
      </c>
      <c r="C6" s="17">
        <f>H10+H21+H44+H68</f>
        <v>110</v>
      </c>
      <c r="D6" s="18"/>
      <c r="E6" s="18"/>
      <c r="F6" s="18"/>
      <c r="G6" s="19"/>
      <c r="I6" s="5"/>
    </row>
    <row r="7" ht="15.75" customHeight="1">
      <c r="B7" s="40" t="s">
        <v>158</v>
      </c>
      <c r="C7" s="17">
        <f>B49+B60</f>
        <v>0.5</v>
      </c>
      <c r="D7" s="18"/>
      <c r="E7" s="18"/>
      <c r="F7" s="18"/>
      <c r="G7" s="19"/>
    </row>
    <row r="8" ht="21.0" customHeight="1">
      <c r="B8" s="40" t="s">
        <v>159</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5.0</v>
      </c>
    </row>
    <row r="11" ht="15.75" customHeight="1">
      <c r="G11" s="24" t="s">
        <v>161</v>
      </c>
    </row>
    <row r="12" ht="15.75" customHeight="1">
      <c r="A12" s="28" t="s">
        <v>162</v>
      </c>
      <c r="B12" s="29" t="s">
        <v>163</v>
      </c>
      <c r="C12" s="18"/>
      <c r="D12" s="18"/>
      <c r="E12" s="18"/>
      <c r="F12" s="18"/>
      <c r="G12" s="18"/>
      <c r="H12" s="19"/>
    </row>
    <row r="13" ht="15.75" customHeight="1">
      <c r="A13" s="43" t="s">
        <v>119</v>
      </c>
      <c r="B13" s="29">
        <v>5.0</v>
      </c>
      <c r="C13" s="18"/>
      <c r="D13" s="18"/>
      <c r="E13" s="18"/>
      <c r="F13" s="18"/>
      <c r="G13" s="18"/>
      <c r="H13" s="19"/>
    </row>
    <row r="14" ht="15.75" customHeight="1">
      <c r="A14" s="44" t="s">
        <v>164</v>
      </c>
      <c r="B14" s="18"/>
      <c r="C14" s="18"/>
      <c r="D14" s="18"/>
      <c r="E14" s="18"/>
      <c r="F14" s="18"/>
      <c r="G14" s="18"/>
      <c r="H14" s="19"/>
    </row>
    <row r="15" ht="15.75" customHeight="1">
      <c r="A15" s="45" t="s">
        <v>165</v>
      </c>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45" t="s">
        <v>167</v>
      </c>
      <c r="B18" s="46"/>
      <c r="C18" s="46"/>
      <c r="D18" s="46"/>
      <c r="E18" s="46"/>
      <c r="F18" s="46"/>
      <c r="G18" s="46"/>
      <c r="H18" s="47"/>
    </row>
    <row r="19" ht="15.75" customHeight="1">
      <c r="A19" s="48"/>
      <c r="B19" s="49"/>
      <c r="C19" s="49"/>
      <c r="D19" s="49"/>
      <c r="E19" s="49"/>
      <c r="F19" s="49"/>
      <c r="G19" s="49"/>
      <c r="H19" s="50"/>
    </row>
    <row r="20" ht="15.75" customHeight="1"/>
    <row r="21" ht="15.75" customHeight="1">
      <c r="A21" s="41" t="s">
        <v>168</v>
      </c>
      <c r="G21" s="31" t="s">
        <v>119</v>
      </c>
      <c r="H21" s="42">
        <v>60.0</v>
      </c>
      <c r="I21" s="5"/>
    </row>
    <row r="22" ht="15.75" customHeight="1">
      <c r="G22" s="24" t="s">
        <v>169</v>
      </c>
    </row>
    <row r="23" ht="15.75" customHeight="1">
      <c r="A23" s="28" t="s">
        <v>170</v>
      </c>
      <c r="B23" s="29" t="s">
        <v>12</v>
      </c>
      <c r="C23" s="18"/>
      <c r="D23" s="18"/>
      <c r="E23" s="18"/>
      <c r="F23" s="18"/>
      <c r="G23" s="18"/>
      <c r="H23" s="19"/>
    </row>
    <row r="24" ht="15.75" customHeight="1">
      <c r="A24" s="28" t="s">
        <v>170</v>
      </c>
      <c r="B24" s="29" t="s">
        <v>56</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1 - Fundamentos e Infraestructura de las Redes")</f>
        <v>Unidad 1 - Fundamentos e Infraestructura de las Redes</v>
      </c>
      <c r="C28" s="19"/>
      <c r="D28" s="17" t="str">
        <f>IFERROR(__xludf.DUMMYFUNCTION("FILTER('Diseño'!E:E,'Diseño'!H:H=$C$5)"),"Conceptos Generales")</f>
        <v>Conceptos Generales</v>
      </c>
      <c r="E28" s="19"/>
      <c r="F28" s="17" t="str">
        <f>IFERROR(__xludf.DUMMYFUNCTION("FILTER('Diseño'!F:F,'Diseño'!H:H=$C$5)"),"Redes de Comunicación")</f>
        <v>Redes de Comunicación</v>
      </c>
      <c r="G28" s="18"/>
      <c r="H28" s="19"/>
    </row>
    <row r="29" ht="15.75" customHeight="1">
      <c r="A29" s="20">
        <v>2.0</v>
      </c>
      <c r="B29" s="17" t="str">
        <f>IFERROR(__xludf.DUMMYFUNCTION("""COMPUTED_VALUE"""),"Unidad 1 - Fundamentos e Infraestructura de las Redes")</f>
        <v>Unidad 1 - Fundamentos e Infraestructura de las Redes</v>
      </c>
      <c r="C29" s="19"/>
      <c r="D29" s="17" t="str">
        <f>IFERROR(__xludf.DUMMYFUNCTION("""COMPUTED_VALUE"""),"Conceptos Generales")</f>
        <v>Conceptos Generales</v>
      </c>
      <c r="E29" s="19"/>
      <c r="F29" s="17" t="str">
        <f>IFERROR(__xludf.DUMMYFUNCTION("""COMPUTED_VALUE"""),"Tipos de redes")</f>
        <v>Tipos de redes</v>
      </c>
      <c r="G29" s="18"/>
      <c r="H29" s="19"/>
    </row>
    <row r="30" ht="15.75" customHeight="1">
      <c r="A30" s="20">
        <v>3.0</v>
      </c>
      <c r="B30" s="17" t="str">
        <f>IFERROR(__xludf.DUMMYFUNCTION("""COMPUTED_VALUE"""),"Unidad 1 - Fundamentos e Infraestructura de las Redes")</f>
        <v>Unidad 1 - Fundamentos e Infraestructura de las Redes</v>
      </c>
      <c r="C30" s="19"/>
      <c r="D30" s="17" t="str">
        <f>IFERROR(__xludf.DUMMYFUNCTION("""COMPUTED_VALUE"""),"Conceptos Generales")</f>
        <v>Conceptos Generales</v>
      </c>
      <c r="E30" s="19"/>
      <c r="F30" s="17" t="str">
        <f>IFERROR(__xludf.DUMMYFUNCTION("""COMPUTED_VALUE"""),"Elementos de una Red")</f>
        <v>Elementos de una Red</v>
      </c>
      <c r="G30" s="18"/>
      <c r="H30" s="19"/>
    </row>
    <row r="31" ht="15.75" customHeight="1">
      <c r="A31" s="20">
        <v>4.0</v>
      </c>
      <c r="B31" s="17" t="str">
        <f>IFERROR(__xludf.DUMMYFUNCTION("""COMPUTED_VALUE"""),"Unidad 1 - Fundamentos e Infraestructura de las Redes")</f>
        <v>Unidad 1 - Fundamentos e Infraestructura de las Redes</v>
      </c>
      <c r="C31" s="19"/>
      <c r="D31" s="17" t="str">
        <f>IFERROR(__xludf.DUMMYFUNCTION("""COMPUTED_VALUE"""),"Conceptos Generales")</f>
        <v>Conceptos Generales</v>
      </c>
      <c r="E31" s="19"/>
      <c r="F31" s="17" t="str">
        <f>IFERROR(__xludf.DUMMYFUNCTION("""COMPUTED_VALUE"""),"Topologías")</f>
        <v>Topologías</v>
      </c>
      <c r="G31" s="18"/>
      <c r="H31" s="19"/>
    </row>
    <row r="32" ht="15.75" customHeight="1">
      <c r="A32" s="20">
        <v>5.0</v>
      </c>
      <c r="B32" s="17" t="str">
        <f>IFERROR(__xludf.DUMMYFUNCTION("""COMPUTED_VALUE"""),"Unidad 1 - Fundamentos e Infraestructura de las Redes")</f>
        <v>Unidad 1 - Fundamentos e Infraestructura de las Redes</v>
      </c>
      <c r="C32" s="19"/>
      <c r="D32" s="17" t="str">
        <f>IFERROR(__xludf.DUMMYFUNCTION("""COMPUTED_VALUE"""),"Conceptos Generales")</f>
        <v>Conceptos Generales</v>
      </c>
      <c r="E32" s="19"/>
      <c r="F32" s="17" t="str">
        <f>IFERROR(__xludf.DUMMYFUNCTION("""COMPUTED_VALUE"""),"Modelo de Referencia OSI")</f>
        <v>Modelo de Referencia OSI</v>
      </c>
      <c r="G32" s="18"/>
      <c r="H32" s="19"/>
    </row>
    <row r="33" ht="15.75" customHeight="1">
      <c r="A33" s="20">
        <v>6.0</v>
      </c>
      <c r="B33" s="17" t="str">
        <f>IFERROR(__xludf.DUMMYFUNCTION("""COMPUTED_VALUE"""),"Unidad 1 - Fundamentos e Infraestructura de las Redes")</f>
        <v>Unidad 1 - Fundamentos e Infraestructura de las Redes</v>
      </c>
      <c r="C33" s="19"/>
      <c r="D33" s="17" t="str">
        <f>IFERROR(__xludf.DUMMYFUNCTION("""COMPUTED_VALUE"""),"Conceptos Generales")</f>
        <v>Conceptos Generales</v>
      </c>
      <c r="E33" s="19"/>
      <c r="F33" s="17" t="str">
        <f>IFERROR(__xludf.DUMMYFUNCTION("""COMPUTED_VALUE"""),"Modelo de Referencia TCP/IP")</f>
        <v>Modelo de Referencia TCP/IP</v>
      </c>
      <c r="G33" s="18"/>
      <c r="H33" s="19"/>
    </row>
    <row r="34" ht="15.75" customHeight="1">
      <c r="A34" s="20">
        <v>7.0</v>
      </c>
      <c r="B34" s="17" t="str">
        <f>IFERROR(__xludf.DUMMYFUNCTION("""COMPUTED_VALUE"""),"Unidad 1 - Fundamentos e Infraestructura de las Redes")</f>
        <v>Unidad 1 - Fundamentos e Infraestructura de las Redes</v>
      </c>
      <c r="C34" s="19"/>
      <c r="D34" s="17" t="str">
        <f>IFERROR(__xludf.DUMMYFUNCTION("""COMPUTED_VALUE"""),"Conceptos Generales")</f>
        <v>Conceptos Generales</v>
      </c>
      <c r="E34" s="19"/>
      <c r="F34" s="17" t="str">
        <f>IFERROR(__xludf.DUMMYFUNCTION("""COMPUTED_VALUE"""),"Protocolos")</f>
        <v>Protocolos</v>
      </c>
      <c r="G34" s="18"/>
      <c r="H34" s="19"/>
    </row>
    <row r="35" ht="15.75" customHeight="1"/>
    <row r="36" ht="15.75" customHeight="1">
      <c r="A36" s="51" t="s">
        <v>175</v>
      </c>
    </row>
    <row r="37" ht="15.75" customHeight="1">
      <c r="A37" s="5"/>
      <c r="B37" s="5"/>
      <c r="C37" s="5"/>
      <c r="D37" s="5"/>
      <c r="E37" s="5"/>
      <c r="F37" s="5"/>
      <c r="G37" s="5"/>
      <c r="H37" s="5"/>
    </row>
    <row r="38" ht="15.75" customHeight="1">
      <c r="A38" s="52" t="s">
        <v>176</v>
      </c>
      <c r="B38" s="52" t="s">
        <v>177</v>
      </c>
      <c r="C38" s="54" t="s">
        <v>178</v>
      </c>
      <c r="D38" s="55" t="s">
        <v>119</v>
      </c>
      <c r="E38" s="18"/>
      <c r="F38" s="18"/>
      <c r="G38" s="18"/>
      <c r="H38" s="19"/>
    </row>
    <row r="39" ht="15.75" customHeight="1">
      <c r="A39" s="20" t="s">
        <v>179</v>
      </c>
      <c r="B39" s="20" t="s">
        <v>180</v>
      </c>
      <c r="C39" s="20"/>
      <c r="D39" s="29">
        <v>30.0</v>
      </c>
      <c r="E39" s="18"/>
      <c r="F39" s="18"/>
      <c r="G39" s="18"/>
      <c r="H39" s="19"/>
    </row>
    <row r="40" ht="15.75" customHeight="1">
      <c r="A40" s="20" t="s">
        <v>181</v>
      </c>
      <c r="B40" s="20" t="s">
        <v>180</v>
      </c>
      <c r="C40" s="20" t="s">
        <v>182</v>
      </c>
      <c r="D40" s="17"/>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30.0</v>
      </c>
      <c r="E42" s="18"/>
      <c r="F42" s="18"/>
      <c r="G42" s="18"/>
      <c r="H42" s="19"/>
    </row>
    <row r="43" ht="15.75" customHeight="1"/>
    <row r="44" ht="15.75" customHeight="1">
      <c r="A44" s="41" t="s">
        <v>186</v>
      </c>
      <c r="G44" s="31" t="s">
        <v>119</v>
      </c>
      <c r="H44" s="42">
        <v>35.0</v>
      </c>
    </row>
    <row r="45" ht="15.75" customHeight="1">
      <c r="G45" s="24" t="s">
        <v>187</v>
      </c>
    </row>
    <row r="46" ht="15.75" customHeight="1">
      <c r="A46" s="24" t="s">
        <v>188</v>
      </c>
    </row>
    <row r="47" ht="58.5" customHeight="1">
      <c r="A47" s="28" t="s">
        <v>189</v>
      </c>
      <c r="B47" s="29" t="s">
        <v>56</v>
      </c>
      <c r="C47" s="18"/>
      <c r="D47" s="18"/>
      <c r="E47" s="18"/>
      <c r="F47" s="18"/>
      <c r="G47" s="18"/>
      <c r="H47" s="19"/>
    </row>
    <row r="48" ht="15.75" customHeight="1">
      <c r="A48" s="28" t="s">
        <v>190</v>
      </c>
      <c r="B48" s="29" t="s">
        <v>191</v>
      </c>
      <c r="C48" s="18"/>
      <c r="D48" s="18"/>
      <c r="E48" s="18"/>
      <c r="F48" s="18"/>
      <c r="G48" s="18"/>
      <c r="H48" s="19"/>
    </row>
    <row r="49" ht="15.75" customHeight="1">
      <c r="A49" s="28" t="s">
        <v>158</v>
      </c>
      <c r="B49" s="56">
        <v>0.5</v>
      </c>
      <c r="C49" s="18"/>
      <c r="D49" s="18"/>
      <c r="E49" s="18"/>
      <c r="F49" s="18"/>
      <c r="G49" s="18"/>
      <c r="H49" s="19"/>
    </row>
    <row r="50" ht="15.75" customHeight="1">
      <c r="A50" s="28" t="s">
        <v>119</v>
      </c>
      <c r="B50" s="29">
        <v>35.0</v>
      </c>
      <c r="C50" s="18"/>
      <c r="D50" s="18"/>
      <c r="E50" s="18"/>
      <c r="F50" s="18"/>
      <c r="G50" s="18"/>
      <c r="H50" s="19"/>
    </row>
    <row r="51" ht="15.75" customHeight="1">
      <c r="A51" s="35" t="s">
        <v>192</v>
      </c>
      <c r="B51" s="5"/>
      <c r="C51" s="5"/>
      <c r="D51" s="5"/>
      <c r="E51" s="5"/>
      <c r="F51" s="5"/>
      <c r="G51" s="5"/>
      <c r="H51" s="5"/>
    </row>
    <row r="52" ht="15.75" customHeight="1">
      <c r="A52" s="44" t="s">
        <v>193</v>
      </c>
      <c r="B52" s="18"/>
      <c r="C52" s="18"/>
      <c r="D52" s="18"/>
      <c r="E52" s="18"/>
      <c r="F52" s="18"/>
      <c r="G52" s="18"/>
      <c r="H52" s="19"/>
    </row>
    <row r="53" ht="15.75" customHeight="1">
      <c r="A53" s="45" t="s">
        <v>194</v>
      </c>
      <c r="B53" s="46"/>
      <c r="C53" s="46"/>
      <c r="D53" s="46"/>
      <c r="E53" s="46"/>
      <c r="F53" s="46"/>
      <c r="G53" s="46"/>
      <c r="H53" s="47"/>
    </row>
    <row r="54" ht="15.75" customHeight="1">
      <c r="A54" s="57"/>
      <c r="H54" s="58"/>
    </row>
    <row r="55" ht="15.75" customHeight="1">
      <c r="A55" s="48"/>
      <c r="B55" s="49"/>
      <c r="C55" s="49"/>
      <c r="D55" s="49"/>
      <c r="E55" s="49"/>
      <c r="F55" s="49"/>
      <c r="G55" s="49"/>
      <c r="H55" s="50"/>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59"/>
      <c r="C60" s="18"/>
      <c r="D60" s="18"/>
      <c r="E60" s="18"/>
      <c r="F60" s="18"/>
      <c r="G60" s="18"/>
      <c r="H60" s="19"/>
    </row>
    <row r="61" ht="15.75" customHeight="1">
      <c r="A61" s="28" t="s">
        <v>119</v>
      </c>
      <c r="B61" s="59"/>
      <c r="C61" s="18"/>
      <c r="D61" s="18"/>
      <c r="E61" s="18"/>
      <c r="F61" s="18"/>
      <c r="G61" s="18"/>
      <c r="H61" s="19"/>
    </row>
    <row r="62" ht="15.75" customHeight="1">
      <c r="A62" s="60" t="s">
        <v>196</v>
      </c>
      <c r="B62" s="5"/>
      <c r="C62" s="5"/>
      <c r="D62" s="5"/>
      <c r="E62" s="5"/>
      <c r="F62" s="5"/>
      <c r="G62" s="5"/>
      <c r="H62" s="5"/>
    </row>
    <row r="63" ht="15.75" customHeight="1">
      <c r="A63" s="44" t="s">
        <v>193</v>
      </c>
      <c r="B63" s="18"/>
      <c r="C63" s="18"/>
      <c r="D63" s="18"/>
      <c r="E63" s="18"/>
      <c r="F63" s="18"/>
      <c r="G63" s="18"/>
      <c r="H63" s="19"/>
    </row>
    <row r="64" ht="15.75" customHeight="1">
      <c r="A64" s="61"/>
      <c r="B64" s="46"/>
      <c r="C64" s="46"/>
      <c r="D64" s="46"/>
      <c r="E64" s="46"/>
      <c r="F64" s="46"/>
      <c r="G64" s="46"/>
      <c r="H64" s="47"/>
    </row>
    <row r="65" ht="15.75" customHeight="1">
      <c r="A65" s="57"/>
      <c r="H65" s="58"/>
    </row>
    <row r="66" ht="15.75" customHeight="1">
      <c r="A66" s="48"/>
      <c r="B66" s="49"/>
      <c r="C66" s="49"/>
      <c r="D66" s="49"/>
      <c r="E66" s="49"/>
      <c r="F66" s="49"/>
      <c r="G66" s="49"/>
      <c r="H66" s="50"/>
    </row>
    <row r="67" ht="15.75" customHeight="1"/>
    <row r="68" ht="15.75" customHeight="1">
      <c r="A68" s="41" t="s">
        <v>197</v>
      </c>
      <c r="G68" s="31" t="s">
        <v>119</v>
      </c>
      <c r="H68" s="42">
        <v>10.0</v>
      </c>
    </row>
    <row r="69" ht="15.75" customHeight="1">
      <c r="G69" s="24" t="s">
        <v>198</v>
      </c>
    </row>
    <row r="70" ht="15.75" customHeight="1">
      <c r="A70" s="28" t="s">
        <v>119</v>
      </c>
      <c r="B70" s="56">
        <v>10.0</v>
      </c>
      <c r="C70" s="18"/>
      <c r="D70" s="18"/>
      <c r="E70" s="18"/>
      <c r="F70" s="18"/>
      <c r="G70" s="18"/>
      <c r="H70" s="19"/>
    </row>
    <row r="71" ht="15.75" customHeight="1">
      <c r="A71" s="55" t="s">
        <v>199</v>
      </c>
      <c r="B71" s="18"/>
      <c r="C71" s="18"/>
      <c r="D71" s="18"/>
      <c r="E71" s="18"/>
      <c r="F71" s="18"/>
      <c r="G71" s="18"/>
      <c r="H71" s="19"/>
    </row>
    <row r="72" ht="15.75" customHeight="1">
      <c r="A72" s="61"/>
      <c r="B72" s="46"/>
      <c r="C72" s="46"/>
      <c r="D72" s="46"/>
      <c r="E72" s="46"/>
      <c r="F72" s="46"/>
      <c r="G72" s="46"/>
      <c r="H72" s="47"/>
    </row>
    <row r="73" ht="15.75" customHeight="1">
      <c r="A73" s="48"/>
      <c r="B73" s="49"/>
      <c r="C73" s="49"/>
      <c r="D73" s="49"/>
      <c r="E73" s="49"/>
      <c r="F73" s="49"/>
      <c r="G73" s="49"/>
      <c r="H73" s="50"/>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3.0</v>
      </c>
      <c r="D5" s="18"/>
      <c r="E5" s="18"/>
      <c r="F5" s="18"/>
      <c r="G5" s="19"/>
    </row>
    <row r="6" ht="15.75" customHeight="1">
      <c r="B6" s="40" t="s">
        <v>117</v>
      </c>
      <c r="C6" s="17">
        <f>H10+H21+H44+H68</f>
        <v>100</v>
      </c>
      <c r="D6" s="18"/>
      <c r="E6" s="18"/>
      <c r="F6" s="18"/>
      <c r="G6" s="19"/>
      <c r="I6" s="5"/>
    </row>
    <row r="7" ht="15.75" customHeight="1">
      <c r="B7" s="40" t="s">
        <v>158</v>
      </c>
      <c r="C7" s="17">
        <f>B49+B60</f>
        <v>0.45</v>
      </c>
      <c r="D7" s="18"/>
      <c r="E7" s="18"/>
      <c r="F7" s="18"/>
      <c r="G7" s="19"/>
    </row>
    <row r="8" ht="36.75" customHeight="1">
      <c r="B8" s="40" t="s">
        <v>159</v>
      </c>
      <c r="C8" s="17" t="str">
        <f>IF(H44&lt;=0, "❌ ERROR: La Actividad 1 debe tener un tiempo mayor a 0.", IF(H21&gt;60, "❌ ERROR: El 'Área de Conocimiento' no puede exceder los 60 min.", IF((H10+H21+H44+H68)&lt;100,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3.0</v>
      </c>
    </row>
    <row r="11" ht="15.75" customHeight="1">
      <c r="G11" s="24" t="s">
        <v>161</v>
      </c>
    </row>
    <row r="12" ht="15.75" customHeight="1">
      <c r="A12" s="28" t="s">
        <v>162</v>
      </c>
      <c r="B12" s="29" t="s">
        <v>201</v>
      </c>
      <c r="C12" s="18"/>
      <c r="D12" s="18"/>
      <c r="E12" s="18"/>
      <c r="F12" s="18"/>
      <c r="G12" s="18"/>
      <c r="H12" s="19"/>
    </row>
    <row r="13" ht="15.75" customHeight="1">
      <c r="A13" s="43" t="s">
        <v>119</v>
      </c>
      <c r="B13" s="29">
        <v>3.0</v>
      </c>
      <c r="C13" s="18"/>
      <c r="D13" s="18"/>
      <c r="E13" s="18"/>
      <c r="F13" s="18"/>
      <c r="G13" s="18"/>
      <c r="H13" s="19"/>
    </row>
    <row r="14" ht="15.75" customHeight="1">
      <c r="A14" s="44" t="s">
        <v>164</v>
      </c>
      <c r="B14" s="18"/>
      <c r="C14" s="18"/>
      <c r="D14" s="18"/>
      <c r="E14" s="18"/>
      <c r="F14" s="18"/>
      <c r="G14" s="18"/>
      <c r="H14" s="19"/>
    </row>
    <row r="15" ht="15.75" customHeight="1">
      <c r="A15" s="62" t="s">
        <v>202</v>
      </c>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63" t="s">
        <v>203</v>
      </c>
      <c r="B18" s="46"/>
      <c r="C18" s="46"/>
      <c r="D18" s="46"/>
      <c r="E18" s="46"/>
      <c r="F18" s="46"/>
      <c r="G18" s="46"/>
      <c r="H18" s="47"/>
    </row>
    <row r="19">
      <c r="A19" s="48"/>
      <c r="B19" s="49"/>
      <c r="C19" s="49"/>
      <c r="D19" s="49"/>
      <c r="E19" s="49"/>
      <c r="F19" s="49"/>
      <c r="G19" s="49"/>
      <c r="H19" s="50"/>
    </row>
    <row r="20" ht="15.75" customHeight="1"/>
    <row r="21" ht="15.75" customHeight="1">
      <c r="A21" s="41" t="s">
        <v>168</v>
      </c>
      <c r="G21" s="31" t="s">
        <v>119</v>
      </c>
      <c r="H21" s="64">
        <f>D39+D40+D41+D42</f>
        <v>57</v>
      </c>
      <c r="I21" s="5"/>
    </row>
    <row r="22" ht="15.75" customHeight="1">
      <c r="G22" s="24" t="s">
        <v>169</v>
      </c>
    </row>
    <row r="23" ht="15.75" customHeight="1">
      <c r="A23" s="28" t="s">
        <v>170</v>
      </c>
      <c r="B23" s="29" t="s">
        <v>12</v>
      </c>
      <c r="C23" s="18"/>
      <c r="D23" s="18"/>
      <c r="E23" s="18"/>
      <c r="F23" s="18"/>
      <c r="G23" s="18"/>
      <c r="H23" s="19"/>
    </row>
    <row r="24" ht="15.75" customHeight="1">
      <c r="A24" s="28" t="s">
        <v>170</v>
      </c>
      <c r="B24" s="29" t="s">
        <v>56</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1 - Fundamentos e Infraestructura de las Redes")</f>
        <v>Unidad 1 - Fundamentos e Infraestructura de las Redes</v>
      </c>
      <c r="C28" s="19"/>
      <c r="D28" s="17" t="str">
        <f>IFERROR(__xludf.DUMMYFUNCTION("FILTER('Diseño'!E:E,'Diseño'!H:H=$C$5)"),"Cableado estructurado")</f>
        <v>Cableado estructurado</v>
      </c>
      <c r="E28" s="19"/>
      <c r="F28" s="17" t="str">
        <f>IFERROR(__xludf.DUMMYFUNCTION("FILTER('Diseño'!F:F,'Diseño'!H:H=$C$5)"),"Elementos de un sistema de cableado estructurado")</f>
        <v>Elementos de un sistema de cableado estructurado</v>
      </c>
      <c r="G28" s="18"/>
      <c r="H28" s="19"/>
    </row>
    <row r="29" ht="15.75" customHeight="1">
      <c r="A29" s="20">
        <v>2.0</v>
      </c>
      <c r="B29" s="17" t="str">
        <f>IFERROR(__xludf.DUMMYFUNCTION("""COMPUTED_VALUE"""),"Unidad 1 - Fundamentos e Infraestructura de las Redes")</f>
        <v>Unidad 1 - Fundamentos e Infraestructura de las Redes</v>
      </c>
      <c r="C29" s="19"/>
      <c r="D29" s="17" t="str">
        <f>IFERROR(__xludf.DUMMYFUNCTION("""COMPUTED_VALUE"""),"Cableado estructurado")</f>
        <v>Cableado estructurado</v>
      </c>
      <c r="E29" s="19"/>
      <c r="F29" s="17" t="str">
        <f>IFERROR(__xludf.DUMMYFUNCTION("""COMPUTED_VALUE"""),"Medios de Transmisión")</f>
        <v>Medios de Transmisión</v>
      </c>
      <c r="G29" s="18"/>
      <c r="H29" s="19"/>
    </row>
    <row r="30" ht="15.75" customHeight="1">
      <c r="A30" s="20">
        <v>3.0</v>
      </c>
      <c r="B30" s="17" t="str">
        <f>IFERROR(__xludf.DUMMYFUNCTION("""COMPUTED_VALUE"""),"Unidad 1 - Fundamentos e Infraestructura de las Redes")</f>
        <v>Unidad 1 - Fundamentos e Infraestructura de las Redes</v>
      </c>
      <c r="C30" s="19"/>
      <c r="D30" s="17" t="str">
        <f>IFERROR(__xludf.DUMMYFUNCTION("""COMPUTED_VALUE"""),"Cableado estructurado")</f>
        <v>Cableado estructurado</v>
      </c>
      <c r="E30" s="19"/>
      <c r="F30" s="17" t="str">
        <f>IFERROR(__xludf.DUMMYFUNCTION("""COMPUTED_VALUE"""),"Normas y Estándares")</f>
        <v>Normas y Estándares</v>
      </c>
      <c r="G30" s="18"/>
      <c r="H30" s="19"/>
    </row>
    <row r="31" ht="15.75" customHeight="1">
      <c r="A31" s="20">
        <v>4.0</v>
      </c>
      <c r="B31" s="17" t="str">
        <f>IFERROR(__xludf.DUMMYFUNCTION("""COMPUTED_VALUE"""),"Unidad 1 - Fundamentos e Infraestructura de las Redes")</f>
        <v>Unidad 1 - Fundamentos e Infraestructura de las Redes</v>
      </c>
      <c r="C31" s="19"/>
      <c r="D31" s="17" t="str">
        <f>IFERROR(__xludf.DUMMYFUNCTION("""COMPUTED_VALUE"""),"Cableado estructurado")</f>
        <v>Cableado estructurado</v>
      </c>
      <c r="E31" s="19"/>
      <c r="F31" s="17" t="str">
        <f>IFERROR(__xludf.DUMMYFUNCTION("""COMPUTED_VALUE"""),"Cableado Vertical")</f>
        <v>Cableado Vertical</v>
      </c>
      <c r="G31" s="18"/>
      <c r="H31" s="19"/>
    </row>
    <row r="32" ht="15.75" customHeight="1">
      <c r="A32" s="20">
        <v>5.0</v>
      </c>
      <c r="B32" s="17" t="str">
        <f>IFERROR(__xludf.DUMMYFUNCTION("""COMPUTED_VALUE"""),"Unidad 1 - Fundamentos e Infraestructura de las Redes")</f>
        <v>Unidad 1 - Fundamentos e Infraestructura de las Redes</v>
      </c>
      <c r="C32" s="19"/>
      <c r="D32" s="17" t="str">
        <f>IFERROR(__xludf.DUMMYFUNCTION("""COMPUTED_VALUE"""),"Cableado estructurado")</f>
        <v>Cableado estructurado</v>
      </c>
      <c r="E32" s="19"/>
      <c r="F32" s="17" t="str">
        <f>IFERROR(__xludf.DUMMYFUNCTION("""COMPUTED_VALUE"""),"Cableado Horizontal")</f>
        <v>Cableado Horizontal</v>
      </c>
      <c r="G32" s="18"/>
      <c r="H32" s="19"/>
    </row>
    <row r="33" ht="15.75" customHeight="1">
      <c r="A33" s="20">
        <v>6.0</v>
      </c>
      <c r="B33" s="17" t="str">
        <f>IFERROR(__xludf.DUMMYFUNCTION("""COMPUTED_VALUE"""),"Unidad 1 - Fundamentos e Infraestructura de las Redes")</f>
        <v>Unidad 1 - Fundamentos e Infraestructura de las Redes</v>
      </c>
      <c r="C33" s="19"/>
      <c r="D33" s="17" t="str">
        <f>IFERROR(__xludf.DUMMYFUNCTION("""COMPUTED_VALUE"""),"Cableado estructurado")</f>
        <v>Cableado estructurado</v>
      </c>
      <c r="E33" s="19"/>
      <c r="F33" s="17" t="str">
        <f>IFERROR(__xludf.DUMMYFUNCTION("""COMPUTED_VALUE"""),"Gestión de Cables y Organización")</f>
        <v>Gestión de Cables y Organización</v>
      </c>
      <c r="G33" s="18"/>
      <c r="H33" s="19"/>
    </row>
    <row r="34" ht="15.75" customHeight="1">
      <c r="A34" s="20">
        <v>7.0</v>
      </c>
      <c r="B34" s="17" t="str">
        <f>IFERROR(__xludf.DUMMYFUNCTION("""COMPUTED_VALUE"""),"Unidad 1 - Fundamentos e Infraestructura de las Redes")</f>
        <v>Unidad 1 - Fundamentos e Infraestructura de las Redes</v>
      </c>
      <c r="C34" s="19"/>
      <c r="D34" s="17" t="str">
        <f>IFERROR(__xludf.DUMMYFUNCTION("""COMPUTED_VALUE"""),"Cableado estructurado")</f>
        <v>Cableado estructurado</v>
      </c>
      <c r="E34" s="19"/>
      <c r="F34" s="17" t="str">
        <f>IFERROR(__xludf.DUMMYFUNCTION("""COMPUTED_VALUE"""),"Data Center")</f>
        <v>Data Center</v>
      </c>
      <c r="G34" s="18"/>
      <c r="H34" s="19"/>
    </row>
    <row r="35" ht="15.75" customHeight="1"/>
    <row r="36" ht="15.75" customHeight="1">
      <c r="A36" s="51" t="s">
        <v>175</v>
      </c>
    </row>
    <row r="37" ht="15.75" customHeight="1">
      <c r="A37" s="5"/>
      <c r="B37" s="5"/>
      <c r="C37" s="5"/>
      <c r="D37" s="5"/>
      <c r="E37" s="5"/>
      <c r="F37" s="5"/>
      <c r="G37" s="5"/>
      <c r="H37" s="5"/>
    </row>
    <row r="38" ht="15.75" customHeight="1">
      <c r="A38" s="52" t="s">
        <v>176</v>
      </c>
      <c r="B38" s="52" t="s">
        <v>177</v>
      </c>
      <c r="C38" s="54" t="s">
        <v>178</v>
      </c>
      <c r="D38" s="55" t="s">
        <v>119</v>
      </c>
      <c r="E38" s="18"/>
      <c r="F38" s="18"/>
      <c r="G38" s="18"/>
      <c r="H38" s="19"/>
    </row>
    <row r="39" ht="15.75" customHeight="1">
      <c r="A39" s="20" t="s">
        <v>179</v>
      </c>
      <c r="B39" s="20" t="s">
        <v>180</v>
      </c>
      <c r="C39" s="20"/>
      <c r="D39" s="29">
        <v>42.0</v>
      </c>
      <c r="E39" s="18"/>
      <c r="F39" s="18"/>
      <c r="G39" s="18"/>
      <c r="H39" s="19"/>
    </row>
    <row r="40" ht="15.75" customHeight="1">
      <c r="A40" s="20" t="s">
        <v>181</v>
      </c>
      <c r="B40" s="20" t="s">
        <v>180</v>
      </c>
      <c r="C40" s="20" t="s">
        <v>182</v>
      </c>
      <c r="D40" s="29">
        <v>3.0</v>
      </c>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12.0</v>
      </c>
      <c r="E42" s="18"/>
      <c r="F42" s="18"/>
      <c r="G42" s="18"/>
      <c r="H42" s="19"/>
    </row>
    <row r="43" ht="15.75" customHeight="1"/>
    <row r="44" ht="15.75" customHeight="1">
      <c r="A44" s="41" t="s">
        <v>186</v>
      </c>
      <c r="G44" s="31" t="s">
        <v>119</v>
      </c>
      <c r="H44" s="64">
        <f>B50+B61</f>
        <v>30</v>
      </c>
    </row>
    <row r="45" ht="15.75" customHeight="1">
      <c r="G45" s="24" t="s">
        <v>187</v>
      </c>
    </row>
    <row r="46" ht="15.75" customHeight="1">
      <c r="A46" s="24" t="s">
        <v>188</v>
      </c>
    </row>
    <row r="47" ht="23.25" customHeight="1">
      <c r="A47" s="28" t="s">
        <v>189</v>
      </c>
      <c r="B47" s="29" t="s">
        <v>56</v>
      </c>
      <c r="C47" s="18"/>
      <c r="D47" s="18"/>
      <c r="E47" s="18"/>
      <c r="F47" s="18"/>
      <c r="G47" s="18"/>
      <c r="H47" s="19"/>
    </row>
    <row r="48" ht="15.75" customHeight="1">
      <c r="A48" s="28" t="s">
        <v>190</v>
      </c>
      <c r="B48" s="29" t="s">
        <v>191</v>
      </c>
      <c r="C48" s="18"/>
      <c r="D48" s="18"/>
      <c r="E48" s="18"/>
      <c r="F48" s="18"/>
      <c r="G48" s="18"/>
      <c r="H48" s="19"/>
    </row>
    <row r="49" ht="15.75" customHeight="1">
      <c r="A49" s="28" t="s">
        <v>158</v>
      </c>
      <c r="B49" s="65">
        <v>0.45</v>
      </c>
      <c r="C49" s="18"/>
      <c r="D49" s="18"/>
      <c r="E49" s="18"/>
      <c r="F49" s="18"/>
      <c r="G49" s="18"/>
      <c r="H49" s="19"/>
    </row>
    <row r="50" ht="15.75" customHeight="1">
      <c r="A50" s="28" t="s">
        <v>119</v>
      </c>
      <c r="B50" s="29">
        <v>30.0</v>
      </c>
      <c r="C50" s="18"/>
      <c r="D50" s="18"/>
      <c r="E50" s="18"/>
      <c r="F50" s="18"/>
      <c r="G50" s="18"/>
      <c r="H50" s="19"/>
    </row>
    <row r="51" ht="15.75" customHeight="1">
      <c r="A51" s="35" t="s">
        <v>192</v>
      </c>
      <c r="B51" s="5"/>
      <c r="C51" s="5"/>
      <c r="D51" s="5"/>
      <c r="E51" s="5"/>
      <c r="F51" s="5"/>
      <c r="G51" s="5"/>
      <c r="H51" s="5"/>
    </row>
    <row r="52" ht="15.75" customHeight="1">
      <c r="A52" s="44" t="s">
        <v>193</v>
      </c>
      <c r="B52" s="18"/>
      <c r="C52" s="18"/>
      <c r="D52" s="18"/>
      <c r="E52" s="18"/>
      <c r="F52" s="18"/>
      <c r="G52" s="18"/>
      <c r="H52" s="19"/>
    </row>
    <row r="53" ht="15.75" customHeight="1">
      <c r="A53" s="45" t="s">
        <v>204</v>
      </c>
      <c r="B53" s="46"/>
      <c r="C53" s="46"/>
      <c r="D53" s="46"/>
      <c r="E53" s="46"/>
      <c r="F53" s="46"/>
      <c r="G53" s="46"/>
      <c r="H53" s="47"/>
    </row>
    <row r="54" ht="15.75" customHeight="1">
      <c r="A54" s="57"/>
      <c r="H54" s="58"/>
    </row>
    <row r="55" ht="15.75" customHeight="1">
      <c r="A55" s="48"/>
      <c r="B55" s="49"/>
      <c r="C55" s="49"/>
      <c r="D55" s="49"/>
      <c r="E55" s="49"/>
      <c r="F55" s="49"/>
      <c r="G55" s="49"/>
      <c r="H55" s="50"/>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59"/>
      <c r="C60" s="18"/>
      <c r="D60" s="18"/>
      <c r="E60" s="18"/>
      <c r="F60" s="18"/>
      <c r="G60" s="18"/>
      <c r="H60" s="19"/>
    </row>
    <row r="61" ht="15.75" customHeight="1">
      <c r="A61" s="28" t="s">
        <v>119</v>
      </c>
      <c r="B61" s="59"/>
      <c r="C61" s="18"/>
      <c r="D61" s="18"/>
      <c r="E61" s="18"/>
      <c r="F61" s="18"/>
      <c r="G61" s="18"/>
      <c r="H61" s="19"/>
    </row>
    <row r="62" ht="15.75" customHeight="1">
      <c r="A62" s="60" t="s">
        <v>196</v>
      </c>
      <c r="B62" s="5"/>
      <c r="C62" s="5"/>
      <c r="D62" s="5"/>
      <c r="E62" s="5"/>
      <c r="F62" s="5"/>
      <c r="G62" s="5"/>
      <c r="H62" s="5"/>
    </row>
    <row r="63" ht="15.75" customHeight="1">
      <c r="A63" s="44" t="s">
        <v>193</v>
      </c>
      <c r="B63" s="18"/>
      <c r="C63" s="18"/>
      <c r="D63" s="18"/>
      <c r="E63" s="18"/>
      <c r="F63" s="18"/>
      <c r="G63" s="18"/>
      <c r="H63" s="19"/>
    </row>
    <row r="64" ht="15.75" customHeight="1">
      <c r="A64" s="61"/>
      <c r="B64" s="46"/>
      <c r="C64" s="46"/>
      <c r="D64" s="46"/>
      <c r="E64" s="46"/>
      <c r="F64" s="46"/>
      <c r="G64" s="46"/>
      <c r="H64" s="47"/>
    </row>
    <row r="65" ht="15.75" customHeight="1">
      <c r="A65" s="57"/>
      <c r="H65" s="58"/>
    </row>
    <row r="66" ht="15.75" customHeight="1">
      <c r="A66" s="48"/>
      <c r="B66" s="49"/>
      <c r="C66" s="49"/>
      <c r="D66" s="49"/>
      <c r="E66" s="49"/>
      <c r="F66" s="49"/>
      <c r="G66" s="49"/>
      <c r="H66" s="50"/>
    </row>
    <row r="67" ht="15.75" customHeight="1"/>
    <row r="68" ht="15.75" customHeight="1">
      <c r="A68" s="41" t="s">
        <v>197</v>
      </c>
      <c r="G68" s="31" t="s">
        <v>119</v>
      </c>
      <c r="H68" s="42">
        <v>10.0</v>
      </c>
    </row>
    <row r="69" ht="15.75" customHeight="1">
      <c r="G69" s="24" t="s">
        <v>198</v>
      </c>
    </row>
    <row r="70" ht="15.75" customHeight="1">
      <c r="A70" s="28" t="s">
        <v>119</v>
      </c>
      <c r="B70" s="56">
        <v>10.0</v>
      </c>
      <c r="C70" s="18"/>
      <c r="D70" s="18"/>
      <c r="E70" s="18"/>
      <c r="F70" s="18"/>
      <c r="G70" s="18"/>
      <c r="H70" s="19"/>
    </row>
    <row r="71" ht="15.75" customHeight="1">
      <c r="A71" s="55" t="s">
        <v>199</v>
      </c>
      <c r="B71" s="18"/>
      <c r="C71" s="18"/>
      <c r="D71" s="18"/>
      <c r="E71" s="18"/>
      <c r="F71" s="18"/>
      <c r="G71" s="18"/>
      <c r="H71" s="19"/>
    </row>
    <row r="72" ht="15.75" customHeight="1">
      <c r="A72" s="45" t="s">
        <v>205</v>
      </c>
      <c r="B72" s="46"/>
      <c r="C72" s="46"/>
      <c r="D72" s="46"/>
      <c r="E72" s="46"/>
      <c r="F72" s="46"/>
      <c r="G72" s="46"/>
      <c r="H72" s="47"/>
    </row>
    <row r="73" ht="15.75" customHeight="1">
      <c r="A73" s="48"/>
      <c r="B73" s="49"/>
      <c r="C73" s="49"/>
      <c r="D73" s="49"/>
      <c r="E73" s="49"/>
      <c r="F73" s="49"/>
      <c r="G73" s="49"/>
      <c r="H73" s="50"/>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4.0"/>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4.0</v>
      </c>
      <c r="D5" s="18"/>
      <c r="E5" s="18"/>
      <c r="F5" s="18"/>
      <c r="G5" s="19"/>
    </row>
    <row r="6" ht="15.75" customHeight="1">
      <c r="B6" s="40" t="s">
        <v>117</v>
      </c>
      <c r="C6" s="17">
        <f>H10+H21+H46+H70</f>
        <v>123</v>
      </c>
      <c r="D6" s="18"/>
      <c r="E6" s="18"/>
      <c r="F6" s="18"/>
      <c r="G6" s="19"/>
      <c r="I6" s="5"/>
    </row>
    <row r="7" ht="15.75" customHeight="1">
      <c r="B7" s="40" t="s">
        <v>158</v>
      </c>
      <c r="C7" s="17">
        <f>B51+B62</f>
        <v>0.45</v>
      </c>
      <c r="D7" s="18"/>
      <c r="E7" s="18"/>
      <c r="F7" s="18"/>
      <c r="G7" s="19"/>
    </row>
    <row r="8" ht="15.75" customHeight="1">
      <c r="B8" s="40" t="s">
        <v>159</v>
      </c>
      <c r="C8" s="17" t="str">
        <f>IF(H46&lt;=0, "❌ ERROR: La Actividad 1 debe tener un tiempo mayor a 0.", IF(H21&gt;60, "❌ ERROR: El 'Área de Conocimiento' no puede exceder los 60 min.", IF((H10+H21+H46)&lt;100,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3.0</v>
      </c>
    </row>
    <row r="11" ht="15.75" customHeight="1">
      <c r="G11" s="24" t="s">
        <v>161</v>
      </c>
    </row>
    <row r="12" ht="15.75" customHeight="1">
      <c r="A12" s="28" t="s">
        <v>162</v>
      </c>
      <c r="B12" s="29" t="s">
        <v>206</v>
      </c>
      <c r="C12" s="18"/>
      <c r="D12" s="18"/>
      <c r="E12" s="18"/>
      <c r="F12" s="18"/>
      <c r="G12" s="18"/>
      <c r="H12" s="19"/>
    </row>
    <row r="13" ht="15.75" customHeight="1">
      <c r="A13" s="43" t="s">
        <v>119</v>
      </c>
      <c r="B13" s="29">
        <v>3.0</v>
      </c>
      <c r="C13" s="18"/>
      <c r="D13" s="18"/>
      <c r="E13" s="18"/>
      <c r="F13" s="18"/>
      <c r="G13" s="18"/>
      <c r="H13" s="19"/>
    </row>
    <row r="14" ht="15.75" customHeight="1">
      <c r="A14" s="44" t="s">
        <v>164</v>
      </c>
      <c r="B14" s="18"/>
      <c r="C14" s="18"/>
      <c r="D14" s="18"/>
      <c r="E14" s="18"/>
      <c r="F14" s="18"/>
      <c r="G14" s="18"/>
      <c r="H14" s="19"/>
    </row>
    <row r="15" ht="15.75" customHeight="1">
      <c r="A15" s="45" t="s">
        <v>207</v>
      </c>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62" t="s">
        <v>208</v>
      </c>
      <c r="B18" s="46"/>
      <c r="C18" s="46"/>
      <c r="D18" s="46"/>
      <c r="E18" s="46"/>
      <c r="F18" s="46"/>
      <c r="G18" s="46"/>
      <c r="H18" s="47"/>
    </row>
    <row r="19" ht="15.75" customHeight="1">
      <c r="A19" s="48"/>
      <c r="B19" s="49"/>
      <c r="C19" s="49"/>
      <c r="D19" s="49"/>
      <c r="E19" s="49"/>
      <c r="F19" s="49"/>
      <c r="G19" s="49"/>
      <c r="H19" s="50"/>
    </row>
    <row r="20" ht="15.75" customHeight="1"/>
    <row r="21" ht="15.75" customHeight="1">
      <c r="A21" s="41" t="s">
        <v>168</v>
      </c>
      <c r="G21" s="31" t="s">
        <v>119</v>
      </c>
      <c r="H21" s="64">
        <f>D41+D42+D43+D44</f>
        <v>60</v>
      </c>
      <c r="I21" s="5"/>
    </row>
    <row r="22" ht="15.75" customHeight="1">
      <c r="G22" s="24" t="s">
        <v>169</v>
      </c>
    </row>
    <row r="23" ht="15.75" customHeight="1">
      <c r="A23" s="28" t="s">
        <v>170</v>
      </c>
      <c r="B23" s="29" t="s">
        <v>12</v>
      </c>
      <c r="C23" s="18"/>
      <c r="D23" s="18"/>
      <c r="E23" s="18"/>
      <c r="F23" s="18"/>
      <c r="G23" s="18"/>
      <c r="H23" s="19"/>
    </row>
    <row r="24" ht="15.75" customHeight="1">
      <c r="A24" s="28" t="s">
        <v>170</v>
      </c>
      <c r="B24" s="29" t="s">
        <v>209</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2 - Dispositivos y Protocolos en la Capa 2: Segmentación y Direccionamiento")</f>
        <v>Unidad 2 - Dispositivos y Protocolos en la Capa 2: Segmentación y Direccionamiento</v>
      </c>
      <c r="C28" s="19"/>
      <c r="D28" s="17" t="str">
        <f>IFERROR(__xludf.DUMMYFUNCTION("FILTER('Diseño'!E:E,'Diseño'!H:H=$C$5)"),"Configuraciones Básicas de Dispositivos de Capa 2 - Hub y Switch")</f>
        <v>Configuraciones Básicas de Dispositivos de Capa 2 - Hub y Switch</v>
      </c>
      <c r="E28" s="19"/>
      <c r="F28" s="17" t="str">
        <f>IFERROR(__xludf.DUMMYFUNCTION("FILTER('Diseño'!F:F,'Diseño'!H:H=$C$5)"),"Tipos y Modos de Acceso")</f>
        <v>Tipos y Modos de Acceso</v>
      </c>
      <c r="G28" s="18"/>
      <c r="H28" s="19"/>
    </row>
    <row r="29" ht="15.75" customHeight="1">
      <c r="A29" s="20">
        <v>2.0</v>
      </c>
      <c r="B29" s="17" t="str">
        <f>IFERROR(__xludf.DUMMYFUNCTION("""COMPUTED_VALUE"""),"Unidad 2 - Dispositivos y Protocolos en la Capa 2: Segmentación y Direccionamiento")</f>
        <v>Unidad 2 - Dispositivos y Protocolos en la Capa 2: Segmentación y Direccionamiento</v>
      </c>
      <c r="C29" s="19"/>
      <c r="D29" s="17" t="str">
        <f>IFERROR(__xludf.DUMMYFUNCTION("""COMPUTED_VALUE"""),"Configuraciones Básicas de Dispositivos de Capa 2 - Hub y Switch")</f>
        <v>Configuraciones Básicas de Dispositivos de Capa 2 - Hub y Switch</v>
      </c>
      <c r="E29" s="19"/>
      <c r="F29" s="17" t="str">
        <f>IFERROR(__xludf.DUMMYFUNCTION("""COMPUTED_VALUE"""),"Direcciones MAC")</f>
        <v>Direcciones MAC</v>
      </c>
      <c r="G29" s="18"/>
      <c r="H29" s="19"/>
    </row>
    <row r="30" ht="15.75" customHeight="1">
      <c r="A30" s="20">
        <v>3.0</v>
      </c>
      <c r="B30" s="17" t="str">
        <f>IFERROR(__xludf.DUMMYFUNCTION("""COMPUTED_VALUE"""),"Unidad 2 - Dispositivos y Protocolos en la Capa 2: Segmentación y Direccionamiento")</f>
        <v>Unidad 2 - Dispositivos y Protocolos en la Capa 2: Segmentación y Direccionamiento</v>
      </c>
      <c r="C30" s="19"/>
      <c r="D30" s="17" t="str">
        <f>IFERROR(__xludf.DUMMYFUNCTION("""COMPUTED_VALUE"""),"Configuraciones Básicas de Dispositivos de Capa 2 - Hub y Switch")</f>
        <v>Configuraciones Básicas de Dispositivos de Capa 2 - Hub y Switch</v>
      </c>
      <c r="E30" s="19"/>
      <c r="F30" s="17" t="str">
        <f>IFERROR(__xludf.DUMMYFUNCTION("""COMPUTED_VALUE"""),"Tabla Direcciones MAC")</f>
        <v>Tabla Direcciones MAC</v>
      </c>
      <c r="G30" s="18"/>
      <c r="H30" s="19"/>
    </row>
    <row r="31" ht="15.75" customHeight="1">
      <c r="A31" s="20">
        <v>4.0</v>
      </c>
      <c r="B31" s="17" t="str">
        <f>IFERROR(__xludf.DUMMYFUNCTION("""COMPUTED_VALUE"""),"Unidad 2 - Dispositivos y Protocolos en la Capa 2: Segmentación y Direccionamiento")</f>
        <v>Unidad 2 - Dispositivos y Protocolos en la Capa 2: Segmentación y Direccionamiento</v>
      </c>
      <c r="C31" s="19"/>
      <c r="D31" s="17" t="str">
        <f>IFERROR(__xludf.DUMMYFUNCTION("""COMPUTED_VALUE"""),"Configuraciones Básicas de Dispositivos de Capa 2 - Hub y Switch")</f>
        <v>Configuraciones Básicas de Dispositivos de Capa 2 - Hub y Switch</v>
      </c>
      <c r="E31" s="19"/>
      <c r="F31" s="17" t="str">
        <f>IFERROR(__xludf.DUMMYFUNCTION("""COMPUTED_VALUE"""),"Patrones de Mensajes")</f>
        <v>Patrones de Mensajes</v>
      </c>
      <c r="G31" s="18"/>
      <c r="H31" s="19"/>
    </row>
    <row r="32" ht="15.75" customHeight="1">
      <c r="A32" s="20">
        <v>5.0</v>
      </c>
      <c r="B32" s="17" t="str">
        <f>IFERROR(__xludf.DUMMYFUNCTION("""COMPUTED_VALUE"""),"Unidad 2 - Dispositivos y Protocolos en la Capa 2: Segmentación y Direccionamiento")</f>
        <v>Unidad 2 - Dispositivos y Protocolos en la Capa 2: Segmentación y Direccionamiento</v>
      </c>
      <c r="C32" s="19"/>
      <c r="D32" s="17" t="str">
        <f>IFERROR(__xludf.DUMMYFUNCTION("""COMPUTED_VALUE"""),"Configuraciones Básicas de Dispositivos de Capa 2 - Hub y Switch")</f>
        <v>Configuraciones Básicas de Dispositivos de Capa 2 - Hub y Switch</v>
      </c>
      <c r="E32" s="19"/>
      <c r="F32" s="17" t="str">
        <f>IFERROR(__xludf.DUMMYFUNCTION("""COMPUTED_VALUE"""),"Conmutación")</f>
        <v>Conmutación</v>
      </c>
      <c r="G32" s="18"/>
      <c r="H32" s="19"/>
    </row>
    <row r="33" ht="15.75" customHeight="1">
      <c r="A33" s="20">
        <v>6.0</v>
      </c>
      <c r="B33" s="17" t="str">
        <f>IFERROR(__xludf.DUMMYFUNCTION("""COMPUTED_VALUE"""),"Unidad 2 - Dispositivos y Protocolos en la Capa 2: Segmentación y Direccionamiento")</f>
        <v>Unidad 2 - Dispositivos y Protocolos en la Capa 2: Segmentación y Direccionamiento</v>
      </c>
      <c r="C33" s="19"/>
      <c r="D33" s="17" t="str">
        <f>IFERROR(__xludf.DUMMYFUNCTION("""COMPUTED_VALUE"""),"Configuraciones Básicas de Dispositivos de Capa 2 - Hub y Switch")</f>
        <v>Configuraciones Básicas de Dispositivos de Capa 2 - Hub y Switch</v>
      </c>
      <c r="E33" s="19"/>
      <c r="F33" s="17" t="str">
        <f>IFERROR(__xludf.DUMMYFUNCTION("""COMPUTED_VALUE"""),"HUB y Dominio de Colisión")</f>
        <v>HUB y Dominio de Colisión</v>
      </c>
      <c r="G33" s="18"/>
      <c r="H33" s="19"/>
    </row>
    <row r="34" ht="15.75" customHeight="1">
      <c r="A34" s="20">
        <v>7.0</v>
      </c>
      <c r="B34" s="17" t="str">
        <f>IFERROR(__xludf.DUMMYFUNCTION("""COMPUTED_VALUE"""),"Unidad 2 - Dispositivos y Protocolos en la Capa 2: Segmentación y Direccionamiento")</f>
        <v>Unidad 2 - Dispositivos y Protocolos en la Capa 2: Segmentación y Direccionamiento</v>
      </c>
      <c r="C34" s="19"/>
      <c r="D34" s="17" t="str">
        <f>IFERROR(__xludf.DUMMYFUNCTION("""COMPUTED_VALUE"""),"Configuraciones Básicas de Dispositivos de Capa 2 - Hub y Switch")</f>
        <v>Configuraciones Básicas de Dispositivos de Capa 2 - Hub y Switch</v>
      </c>
      <c r="E34" s="19"/>
      <c r="F34" s="17" t="str">
        <f>IFERROR(__xludf.DUMMYFUNCTION("""COMPUTED_VALUE"""),"Switch y Dominio de Colisión")</f>
        <v>Switch y Dominio de Colisión</v>
      </c>
      <c r="G34" s="18"/>
      <c r="H34" s="19"/>
    </row>
    <row r="35" ht="15.75" customHeight="1">
      <c r="A35" s="20">
        <v>8.0</v>
      </c>
      <c r="B35" s="17" t="str">
        <f>IFERROR(__xludf.DUMMYFUNCTION("""COMPUTED_VALUE"""),"Unidad 2 - Dispositivos y Protocolos en la Capa 2: Segmentación y Direccionamiento")</f>
        <v>Unidad 2 - Dispositivos y Protocolos en la Capa 2: Segmentación y Direccionamiento</v>
      </c>
      <c r="C35" s="19"/>
      <c r="D35" s="17" t="str">
        <f>IFERROR(__xludf.DUMMYFUNCTION("""COMPUTED_VALUE"""),"Configuraciones Básicas de Dispositivos de Capa 2 - Hub y Switch")</f>
        <v>Configuraciones Básicas de Dispositivos de Capa 2 - Hub y Switch</v>
      </c>
      <c r="E35" s="19"/>
      <c r="F35" s="17" t="str">
        <f>IFERROR(__xludf.DUMMYFUNCTION("""COMPUTED_VALUE"""),"Switching y ARP")</f>
        <v>Switching y ARP</v>
      </c>
      <c r="G35" s="18"/>
      <c r="H35" s="19"/>
    </row>
    <row r="36" ht="15.75" customHeight="1">
      <c r="A36" s="20">
        <v>9.0</v>
      </c>
      <c r="B36" s="17" t="str">
        <f>IFERROR(__xludf.DUMMYFUNCTION("""COMPUTED_VALUE"""),"Unidad 2 - Dispositivos y Protocolos en la Capa 2: Segmentación y Direccionamiento")</f>
        <v>Unidad 2 - Dispositivos y Protocolos en la Capa 2: Segmentación y Direccionamiento</v>
      </c>
      <c r="C36" s="19"/>
      <c r="D36" s="17" t="str">
        <f>IFERROR(__xludf.DUMMYFUNCTION("""COMPUTED_VALUE"""),"Configuraciones Básicas de Dispositivos de Capa 2 - Hub y Switch")</f>
        <v>Configuraciones Básicas de Dispositivos de Capa 2 - Hub y Switch</v>
      </c>
      <c r="E36" s="19"/>
      <c r="F36" s="17" t="str">
        <f>IFERROR(__xludf.DUMMYFUNCTION("""COMPUTED_VALUE"""),"Comandos Básicos en Dispositivos Cisco")</f>
        <v>Comandos Básicos en Dispositivos Cisco</v>
      </c>
      <c r="G36" s="18"/>
      <c r="H36" s="19"/>
    </row>
    <row r="37" ht="15.75" customHeight="1"/>
    <row r="38" ht="15.75" customHeight="1">
      <c r="A38" s="51" t="s">
        <v>175</v>
      </c>
    </row>
    <row r="39" ht="15.75" customHeight="1">
      <c r="A39" s="5"/>
      <c r="B39" s="5"/>
      <c r="C39" s="5"/>
      <c r="D39" s="5"/>
      <c r="E39" s="5"/>
      <c r="F39" s="5"/>
      <c r="G39" s="5"/>
      <c r="H39" s="5"/>
    </row>
    <row r="40" ht="15.75" customHeight="1">
      <c r="A40" s="52" t="s">
        <v>176</v>
      </c>
      <c r="B40" s="52" t="s">
        <v>177</v>
      </c>
      <c r="C40" s="54" t="s">
        <v>178</v>
      </c>
      <c r="D40" s="55" t="s">
        <v>119</v>
      </c>
      <c r="E40" s="18"/>
      <c r="F40" s="18"/>
      <c r="G40" s="18"/>
      <c r="H40" s="19"/>
    </row>
    <row r="41" ht="15.75" customHeight="1">
      <c r="A41" s="20" t="s">
        <v>179</v>
      </c>
      <c r="B41" s="20" t="s">
        <v>180</v>
      </c>
      <c r="C41" s="66" t="s">
        <v>210</v>
      </c>
      <c r="D41" s="29">
        <v>30.0</v>
      </c>
      <c r="E41" s="18"/>
      <c r="F41" s="18"/>
      <c r="G41" s="18"/>
      <c r="H41" s="19"/>
    </row>
    <row r="42" ht="15.75" customHeight="1">
      <c r="A42" s="20" t="s">
        <v>181</v>
      </c>
      <c r="B42" s="20" t="s">
        <v>180</v>
      </c>
      <c r="C42" s="20" t="s">
        <v>182</v>
      </c>
      <c r="D42" s="29">
        <v>3.0</v>
      </c>
      <c r="E42" s="18"/>
      <c r="F42" s="18"/>
      <c r="G42" s="18"/>
      <c r="H42" s="19"/>
    </row>
    <row r="43" ht="15.75" customHeight="1">
      <c r="A43" s="20" t="s">
        <v>183</v>
      </c>
      <c r="B43" s="20" t="s">
        <v>184</v>
      </c>
      <c r="C43" s="20"/>
      <c r="D43" s="17"/>
      <c r="E43" s="18"/>
      <c r="F43" s="18"/>
      <c r="G43" s="18"/>
      <c r="H43" s="19"/>
    </row>
    <row r="44" ht="15.75" customHeight="1">
      <c r="A44" s="20" t="s">
        <v>185</v>
      </c>
      <c r="B44" s="20" t="s">
        <v>180</v>
      </c>
      <c r="C44" s="66" t="s">
        <v>211</v>
      </c>
      <c r="D44" s="29">
        <v>27.0</v>
      </c>
      <c r="E44" s="18"/>
      <c r="F44" s="18"/>
      <c r="G44" s="18"/>
      <c r="H44" s="19"/>
    </row>
    <row r="45" ht="15.75" customHeight="1"/>
    <row r="46" ht="15.75" customHeight="1">
      <c r="A46" s="41" t="s">
        <v>186</v>
      </c>
      <c r="G46" s="31" t="s">
        <v>119</v>
      </c>
      <c r="H46" s="64">
        <f>B52+B63</f>
        <v>50</v>
      </c>
    </row>
    <row r="47" ht="15.75" customHeight="1">
      <c r="G47" s="24" t="s">
        <v>187</v>
      </c>
    </row>
    <row r="48" ht="15.75" customHeight="1">
      <c r="A48" s="24" t="s">
        <v>188</v>
      </c>
    </row>
    <row r="49">
      <c r="A49" s="28" t="s">
        <v>189</v>
      </c>
      <c r="B49" s="29" t="s">
        <v>12</v>
      </c>
      <c r="C49" s="18"/>
      <c r="D49" s="18"/>
      <c r="E49" s="18"/>
      <c r="F49" s="18"/>
      <c r="G49" s="18"/>
      <c r="H49" s="19"/>
    </row>
    <row r="50" ht="15.75" customHeight="1">
      <c r="A50" s="28" t="s">
        <v>190</v>
      </c>
      <c r="B50" s="29" t="s">
        <v>191</v>
      </c>
      <c r="C50" s="18"/>
      <c r="D50" s="18"/>
      <c r="E50" s="18"/>
      <c r="F50" s="18"/>
      <c r="G50" s="18"/>
      <c r="H50" s="19"/>
    </row>
    <row r="51" ht="15.75" customHeight="1">
      <c r="A51" s="28" t="s">
        <v>158</v>
      </c>
      <c r="B51" s="56">
        <v>0.45</v>
      </c>
      <c r="C51" s="18"/>
      <c r="D51" s="18"/>
      <c r="E51" s="18"/>
      <c r="F51" s="18"/>
      <c r="G51" s="18"/>
      <c r="H51" s="19"/>
    </row>
    <row r="52" ht="15.75" customHeight="1">
      <c r="A52" s="28" t="s">
        <v>119</v>
      </c>
      <c r="B52" s="29">
        <v>50.0</v>
      </c>
      <c r="C52" s="18"/>
      <c r="D52" s="18"/>
      <c r="E52" s="18"/>
      <c r="F52" s="18"/>
      <c r="G52" s="18"/>
      <c r="H52" s="19"/>
    </row>
    <row r="53" ht="15.75" customHeight="1">
      <c r="A53" s="35" t="s">
        <v>192</v>
      </c>
      <c r="B53" s="5"/>
      <c r="C53" s="5"/>
      <c r="D53" s="5"/>
      <c r="E53" s="5"/>
      <c r="F53" s="5"/>
      <c r="G53" s="5"/>
      <c r="H53" s="5"/>
    </row>
    <row r="54" ht="15.75" customHeight="1">
      <c r="A54" s="44" t="s">
        <v>193</v>
      </c>
      <c r="B54" s="18"/>
      <c r="C54" s="18"/>
      <c r="D54" s="18"/>
      <c r="E54" s="18"/>
      <c r="F54" s="18"/>
      <c r="G54" s="18"/>
      <c r="H54" s="19"/>
    </row>
    <row r="55" ht="15.75" customHeight="1">
      <c r="A55" s="45" t="s">
        <v>212</v>
      </c>
      <c r="B55" s="46"/>
      <c r="C55" s="46"/>
      <c r="D55" s="46"/>
      <c r="E55" s="46"/>
      <c r="F55" s="46"/>
      <c r="G55" s="46"/>
      <c r="H55" s="47"/>
    </row>
    <row r="56" ht="15.75" customHeight="1">
      <c r="A56" s="57"/>
      <c r="H56" s="58"/>
    </row>
    <row r="57" ht="15.75" customHeight="1">
      <c r="A57" s="48"/>
      <c r="B57" s="49"/>
      <c r="C57" s="49"/>
      <c r="D57" s="49"/>
      <c r="E57" s="49"/>
      <c r="F57" s="49"/>
      <c r="G57" s="49"/>
      <c r="H57" s="50"/>
    </row>
    <row r="58" ht="15.75" customHeight="1"/>
    <row r="59" ht="15.75" customHeight="1">
      <c r="A59" s="24" t="s">
        <v>195</v>
      </c>
    </row>
    <row r="60">
      <c r="A60" s="28" t="s">
        <v>189</v>
      </c>
      <c r="B60" s="17"/>
      <c r="C60" s="18"/>
      <c r="D60" s="18"/>
      <c r="E60" s="18"/>
      <c r="F60" s="18"/>
      <c r="G60" s="18"/>
      <c r="H60" s="19"/>
    </row>
    <row r="61" ht="15.75" customHeight="1">
      <c r="A61" s="28" t="s">
        <v>190</v>
      </c>
      <c r="B61" s="17"/>
      <c r="C61" s="18"/>
      <c r="D61" s="18"/>
      <c r="E61" s="18"/>
      <c r="F61" s="18"/>
      <c r="G61" s="18"/>
      <c r="H61" s="19"/>
    </row>
    <row r="62" ht="15.75" customHeight="1">
      <c r="A62" s="28" t="s">
        <v>158</v>
      </c>
      <c r="B62" s="59"/>
      <c r="C62" s="18"/>
      <c r="D62" s="18"/>
      <c r="E62" s="18"/>
      <c r="F62" s="18"/>
      <c r="G62" s="18"/>
      <c r="H62" s="19"/>
    </row>
    <row r="63" ht="15.75" customHeight="1">
      <c r="A63" s="28" t="s">
        <v>119</v>
      </c>
      <c r="B63" s="59"/>
      <c r="C63" s="18"/>
      <c r="D63" s="18"/>
      <c r="E63" s="18"/>
      <c r="F63" s="18"/>
      <c r="G63" s="18"/>
      <c r="H63" s="19"/>
    </row>
    <row r="64" ht="15.75" customHeight="1">
      <c r="A64" s="60" t="s">
        <v>196</v>
      </c>
      <c r="B64" s="5"/>
      <c r="C64" s="5"/>
      <c r="D64" s="5"/>
      <c r="E64" s="5"/>
      <c r="F64" s="5"/>
      <c r="G64" s="5"/>
      <c r="H64" s="5"/>
    </row>
    <row r="65" ht="15.75" customHeight="1">
      <c r="A65" s="44" t="s">
        <v>193</v>
      </c>
      <c r="B65" s="18"/>
      <c r="C65" s="18"/>
      <c r="D65" s="18"/>
      <c r="E65" s="18"/>
      <c r="F65" s="18"/>
      <c r="G65" s="18"/>
      <c r="H65" s="19"/>
    </row>
    <row r="66" ht="15.75" customHeight="1">
      <c r="A66" s="61"/>
      <c r="B66" s="46"/>
      <c r="C66" s="46"/>
      <c r="D66" s="46"/>
      <c r="E66" s="46"/>
      <c r="F66" s="46"/>
      <c r="G66" s="46"/>
      <c r="H66" s="47"/>
    </row>
    <row r="67" ht="15.75" customHeight="1">
      <c r="A67" s="57"/>
      <c r="H67" s="58"/>
    </row>
    <row r="68" ht="15.75" customHeight="1">
      <c r="A68" s="48"/>
      <c r="B68" s="49"/>
      <c r="C68" s="49"/>
      <c r="D68" s="49"/>
      <c r="E68" s="49"/>
      <c r="F68" s="49"/>
      <c r="G68" s="49"/>
      <c r="H68" s="50"/>
    </row>
    <row r="69" ht="15.75" customHeight="1"/>
    <row r="70" ht="15.75" customHeight="1">
      <c r="A70" s="41" t="s">
        <v>197</v>
      </c>
      <c r="G70" s="31" t="s">
        <v>119</v>
      </c>
      <c r="H70" s="42">
        <v>10.0</v>
      </c>
    </row>
    <row r="71" ht="15.75" customHeight="1">
      <c r="G71" s="24" t="s">
        <v>198</v>
      </c>
    </row>
    <row r="72" ht="15.75" customHeight="1">
      <c r="A72" s="28" t="s">
        <v>119</v>
      </c>
      <c r="B72" s="56">
        <v>10.0</v>
      </c>
      <c r="C72" s="18"/>
      <c r="D72" s="18"/>
      <c r="E72" s="18"/>
      <c r="F72" s="18"/>
      <c r="G72" s="18"/>
      <c r="H72" s="19"/>
    </row>
    <row r="73" ht="15.75" customHeight="1">
      <c r="A73" s="55" t="s">
        <v>199</v>
      </c>
      <c r="B73" s="18"/>
      <c r="C73" s="18"/>
      <c r="D73" s="18"/>
      <c r="E73" s="18"/>
      <c r="F73" s="18"/>
      <c r="G73" s="18"/>
      <c r="H73" s="19"/>
    </row>
    <row r="74" ht="15.75" customHeight="1">
      <c r="A74" s="45" t="s">
        <v>200</v>
      </c>
      <c r="B74" s="46"/>
      <c r="C74" s="46"/>
      <c r="D74" s="46"/>
      <c r="E74" s="46"/>
      <c r="F74" s="46"/>
      <c r="G74" s="46"/>
      <c r="H74" s="47"/>
    </row>
    <row r="75" ht="15.75" customHeight="1">
      <c r="A75" s="48"/>
      <c r="B75" s="49"/>
      <c r="C75" s="49"/>
      <c r="D75" s="49"/>
      <c r="E75" s="49"/>
      <c r="F75" s="49"/>
      <c r="G75" s="49"/>
      <c r="H75" s="50"/>
    </row>
    <row r="76" ht="15.75" customHeight="1">
      <c r="A76" s="24" t="s">
        <v>200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7">
    <mergeCell ref="B32:C32"/>
    <mergeCell ref="D32:E32"/>
    <mergeCell ref="F32:H32"/>
    <mergeCell ref="B33:C33"/>
    <mergeCell ref="D33:E33"/>
    <mergeCell ref="F33:H33"/>
    <mergeCell ref="B34:C34"/>
    <mergeCell ref="B35:C35"/>
    <mergeCell ref="D35:E35"/>
    <mergeCell ref="F35:H35"/>
    <mergeCell ref="B36:C36"/>
    <mergeCell ref="D36:E36"/>
    <mergeCell ref="F36:H36"/>
    <mergeCell ref="D40:H40"/>
    <mergeCell ref="B63:H63"/>
    <mergeCell ref="A65:H65"/>
    <mergeCell ref="A66:H68"/>
    <mergeCell ref="A70:F70"/>
    <mergeCell ref="B72:H72"/>
    <mergeCell ref="A73:H73"/>
    <mergeCell ref="A74:H75"/>
    <mergeCell ref="B51:H51"/>
    <mergeCell ref="B52:H52"/>
    <mergeCell ref="A54:H54"/>
    <mergeCell ref="A55:H57"/>
    <mergeCell ref="B60:H60"/>
    <mergeCell ref="B61:H61"/>
    <mergeCell ref="B62:H62"/>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D41:H41"/>
    <mergeCell ref="D42:H42"/>
    <mergeCell ref="D43:H43"/>
    <mergeCell ref="D44:H44"/>
    <mergeCell ref="A46:F46"/>
    <mergeCell ref="B49:H49"/>
    <mergeCell ref="B50:H50"/>
  </mergeCells>
  <dataValidations>
    <dataValidation type="list" allowBlank="1" showErrorMessage="1" sqref="B23:B24 B49 B60">
      <formula1>METADATA!$I$17:$I$40</formula1>
    </dataValidation>
    <dataValidation type="list" allowBlank="1" showErrorMessage="1" sqref="B50">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5.0</v>
      </c>
      <c r="D5" s="18"/>
      <c r="E5" s="18"/>
      <c r="F5" s="18"/>
      <c r="G5" s="19"/>
    </row>
    <row r="6" ht="15.75" customHeight="1">
      <c r="B6" s="40" t="s">
        <v>117</v>
      </c>
      <c r="C6" s="17">
        <f>H10+H21+H44+H68</f>
        <v>120</v>
      </c>
      <c r="D6" s="18"/>
      <c r="E6" s="18"/>
      <c r="F6" s="18"/>
      <c r="G6" s="19"/>
      <c r="I6" s="5"/>
    </row>
    <row r="7" ht="15.75" customHeight="1">
      <c r="B7" s="40" t="s">
        <v>158</v>
      </c>
      <c r="C7" s="17">
        <f>B49+B60</f>
        <v>0.5</v>
      </c>
      <c r="D7" s="18"/>
      <c r="E7" s="18"/>
      <c r="F7" s="18"/>
      <c r="G7" s="19"/>
    </row>
    <row r="8" ht="31.5" customHeight="1">
      <c r="B8" s="40" t="s">
        <v>159</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5.0</v>
      </c>
    </row>
    <row r="11" ht="15.75" customHeight="1">
      <c r="G11" s="24" t="s">
        <v>161</v>
      </c>
    </row>
    <row r="12" ht="15.75" customHeight="1">
      <c r="A12" s="28" t="s">
        <v>162</v>
      </c>
      <c r="B12" s="29" t="s">
        <v>213</v>
      </c>
      <c r="C12" s="18"/>
      <c r="D12" s="18"/>
      <c r="E12" s="18"/>
      <c r="F12" s="18"/>
      <c r="G12" s="18"/>
      <c r="H12" s="19"/>
    </row>
    <row r="13" ht="15.75" customHeight="1">
      <c r="A13" s="43" t="s">
        <v>119</v>
      </c>
      <c r="B13" s="29">
        <v>5.0</v>
      </c>
      <c r="C13" s="18"/>
      <c r="D13" s="18"/>
      <c r="E13" s="18"/>
      <c r="F13" s="18"/>
      <c r="G13" s="18"/>
      <c r="H13" s="19"/>
    </row>
    <row r="14" ht="15.75" customHeight="1">
      <c r="A14" s="44" t="s">
        <v>164</v>
      </c>
      <c r="B14" s="18"/>
      <c r="C14" s="18"/>
      <c r="D14" s="18"/>
      <c r="E14" s="18"/>
      <c r="F14" s="18"/>
      <c r="G14" s="18"/>
      <c r="H14" s="19"/>
    </row>
    <row r="15" ht="15.75" customHeight="1">
      <c r="A15" s="45" t="s">
        <v>214</v>
      </c>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45" t="s">
        <v>215</v>
      </c>
      <c r="B18" s="46"/>
      <c r="C18" s="46"/>
      <c r="D18" s="46"/>
      <c r="E18" s="46"/>
      <c r="F18" s="46"/>
      <c r="G18" s="46"/>
      <c r="H18" s="47"/>
    </row>
    <row r="19" ht="15.75" customHeight="1">
      <c r="A19" s="48"/>
      <c r="B19" s="49"/>
      <c r="C19" s="49"/>
      <c r="D19" s="49"/>
      <c r="E19" s="49"/>
      <c r="F19" s="49"/>
      <c r="G19" s="49"/>
      <c r="H19" s="50"/>
    </row>
    <row r="20" ht="15.75" customHeight="1"/>
    <row r="21" ht="15.75" customHeight="1">
      <c r="A21" s="41" t="s">
        <v>168</v>
      </c>
      <c r="G21" s="31" t="s">
        <v>119</v>
      </c>
      <c r="H21" s="42">
        <v>60.0</v>
      </c>
      <c r="I21" s="5"/>
    </row>
    <row r="22" ht="15.75" customHeight="1">
      <c r="G22" s="24" t="s">
        <v>169</v>
      </c>
    </row>
    <row r="23" ht="15.75" customHeight="1">
      <c r="A23" s="28" t="s">
        <v>170</v>
      </c>
      <c r="B23" s="29" t="s">
        <v>99</v>
      </c>
      <c r="C23" s="18"/>
      <c r="D23" s="18"/>
      <c r="E23" s="18"/>
      <c r="F23" s="18"/>
      <c r="G23" s="18"/>
      <c r="H23" s="19"/>
    </row>
    <row r="24" ht="15.75" customHeight="1">
      <c r="A24" s="28" t="s">
        <v>170</v>
      </c>
      <c r="B24" s="29" t="s">
        <v>70</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2 - Dispositivos y Protocolos en la Capa 2: Segmentación y Direccionamiento")</f>
        <v>Unidad 2 - Dispositivos y Protocolos en la Capa 2: Segmentación y Direccionamiento</v>
      </c>
      <c r="C28" s="19"/>
      <c r="D28" s="17" t="str">
        <f>IFERROR(__xludf.DUMMYFUNCTION("FILTER('Diseño'!E:E,'Diseño'!H:H=$C$5)"),"VLAN’S")</f>
        <v>VLAN’S</v>
      </c>
      <c r="E28" s="19"/>
      <c r="F28" s="17" t="str">
        <f>IFERROR(__xludf.DUMMYFUNCTION("FILTER('Diseño'!F:F,'Diseño'!H:H=$C$5)"),"Definición y Tipos de VLAN")</f>
        <v>Definición y Tipos de VLAN</v>
      </c>
      <c r="G28" s="18"/>
      <c r="H28" s="19"/>
    </row>
    <row r="29" ht="15.75" customHeight="1">
      <c r="A29" s="20">
        <v>2.0</v>
      </c>
      <c r="B29" s="17" t="str">
        <f>IFERROR(__xludf.DUMMYFUNCTION("""COMPUTED_VALUE"""),"Unidad 2 - Dispositivos y Protocolos en la Capa 2: Segmentación y Direccionamiento")</f>
        <v>Unidad 2 - Dispositivos y Protocolos en la Capa 2: Segmentación y Direccionamiento</v>
      </c>
      <c r="C29" s="19"/>
      <c r="D29" s="17" t="str">
        <f>IFERROR(__xludf.DUMMYFUNCTION("""COMPUTED_VALUE"""),"VLAN’S")</f>
        <v>VLAN’S</v>
      </c>
      <c r="E29" s="19"/>
      <c r="F29" s="17" t="str">
        <f>IFERROR(__xludf.DUMMYFUNCTION("""COMPUTED_VALUE"""),"Creación de VLANs en Switches y Configuración de Puertos")</f>
        <v>Creación de VLANs en Switches y Configuración de Puertos</v>
      </c>
      <c r="G29" s="18"/>
      <c r="H29" s="19"/>
    </row>
    <row r="30" ht="15.75" customHeight="1">
      <c r="A30" s="20">
        <v>3.0</v>
      </c>
      <c r="B30" s="17" t="str">
        <f>IFERROR(__xludf.DUMMYFUNCTION("""COMPUTED_VALUE"""),"Unidad 2 - Dispositivos y Protocolos en la Capa 2: Segmentación y Direccionamiento")</f>
        <v>Unidad 2 - Dispositivos y Protocolos en la Capa 2: Segmentación y Direccionamiento</v>
      </c>
      <c r="C30" s="19"/>
      <c r="D30" s="17" t="str">
        <f>IFERROR(__xludf.DUMMYFUNCTION("""COMPUTED_VALUE"""),"VLAN’S")</f>
        <v>VLAN’S</v>
      </c>
      <c r="E30" s="19"/>
      <c r="F30" s="17" t="str">
        <f>IFERROR(__xludf.DUMMYFUNCTION("""COMPUTED_VALUE"""),"Beneficios y Desafíos del Uso de VLANs")</f>
        <v>Beneficios y Desafíos del Uso de VLANs</v>
      </c>
      <c r="G30" s="18"/>
      <c r="H30" s="19"/>
    </row>
    <row r="31" ht="15.75" customHeight="1">
      <c r="A31" s="20">
        <v>4.0</v>
      </c>
      <c r="B31" s="17" t="str">
        <f>IFERROR(__xludf.DUMMYFUNCTION("""COMPUTED_VALUE"""),"Unidad 2 - Dispositivos y Protocolos en la Capa 2: Segmentación y Direccionamiento")</f>
        <v>Unidad 2 - Dispositivos y Protocolos en la Capa 2: Segmentación y Direccionamiento</v>
      </c>
      <c r="C31" s="19"/>
      <c r="D31" s="17" t="str">
        <f>IFERROR(__xludf.DUMMYFUNCTION("""COMPUTED_VALUE"""),"VTP")</f>
        <v>VTP</v>
      </c>
      <c r="E31" s="19"/>
      <c r="F31" s="17" t="str">
        <f>IFERROR(__xludf.DUMMYFUNCTION("""COMPUTED_VALUE"""),"Definición y Modos de Configuración de VTP")</f>
        <v>Definición y Modos de Configuración de VTP</v>
      </c>
      <c r="G31" s="18"/>
      <c r="H31" s="19"/>
    </row>
    <row r="32" ht="15.75" customHeight="1">
      <c r="A32" s="20">
        <v>5.0</v>
      </c>
      <c r="B32" s="17" t="str">
        <f>IFERROR(__xludf.DUMMYFUNCTION("""COMPUTED_VALUE"""),"Unidad 2 - Dispositivos y Protocolos en la Capa 2: Segmentación y Direccionamiento")</f>
        <v>Unidad 2 - Dispositivos y Protocolos en la Capa 2: Segmentación y Direccionamiento</v>
      </c>
      <c r="C32" s="19"/>
      <c r="D32" s="17" t="str">
        <f>IFERROR(__xludf.DUMMYFUNCTION("""COMPUTED_VALUE"""),"VTP")</f>
        <v>VTP</v>
      </c>
      <c r="E32" s="19"/>
      <c r="F32" s="17" t="str">
        <f>IFERROR(__xludf.DUMMYFUNCTION("""COMPUTED_VALUE"""),"Propagación de VLANS y Versiones VTP")</f>
        <v>Propagación de VLANS y Versiones VTP</v>
      </c>
      <c r="G32" s="18"/>
      <c r="H32" s="19"/>
    </row>
    <row r="33" ht="15.75" customHeight="1">
      <c r="A33" s="20">
        <v>6.0</v>
      </c>
      <c r="B33" s="17" t="str">
        <f>IFERROR(__xludf.DUMMYFUNCTION("""COMPUTED_VALUE"""),"Unidad 2 - Dispositivos y Protocolos en la Capa 2: Segmentación y Direccionamiento")</f>
        <v>Unidad 2 - Dispositivos y Protocolos en la Capa 2: Segmentación y Direccionamiento</v>
      </c>
      <c r="C33" s="19"/>
      <c r="D33" s="17" t="str">
        <f>IFERROR(__xludf.DUMMYFUNCTION("""COMPUTED_VALUE"""),"VTP")</f>
        <v>VTP</v>
      </c>
      <c r="E33" s="19"/>
      <c r="F33" s="17" t="str">
        <f>IFERROR(__xludf.DUMMYFUNCTION("""COMPUTED_VALUE"""),"Seguridad y Problemas Comunes en VTP")</f>
        <v>Seguridad y Problemas Comunes en VTP</v>
      </c>
      <c r="G33" s="18"/>
      <c r="H33" s="19"/>
    </row>
    <row r="34" ht="15.75" customHeight="1">
      <c r="A34" s="20">
        <v>7.0</v>
      </c>
      <c r="B34" s="17" t="str">
        <f>IFERROR(__xludf.DUMMYFUNCTION("""COMPUTED_VALUE"""),"Unidad 2 - Dispositivos y Protocolos en la Capa 2: Segmentación y Direccionamiento")</f>
        <v>Unidad 2 - Dispositivos y Protocolos en la Capa 2: Segmentación y Direccionamiento</v>
      </c>
      <c r="C34" s="19"/>
      <c r="D34" s="17" t="str">
        <f>IFERROR(__xludf.DUMMYFUNCTION("""COMPUTED_VALUE"""),"VTP")</f>
        <v>VTP</v>
      </c>
      <c r="E34" s="19"/>
      <c r="F34" s="17" t="str">
        <f>IFERROR(__xludf.DUMMYFUNCTION("""COMPUTED_VALUE"""),"Simulación de VTP en Redes Virtuales")</f>
        <v>Simulación de VTP en Redes Virtuales</v>
      </c>
      <c r="G34" s="18"/>
      <c r="H34" s="19"/>
    </row>
    <row r="35" ht="15.75" customHeight="1"/>
    <row r="36" ht="15.75" customHeight="1">
      <c r="A36" s="51" t="s">
        <v>175</v>
      </c>
    </row>
    <row r="37" ht="15.75" customHeight="1">
      <c r="A37" s="5"/>
      <c r="B37" s="5"/>
      <c r="C37" s="5"/>
      <c r="D37" s="5"/>
      <c r="E37" s="5"/>
      <c r="F37" s="5"/>
      <c r="G37" s="5"/>
      <c r="H37" s="5"/>
    </row>
    <row r="38" ht="15.75" customHeight="1">
      <c r="A38" s="52" t="s">
        <v>176</v>
      </c>
      <c r="B38" s="52" t="s">
        <v>177</v>
      </c>
      <c r="C38" s="54" t="s">
        <v>178</v>
      </c>
      <c r="D38" s="55" t="s">
        <v>119</v>
      </c>
      <c r="E38" s="18"/>
      <c r="F38" s="18"/>
      <c r="G38" s="18"/>
      <c r="H38" s="19"/>
    </row>
    <row r="39" ht="15.75" customHeight="1">
      <c r="A39" s="20" t="s">
        <v>179</v>
      </c>
      <c r="B39" s="20" t="s">
        <v>180</v>
      </c>
      <c r="C39" s="20"/>
      <c r="D39" s="17"/>
      <c r="E39" s="18"/>
      <c r="F39" s="18"/>
      <c r="G39" s="18"/>
      <c r="H39" s="19"/>
    </row>
    <row r="40" ht="15.75" customHeight="1">
      <c r="A40" s="20" t="s">
        <v>181</v>
      </c>
      <c r="B40" s="20" t="s">
        <v>180</v>
      </c>
      <c r="C40" s="20" t="s">
        <v>182</v>
      </c>
      <c r="D40" s="17"/>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17"/>
      <c r="E42" s="18"/>
      <c r="F42" s="18"/>
      <c r="G42" s="18"/>
      <c r="H42" s="19"/>
    </row>
    <row r="43" ht="15.75" customHeight="1"/>
    <row r="44" ht="15.75" customHeight="1">
      <c r="A44" s="41" t="s">
        <v>186</v>
      </c>
      <c r="G44" s="31" t="s">
        <v>119</v>
      </c>
      <c r="H44" s="64">
        <f>B50+B61</f>
        <v>40</v>
      </c>
    </row>
    <row r="45" ht="15.75" customHeight="1">
      <c r="G45" s="24" t="s">
        <v>187</v>
      </c>
    </row>
    <row r="46" ht="15.75" customHeight="1">
      <c r="A46" s="24" t="s">
        <v>188</v>
      </c>
    </row>
    <row r="47" ht="15.75" customHeight="1">
      <c r="A47" s="28" t="s">
        <v>189</v>
      </c>
      <c r="B47" s="29" t="s">
        <v>56</v>
      </c>
      <c r="C47" s="18"/>
      <c r="D47" s="18"/>
      <c r="E47" s="18"/>
      <c r="F47" s="18"/>
      <c r="G47" s="18"/>
      <c r="H47" s="19"/>
    </row>
    <row r="48" ht="15.75" customHeight="1">
      <c r="A48" s="28" t="s">
        <v>190</v>
      </c>
      <c r="B48" s="29" t="s">
        <v>191</v>
      </c>
      <c r="C48" s="18"/>
      <c r="D48" s="18"/>
      <c r="E48" s="18"/>
      <c r="F48" s="18"/>
      <c r="G48" s="18"/>
      <c r="H48" s="19"/>
    </row>
    <row r="49" ht="15.75" customHeight="1">
      <c r="A49" s="28" t="s">
        <v>158</v>
      </c>
      <c r="B49" s="56">
        <v>0.5</v>
      </c>
      <c r="C49" s="18"/>
      <c r="D49" s="18"/>
      <c r="E49" s="18"/>
      <c r="F49" s="18"/>
      <c r="G49" s="18"/>
      <c r="H49" s="19"/>
    </row>
    <row r="50" ht="15.75" customHeight="1">
      <c r="A50" s="28" t="s">
        <v>119</v>
      </c>
      <c r="B50" s="29">
        <v>40.0</v>
      </c>
      <c r="C50" s="18"/>
      <c r="D50" s="18"/>
      <c r="E50" s="18"/>
      <c r="F50" s="18"/>
      <c r="G50" s="18"/>
      <c r="H50" s="19"/>
    </row>
    <row r="51" ht="15.75" customHeight="1">
      <c r="A51" s="35" t="s">
        <v>192</v>
      </c>
      <c r="B51" s="5"/>
      <c r="C51" s="5"/>
      <c r="D51" s="5"/>
      <c r="E51" s="5"/>
      <c r="F51" s="5"/>
      <c r="G51" s="5"/>
      <c r="H51" s="5"/>
    </row>
    <row r="52" ht="15.75" customHeight="1">
      <c r="A52" s="44" t="s">
        <v>193</v>
      </c>
      <c r="B52" s="18"/>
      <c r="C52" s="18"/>
      <c r="D52" s="18"/>
      <c r="E52" s="18"/>
      <c r="F52" s="18"/>
      <c r="G52" s="18"/>
      <c r="H52" s="19"/>
    </row>
    <row r="53" ht="15.75" customHeight="1">
      <c r="A53" s="45" t="s">
        <v>216</v>
      </c>
      <c r="B53" s="46"/>
      <c r="C53" s="46"/>
      <c r="D53" s="46"/>
      <c r="E53" s="46"/>
      <c r="F53" s="46"/>
      <c r="G53" s="46"/>
      <c r="H53" s="47"/>
    </row>
    <row r="54" ht="15.75" customHeight="1">
      <c r="A54" s="57"/>
      <c r="H54" s="58"/>
    </row>
    <row r="55" ht="15.75" customHeight="1">
      <c r="A55" s="48"/>
      <c r="B55" s="49"/>
      <c r="C55" s="49"/>
      <c r="D55" s="49"/>
      <c r="E55" s="49"/>
      <c r="F55" s="49"/>
      <c r="G55" s="49"/>
      <c r="H55" s="50"/>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59"/>
      <c r="C60" s="18"/>
      <c r="D60" s="18"/>
      <c r="E60" s="18"/>
      <c r="F60" s="18"/>
      <c r="G60" s="18"/>
      <c r="H60" s="19"/>
    </row>
    <row r="61" ht="15.75" customHeight="1">
      <c r="A61" s="28" t="s">
        <v>119</v>
      </c>
      <c r="B61" s="59"/>
      <c r="C61" s="18"/>
      <c r="D61" s="18"/>
      <c r="E61" s="18"/>
      <c r="F61" s="18"/>
      <c r="G61" s="18"/>
      <c r="H61" s="19"/>
    </row>
    <row r="62" ht="15.75" customHeight="1">
      <c r="A62" s="60" t="s">
        <v>196</v>
      </c>
      <c r="B62" s="5"/>
      <c r="C62" s="5"/>
      <c r="D62" s="5"/>
      <c r="E62" s="5"/>
      <c r="F62" s="5"/>
      <c r="G62" s="5"/>
      <c r="H62" s="5"/>
    </row>
    <row r="63" ht="15.75" customHeight="1">
      <c r="A63" s="44" t="s">
        <v>193</v>
      </c>
      <c r="B63" s="18"/>
      <c r="C63" s="18"/>
      <c r="D63" s="18"/>
      <c r="E63" s="18"/>
      <c r="F63" s="18"/>
      <c r="G63" s="18"/>
      <c r="H63" s="19"/>
    </row>
    <row r="64" ht="15.75" customHeight="1">
      <c r="A64" s="61"/>
      <c r="B64" s="46"/>
      <c r="C64" s="46"/>
      <c r="D64" s="46"/>
      <c r="E64" s="46"/>
      <c r="F64" s="46"/>
      <c r="G64" s="46"/>
      <c r="H64" s="47"/>
    </row>
    <row r="65" ht="15.75" customHeight="1">
      <c r="A65" s="57"/>
      <c r="H65" s="58"/>
    </row>
    <row r="66" ht="15.75" customHeight="1">
      <c r="A66" s="48"/>
      <c r="B66" s="49"/>
      <c r="C66" s="49"/>
      <c r="D66" s="49"/>
      <c r="E66" s="49"/>
      <c r="F66" s="49"/>
      <c r="G66" s="49"/>
      <c r="H66" s="50"/>
    </row>
    <row r="67" ht="15.75" customHeight="1"/>
    <row r="68" ht="15.75" customHeight="1">
      <c r="A68" s="41" t="s">
        <v>197</v>
      </c>
      <c r="G68" s="31" t="s">
        <v>119</v>
      </c>
      <c r="H68" s="42">
        <v>15.0</v>
      </c>
    </row>
    <row r="69" ht="15.75" customHeight="1">
      <c r="G69" s="24" t="s">
        <v>198</v>
      </c>
    </row>
    <row r="70" ht="15.75" customHeight="1">
      <c r="A70" s="28" t="s">
        <v>119</v>
      </c>
      <c r="B70" s="56">
        <v>15.0</v>
      </c>
      <c r="C70" s="18"/>
      <c r="D70" s="18"/>
      <c r="E70" s="18"/>
      <c r="F70" s="18"/>
      <c r="G70" s="18"/>
      <c r="H70" s="19"/>
    </row>
    <row r="71" ht="15.75" customHeight="1">
      <c r="A71" s="55" t="s">
        <v>199</v>
      </c>
      <c r="B71" s="18"/>
      <c r="C71" s="18"/>
      <c r="D71" s="18"/>
      <c r="E71" s="18"/>
      <c r="F71" s="18"/>
      <c r="G71" s="18"/>
      <c r="H71" s="19"/>
    </row>
    <row r="72" ht="15.75" customHeight="1">
      <c r="A72" s="45" t="s">
        <v>217</v>
      </c>
      <c r="B72" s="46"/>
      <c r="C72" s="46"/>
      <c r="D72" s="46"/>
      <c r="E72" s="46"/>
      <c r="F72" s="46"/>
      <c r="G72" s="46"/>
      <c r="H72" s="47"/>
    </row>
    <row r="73" ht="15.75" customHeight="1">
      <c r="A73" s="48"/>
      <c r="B73" s="49"/>
      <c r="C73" s="49"/>
      <c r="D73" s="49"/>
      <c r="E73" s="49"/>
      <c r="F73" s="49"/>
      <c r="G73" s="49"/>
      <c r="H73" s="50"/>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15.5"/>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6.0</v>
      </c>
      <c r="D5" s="18"/>
      <c r="E5" s="18"/>
      <c r="F5" s="18"/>
      <c r="G5" s="19"/>
    </row>
    <row r="6" ht="15.75" customHeight="1">
      <c r="B6" s="40" t="s">
        <v>117</v>
      </c>
      <c r="C6" s="17">
        <f>H10+H21+H51+H75</f>
        <v>110</v>
      </c>
      <c r="D6" s="18"/>
      <c r="E6" s="18"/>
      <c r="F6" s="18"/>
      <c r="G6" s="19"/>
      <c r="I6" s="5"/>
    </row>
    <row r="7" ht="15.75" customHeight="1">
      <c r="B7" s="40" t="s">
        <v>158</v>
      </c>
      <c r="C7" s="17">
        <f>B56+B67</f>
        <v>0.5</v>
      </c>
      <c r="D7" s="18"/>
      <c r="E7" s="18"/>
      <c r="F7" s="18"/>
      <c r="G7" s="19"/>
    </row>
    <row r="8" ht="15.75" customHeight="1">
      <c r="B8" s="40" t="s">
        <v>159</v>
      </c>
      <c r="C8" s="17" t="str">
        <f>IF(H51&lt;=0, "❌ ERROR: La Actividad 1 debe tener un tiempo mayor a 0.", IF(H21&gt;60, "❌ ERROR: El 'Área de Conocimiento' no puede exceder los 60 min.", IF((H10+H21+H51)&lt;100,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5.0</v>
      </c>
    </row>
    <row r="11" ht="15.75" customHeight="1">
      <c r="G11" s="24" t="s">
        <v>161</v>
      </c>
    </row>
    <row r="12" ht="15.75" customHeight="1">
      <c r="A12" s="28" t="s">
        <v>162</v>
      </c>
      <c r="B12" s="29" t="s">
        <v>218</v>
      </c>
      <c r="C12" s="18"/>
      <c r="D12" s="18"/>
      <c r="E12" s="18"/>
      <c r="F12" s="18"/>
      <c r="G12" s="18"/>
      <c r="H12" s="19"/>
    </row>
    <row r="13" ht="15.75" customHeight="1">
      <c r="A13" s="43" t="s">
        <v>119</v>
      </c>
      <c r="B13" s="29">
        <v>5.0</v>
      </c>
      <c r="C13" s="18"/>
      <c r="D13" s="18"/>
      <c r="E13" s="18"/>
      <c r="F13" s="18"/>
      <c r="G13" s="18"/>
      <c r="H13" s="19"/>
    </row>
    <row r="14" ht="15.75" customHeight="1">
      <c r="A14" s="44" t="s">
        <v>164</v>
      </c>
      <c r="B14" s="18"/>
      <c r="C14" s="18"/>
      <c r="D14" s="18"/>
      <c r="E14" s="18"/>
      <c r="F14" s="18"/>
      <c r="G14" s="18"/>
      <c r="H14" s="19"/>
    </row>
    <row r="15" ht="15.75" customHeight="1">
      <c r="A15" s="67" t="s">
        <v>219</v>
      </c>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67" t="s">
        <v>220</v>
      </c>
      <c r="B18" s="46"/>
      <c r="C18" s="46"/>
      <c r="D18" s="46"/>
      <c r="E18" s="46"/>
      <c r="F18" s="46"/>
      <c r="G18" s="46"/>
      <c r="H18" s="47"/>
    </row>
    <row r="19" ht="15.75" customHeight="1">
      <c r="A19" s="48"/>
      <c r="B19" s="49"/>
      <c r="C19" s="49"/>
      <c r="D19" s="49"/>
      <c r="E19" s="49"/>
      <c r="F19" s="49"/>
      <c r="G19" s="49"/>
      <c r="H19" s="50"/>
    </row>
    <row r="20" ht="15.75" customHeight="1"/>
    <row r="21" ht="15.75" customHeight="1">
      <c r="A21" s="41" t="s">
        <v>168</v>
      </c>
      <c r="G21" s="31" t="s">
        <v>119</v>
      </c>
      <c r="H21" s="42">
        <v>60.0</v>
      </c>
      <c r="I21" s="5"/>
    </row>
    <row r="22" ht="15.75" customHeight="1">
      <c r="G22" s="24" t="s">
        <v>169</v>
      </c>
    </row>
    <row r="23" ht="15.75" customHeight="1">
      <c r="A23" s="28" t="s">
        <v>170</v>
      </c>
      <c r="B23" s="29" t="s">
        <v>43</v>
      </c>
      <c r="C23" s="18"/>
      <c r="D23" s="18"/>
      <c r="E23" s="18"/>
      <c r="F23" s="18"/>
      <c r="G23" s="18"/>
      <c r="H23" s="19"/>
    </row>
    <row r="24" ht="15.75" customHeight="1">
      <c r="A24" s="28" t="s">
        <v>170</v>
      </c>
      <c r="B24" s="29" t="s">
        <v>56</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2 - Dispositivos y Protocolos en la Capa 2: Segmentación y Direccionamiento")</f>
        <v>Unidad 2 - Dispositivos y Protocolos en la Capa 2: Segmentación y Direccionamiento</v>
      </c>
      <c r="C28" s="19"/>
      <c r="D28" s="17" t="str">
        <f>IFERROR(__xludf.DUMMYFUNCTION("FILTER('Diseño'!E:E,'Diseño'!H:H=$C$5)"),"STP")</f>
        <v>STP</v>
      </c>
      <c r="E28" s="19"/>
      <c r="F28" s="17" t="str">
        <f>IFERROR(__xludf.DUMMYFUNCTION("FILTER('Diseño'!F:F,'Diseño'!H:H=$C$5)"),"Definición del protocolo de STP")</f>
        <v>Definición del protocolo de STP</v>
      </c>
      <c r="G28" s="18"/>
      <c r="H28" s="19"/>
    </row>
    <row r="29" ht="15.75" customHeight="1">
      <c r="A29" s="20">
        <v>2.0</v>
      </c>
      <c r="B29" s="17" t="str">
        <f>IFERROR(__xludf.DUMMYFUNCTION("""COMPUTED_VALUE"""),"Unidad 2 - Dispositivos y Protocolos en la Capa 2: Segmentación y Direccionamiento")</f>
        <v>Unidad 2 - Dispositivos y Protocolos en la Capa 2: Segmentación y Direccionamiento</v>
      </c>
      <c r="C29" s="19"/>
      <c r="D29" s="17" t="str">
        <f>IFERROR(__xludf.DUMMYFUNCTION("""COMPUTED_VALUE"""),"STP")</f>
        <v>STP</v>
      </c>
      <c r="E29" s="19"/>
      <c r="F29" s="17" t="str">
        <f>IFERROR(__xludf.DUMMYFUNCTION("""COMPUTED_VALUE"""),"Funcionamiento de STP")</f>
        <v>Funcionamiento de STP</v>
      </c>
      <c r="G29" s="18"/>
      <c r="H29" s="19"/>
    </row>
    <row r="30" ht="15.75" customHeight="1">
      <c r="A30" s="20">
        <v>3.0</v>
      </c>
      <c r="B30" s="17" t="str">
        <f>IFERROR(__xludf.DUMMYFUNCTION("""COMPUTED_VALUE"""),"Unidad 2 - Dispositivos y Protocolos en la Capa 2: Segmentación y Direccionamiento")</f>
        <v>Unidad 2 - Dispositivos y Protocolos en la Capa 2: Segmentación y Direccionamiento</v>
      </c>
      <c r="C30" s="19"/>
      <c r="D30" s="17" t="str">
        <f>IFERROR(__xludf.DUMMYFUNCTION("""COMPUTED_VALUE"""),"STP")</f>
        <v>STP</v>
      </c>
      <c r="E30" s="19"/>
      <c r="F30" s="17" t="str">
        <f>IFERROR(__xludf.DUMMYFUNCTION("""COMPUTED_VALUE"""),"Propiedades del Protocolo STP")</f>
        <v>Propiedades del Protocolo STP</v>
      </c>
      <c r="G30" s="18"/>
      <c r="H30" s="19"/>
    </row>
    <row r="31" ht="15.75" customHeight="1">
      <c r="A31" s="20">
        <v>4.0</v>
      </c>
      <c r="B31" s="17" t="str">
        <f>IFERROR(__xludf.DUMMYFUNCTION("""COMPUTED_VALUE"""),"Unidad 2 - Dispositivos y Protocolos en la Capa 2: Segmentación y Direccionamiento")</f>
        <v>Unidad 2 - Dispositivos y Protocolos en la Capa 2: Segmentación y Direccionamiento</v>
      </c>
      <c r="C31" s="19"/>
      <c r="D31" s="17" t="str">
        <f>IFERROR(__xludf.DUMMYFUNCTION("""COMPUTED_VALUE"""),"STP")</f>
        <v>STP</v>
      </c>
      <c r="E31" s="19"/>
      <c r="F31" s="17" t="str">
        <f>IFERROR(__xludf.DUMMYFUNCTION("""COMPUTED_VALUE"""),"Modos de Configuración")</f>
        <v>Modos de Configuración</v>
      </c>
      <c r="G31" s="18"/>
      <c r="H31" s="19"/>
    </row>
    <row r="32" ht="15.75" customHeight="1">
      <c r="A32" s="20">
        <v>5.0</v>
      </c>
      <c r="B32" s="17" t="str">
        <f>IFERROR(__xludf.DUMMYFUNCTION("""COMPUTED_VALUE"""),"Unidad 2 - Dispositivos y Protocolos en la Capa 2: Segmentación y Direccionamiento")</f>
        <v>Unidad 2 - Dispositivos y Protocolos en la Capa 2: Segmentación y Direccionamiento</v>
      </c>
      <c r="C32" s="19"/>
      <c r="D32" s="17" t="str">
        <f>IFERROR(__xludf.DUMMYFUNCTION("""COMPUTED_VALUE"""),"STP")</f>
        <v>STP</v>
      </c>
      <c r="E32" s="19"/>
      <c r="F32" s="17" t="str">
        <f>IFERROR(__xludf.DUMMYFUNCTION("""COMPUTED_VALUE"""),"Dominios de Colisión")</f>
        <v>Dominios de Colisión</v>
      </c>
      <c r="G32" s="18"/>
      <c r="H32" s="19"/>
    </row>
    <row r="33" ht="15.75" customHeight="1">
      <c r="A33" s="20">
        <v>6.0</v>
      </c>
      <c r="B33" s="17" t="str">
        <f>IFERROR(__xludf.DUMMYFUNCTION("""COMPUTED_VALUE"""),"Unidad 2 - Dispositivos y Protocolos en la Capa 2: Segmentación y Direccionamiento")</f>
        <v>Unidad 2 - Dispositivos y Protocolos en la Capa 2: Segmentación y Direccionamiento</v>
      </c>
      <c r="C33" s="19"/>
      <c r="D33" s="17" t="str">
        <f>IFERROR(__xludf.DUMMYFUNCTION("""COMPUTED_VALUE"""),"STP")</f>
        <v>STP</v>
      </c>
      <c r="E33" s="19"/>
      <c r="F33" s="17" t="str">
        <f>IFERROR(__xludf.DUMMYFUNCTION("""COMPUTED_VALUE"""),"Dominios de Broadcast")</f>
        <v>Dominios de Broadcast</v>
      </c>
      <c r="G33" s="18"/>
      <c r="H33" s="19"/>
    </row>
    <row r="34" ht="15.75" customHeight="1">
      <c r="A34" s="20">
        <v>7.0</v>
      </c>
      <c r="B34" s="17" t="str">
        <f>IFERROR(__xludf.DUMMYFUNCTION("""COMPUTED_VALUE"""),"Unidad 2 - Dispositivos y Protocolos en la Capa 2: Segmentación y Direccionamiento")</f>
        <v>Unidad 2 - Dispositivos y Protocolos en la Capa 2: Segmentación y Direccionamiento</v>
      </c>
      <c r="C34" s="19"/>
      <c r="D34" s="17" t="str">
        <f>IFERROR(__xludf.DUMMYFUNCTION("""COMPUTED_VALUE"""),"STP")</f>
        <v>STP</v>
      </c>
      <c r="E34" s="19"/>
      <c r="F34" s="17" t="str">
        <f>IFERROR(__xludf.DUMMYFUNCTION("""COMPUTED_VALUE"""),"Configuración y Optimizacion de STP en Switches")</f>
        <v>Configuración y Optimizacion de STP en Switches</v>
      </c>
      <c r="G34" s="18"/>
      <c r="H34" s="19"/>
    </row>
    <row r="35" ht="15.75" customHeight="1">
      <c r="A35" s="20">
        <v>8.0</v>
      </c>
      <c r="B35" s="68" t="str">
        <f>IFERROR(__xludf.DUMMYFUNCTION("""COMPUTED_VALUE"""),"Unidad 2 - Dispositivos y Protocolos en la Capa 2: Segmentación y Direccionamiento")</f>
        <v>Unidad 2 - Dispositivos y Protocolos en la Capa 2: Segmentación y Direccionamiento</v>
      </c>
      <c r="C35" s="68"/>
      <c r="D35" s="69" t="str">
        <f>IFERROR(__xludf.DUMMYFUNCTION("""COMPUTED_VALUE"""),"Port-Channel")</f>
        <v>Port-Channel</v>
      </c>
      <c r="E35" s="19"/>
      <c r="F35" s="68" t="str">
        <f>IFERROR(__xludf.DUMMYFUNCTION("""COMPUTED_VALUE"""),"Modos de Operación de Port-Channel")</f>
        <v>Modos de Operación de Port-Channel</v>
      </c>
      <c r="G35" s="68"/>
      <c r="H35" s="68"/>
    </row>
    <row r="36" ht="15.75" customHeight="1">
      <c r="A36" s="20">
        <v>9.0</v>
      </c>
      <c r="B36" s="68" t="str">
        <f>IFERROR(__xludf.DUMMYFUNCTION("""COMPUTED_VALUE"""),"Unidad 2 - Dispositivos y Protocolos en la Capa 2: Segmentación y Direccionamiento")</f>
        <v>Unidad 2 - Dispositivos y Protocolos en la Capa 2: Segmentación y Direccionamiento</v>
      </c>
      <c r="C36" s="68"/>
      <c r="D36" s="69" t="str">
        <f>IFERROR(__xludf.DUMMYFUNCTION("""COMPUTED_VALUE"""),"Port-Channel")</f>
        <v>Port-Channel</v>
      </c>
      <c r="E36" s="19"/>
      <c r="F36" s="68" t="str">
        <f>IFERROR(__xludf.DUMMYFUNCTION("""COMPUTED_VALUE"""),"Ventajas de la Agregación de Enlaces")</f>
        <v>Ventajas de la Agregación de Enlaces</v>
      </c>
      <c r="G36" s="68"/>
      <c r="H36" s="68"/>
    </row>
    <row r="37" ht="15.75" customHeight="1">
      <c r="A37" s="20">
        <v>10.0</v>
      </c>
      <c r="B37" s="20" t="str">
        <f>IFERROR(__xludf.DUMMYFUNCTION("""COMPUTED_VALUE"""),"Unidad 2 - Dispositivos y Protocolos en la Capa 2: Segmentación y Direccionamiento")</f>
        <v>Unidad 2 - Dispositivos y Protocolos en la Capa 2: Segmentación y Direccionamiento</v>
      </c>
      <c r="C37" s="20"/>
      <c r="D37" s="17" t="str">
        <f>IFERROR(__xludf.DUMMYFUNCTION("""COMPUTED_VALUE"""),"Port-Channel")</f>
        <v>Port-Channel</v>
      </c>
      <c r="E37" s="19"/>
      <c r="F37" s="20" t="str">
        <f>IFERROR(__xludf.DUMMYFUNCTION("""COMPUTED_VALUE"""),"Configuración de Port-Channel en Switches")</f>
        <v>Configuración de Port-Channel en Switches</v>
      </c>
      <c r="G37" s="20"/>
      <c r="H37" s="20"/>
    </row>
    <row r="38" ht="15.75" customHeight="1">
      <c r="A38" s="20">
        <v>11.0</v>
      </c>
      <c r="B38" s="20" t="str">
        <f>IFERROR(__xludf.DUMMYFUNCTION("""COMPUTED_VALUE"""),"Unidad 2 - Dispositivos y Protocolos en la Capa 2: Segmentación y Direccionamiento")</f>
        <v>Unidad 2 - Dispositivos y Protocolos en la Capa 2: Segmentación y Direccionamiento</v>
      </c>
      <c r="C38" s="20"/>
      <c r="D38" s="17" t="str">
        <f>IFERROR(__xludf.DUMMYFUNCTION("""COMPUTED_VALUE"""),"Port-Channel")</f>
        <v>Port-Channel</v>
      </c>
      <c r="E38" s="19"/>
      <c r="F38" s="20" t="str">
        <f>IFERROR(__xludf.DUMMYFUNCTION("""COMPUTED_VALUE"""),"Detección y Solución de Problemas en Port-Channel")</f>
        <v>Detección y Solución de Problemas en Port-Channel</v>
      </c>
      <c r="G38" s="20"/>
      <c r="H38" s="20"/>
    </row>
    <row r="39" ht="15.75" customHeight="1">
      <c r="A39" s="20">
        <v>12.0</v>
      </c>
      <c r="B39" s="20" t="str">
        <f>IFERROR(__xludf.DUMMYFUNCTION("""COMPUTED_VALUE"""),"Unidad 2 - Dispositivos y Protocolos en la Capa 2: Segmentación y Direccionamiento")</f>
        <v>Unidad 2 - Dispositivos y Protocolos en la Capa 2: Segmentación y Direccionamiento</v>
      </c>
      <c r="C39" s="20"/>
      <c r="D39" s="17" t="str">
        <f>IFERROR(__xludf.DUMMYFUNCTION("""COMPUTED_VALUE"""),"Port-Channel")</f>
        <v>Port-Channel</v>
      </c>
      <c r="E39" s="19"/>
      <c r="F39" s="20" t="str">
        <f>IFERROR(__xludf.DUMMYFUNCTION("""COMPUTED_VALUE"""),"Interacción entre Port-Channel y STP")</f>
        <v>Interacción entre Port-Channel y STP</v>
      </c>
      <c r="G39" s="20"/>
      <c r="H39" s="20"/>
    </row>
    <row r="40" ht="15.75" customHeight="1">
      <c r="A40" s="20">
        <v>13.0</v>
      </c>
      <c r="B40" s="20" t="str">
        <f>IFERROR(__xludf.DUMMYFUNCTION("""COMPUTED_VALUE"""),"Unidad 2 - Dispositivos y Protocolos en la Capa 2: Segmentación y Direccionamiento")</f>
        <v>Unidad 2 - Dispositivos y Protocolos en la Capa 2: Segmentación y Direccionamiento</v>
      </c>
      <c r="C40" s="20"/>
      <c r="D40" s="17" t="str">
        <f>IFERROR(__xludf.DUMMYFUNCTION("""COMPUTED_VALUE"""),"Port-Channel")</f>
        <v>Port-Channel</v>
      </c>
      <c r="E40" s="19"/>
      <c r="F40" s="20" t="str">
        <f>IFERROR(__xludf.DUMMYFUNCTION("""COMPUTED_VALUE"""),"Monitorización del Rendimiento de Port-Channel")</f>
        <v>Monitorización del Rendimiento de Port-Channel</v>
      </c>
      <c r="G40" s="20"/>
      <c r="H40" s="20"/>
    </row>
    <row r="41" ht="15.75" customHeight="1">
      <c r="A41" s="20">
        <v>14.0</v>
      </c>
      <c r="B41" s="20" t="str">
        <f>IFERROR(__xludf.DUMMYFUNCTION("""COMPUTED_VALUE"""),"Unidad 2 - Dispositivos y Protocolos en la Capa 2: Segmentación y Direccionamiento")</f>
        <v>Unidad 2 - Dispositivos y Protocolos en la Capa 2: Segmentación y Direccionamiento</v>
      </c>
      <c r="C41" s="20"/>
      <c r="D41" s="17" t="str">
        <f>IFERROR(__xludf.DUMMYFUNCTION("""COMPUTED_VALUE"""),"Port-Channel")</f>
        <v>Port-Channel</v>
      </c>
      <c r="E41" s="19"/>
      <c r="F41" s="20" t="str">
        <f>IFERROR(__xludf.DUMMYFUNCTION("""COMPUTED_VALUE"""),"Integración de Port-Channel con VLANs")</f>
        <v>Integración de Port-Channel con VLANs</v>
      </c>
      <c r="G41" s="20"/>
      <c r="H41" s="20"/>
    </row>
    <row r="42" ht="15.75" customHeight="1">
      <c r="A42" s="5"/>
      <c r="B42" s="5"/>
      <c r="C42" s="5"/>
      <c r="D42" s="5"/>
      <c r="E42" s="5"/>
      <c r="F42" s="5"/>
      <c r="G42" s="5"/>
      <c r="H42" s="5"/>
    </row>
    <row r="43" ht="15.75" customHeight="1">
      <c r="A43" s="51" t="s">
        <v>175</v>
      </c>
      <c r="B43" s="5"/>
      <c r="C43" s="5"/>
      <c r="D43" s="5"/>
      <c r="E43" s="5"/>
      <c r="F43" s="5"/>
      <c r="G43" s="5"/>
      <c r="H43" s="5"/>
    </row>
    <row r="44" ht="15.75" customHeight="1">
      <c r="A44" s="5"/>
      <c r="B44" s="5"/>
      <c r="C44" s="5"/>
      <c r="D44" s="5"/>
      <c r="E44" s="5"/>
      <c r="F44" s="5"/>
      <c r="G44" s="5"/>
      <c r="H44" s="5"/>
    </row>
    <row r="45" ht="15.75" customHeight="1">
      <c r="A45" s="52" t="s">
        <v>176</v>
      </c>
      <c r="B45" s="52" t="s">
        <v>177</v>
      </c>
      <c r="C45" s="54" t="s">
        <v>178</v>
      </c>
      <c r="D45" s="55" t="s">
        <v>119</v>
      </c>
      <c r="E45" s="18"/>
      <c r="F45" s="18"/>
      <c r="G45" s="18"/>
      <c r="H45" s="19"/>
    </row>
    <row r="46" ht="15.75" customHeight="1">
      <c r="A46" s="20" t="s">
        <v>179</v>
      </c>
      <c r="B46" s="20" t="s">
        <v>180</v>
      </c>
      <c r="C46" s="20"/>
      <c r="D46" s="29">
        <v>40.0</v>
      </c>
      <c r="E46" s="18"/>
      <c r="F46" s="18"/>
      <c r="G46" s="18"/>
      <c r="H46" s="19"/>
    </row>
    <row r="47" ht="15.75" customHeight="1">
      <c r="A47" s="20" t="s">
        <v>181</v>
      </c>
      <c r="B47" s="20" t="s">
        <v>180</v>
      </c>
      <c r="C47" s="20" t="s">
        <v>182</v>
      </c>
      <c r="D47" s="17"/>
      <c r="E47" s="18"/>
      <c r="F47" s="18"/>
      <c r="G47" s="18"/>
      <c r="H47" s="19"/>
    </row>
    <row r="48" ht="15.75" customHeight="1">
      <c r="A48" s="20" t="s">
        <v>183</v>
      </c>
      <c r="B48" s="20" t="s">
        <v>184</v>
      </c>
      <c r="C48" s="20"/>
      <c r="D48" s="17"/>
      <c r="E48" s="18"/>
      <c r="F48" s="18"/>
      <c r="G48" s="18"/>
      <c r="H48" s="19"/>
    </row>
    <row r="49" ht="15.75" customHeight="1">
      <c r="A49" s="20" t="s">
        <v>185</v>
      </c>
      <c r="B49" s="20" t="s">
        <v>180</v>
      </c>
      <c r="C49" s="20"/>
      <c r="D49" s="29">
        <v>20.0</v>
      </c>
      <c r="E49" s="18"/>
      <c r="F49" s="18"/>
      <c r="G49" s="18"/>
      <c r="H49" s="19"/>
    </row>
    <row r="50" ht="15.75" customHeight="1"/>
    <row r="51" ht="15.75" customHeight="1">
      <c r="A51" s="41" t="s">
        <v>186</v>
      </c>
      <c r="G51" s="31" t="s">
        <v>119</v>
      </c>
      <c r="H51" s="64">
        <f>B57+B68</f>
        <v>35</v>
      </c>
    </row>
    <row r="52" ht="15.75" customHeight="1">
      <c r="G52" s="24" t="s">
        <v>187</v>
      </c>
    </row>
    <row r="53" ht="15.75" customHeight="1">
      <c r="A53" s="24" t="s">
        <v>188</v>
      </c>
    </row>
    <row r="54" ht="15.75" customHeight="1">
      <c r="A54" s="28" t="s">
        <v>189</v>
      </c>
      <c r="B54" s="29" t="s">
        <v>56</v>
      </c>
      <c r="C54" s="18"/>
      <c r="D54" s="18"/>
      <c r="E54" s="18"/>
      <c r="F54" s="18"/>
      <c r="G54" s="18"/>
      <c r="H54" s="19"/>
    </row>
    <row r="55" ht="15.75" customHeight="1">
      <c r="A55" s="28" t="s">
        <v>190</v>
      </c>
      <c r="B55" s="17" t="s">
        <v>221</v>
      </c>
      <c r="C55" s="18"/>
      <c r="D55" s="18"/>
      <c r="E55" s="18"/>
      <c r="F55" s="18"/>
      <c r="G55" s="18"/>
      <c r="H55" s="19"/>
    </row>
    <row r="56" ht="15.75" customHeight="1">
      <c r="A56" s="28" t="s">
        <v>158</v>
      </c>
      <c r="B56" s="56">
        <v>0.5</v>
      </c>
      <c r="C56" s="18"/>
      <c r="D56" s="18"/>
      <c r="E56" s="18"/>
      <c r="F56" s="18"/>
      <c r="G56" s="18"/>
      <c r="H56" s="19"/>
    </row>
    <row r="57" ht="15.75" customHeight="1">
      <c r="A57" s="28" t="s">
        <v>119</v>
      </c>
      <c r="B57" s="29">
        <v>35.0</v>
      </c>
      <c r="C57" s="18"/>
      <c r="D57" s="18"/>
      <c r="E57" s="18"/>
      <c r="F57" s="18"/>
      <c r="G57" s="18"/>
      <c r="H57" s="19"/>
    </row>
    <row r="58" ht="15.75" customHeight="1">
      <c r="A58" s="35" t="s">
        <v>192</v>
      </c>
      <c r="B58" s="5"/>
      <c r="C58" s="5"/>
      <c r="D58" s="5"/>
      <c r="E58" s="5"/>
      <c r="F58" s="5"/>
      <c r="G58" s="5"/>
      <c r="H58" s="5"/>
    </row>
    <row r="59" ht="15.75" customHeight="1">
      <c r="A59" s="44" t="s">
        <v>193</v>
      </c>
      <c r="B59" s="18"/>
      <c r="C59" s="18"/>
      <c r="D59" s="18"/>
      <c r="E59" s="18"/>
      <c r="F59" s="18"/>
      <c r="G59" s="18"/>
      <c r="H59" s="19"/>
    </row>
    <row r="60" ht="15.75" customHeight="1">
      <c r="A60" s="70" t="s">
        <v>222</v>
      </c>
      <c r="B60" s="46"/>
      <c r="C60" s="46"/>
      <c r="D60" s="46"/>
      <c r="E60" s="46"/>
      <c r="F60" s="46"/>
      <c r="G60" s="46"/>
      <c r="H60" s="47"/>
    </row>
    <row r="61" ht="15.75" customHeight="1">
      <c r="A61" s="57"/>
      <c r="H61" s="58"/>
    </row>
    <row r="62" ht="15.75" customHeight="1">
      <c r="A62" s="48"/>
      <c r="B62" s="49"/>
      <c r="C62" s="49"/>
      <c r="D62" s="49"/>
      <c r="E62" s="49"/>
      <c r="F62" s="49"/>
      <c r="G62" s="49"/>
      <c r="H62" s="50"/>
    </row>
    <row r="63" ht="15.75" customHeight="1"/>
    <row r="64" ht="15.75" customHeight="1">
      <c r="A64" s="24" t="s">
        <v>195</v>
      </c>
    </row>
    <row r="65" ht="15.75" customHeight="1">
      <c r="A65" s="28" t="s">
        <v>189</v>
      </c>
      <c r="B65" s="17"/>
      <c r="C65" s="18"/>
      <c r="D65" s="18"/>
      <c r="E65" s="18"/>
      <c r="F65" s="18"/>
      <c r="G65" s="18"/>
      <c r="H65" s="19"/>
    </row>
    <row r="66" ht="15.75" customHeight="1">
      <c r="A66" s="28" t="s">
        <v>190</v>
      </c>
      <c r="B66" s="17"/>
      <c r="C66" s="18"/>
      <c r="D66" s="18"/>
      <c r="E66" s="18"/>
      <c r="F66" s="18"/>
      <c r="G66" s="18"/>
      <c r="H66" s="19"/>
    </row>
    <row r="67" ht="15.75" customHeight="1">
      <c r="A67" s="28" t="s">
        <v>158</v>
      </c>
      <c r="B67" s="59"/>
      <c r="C67" s="18"/>
      <c r="D67" s="18"/>
      <c r="E67" s="18"/>
      <c r="F67" s="18"/>
      <c r="G67" s="18"/>
      <c r="H67" s="19"/>
    </row>
    <row r="68" ht="15.75" customHeight="1">
      <c r="A68" s="28" t="s">
        <v>119</v>
      </c>
      <c r="B68" s="59"/>
      <c r="C68" s="18"/>
      <c r="D68" s="18"/>
      <c r="E68" s="18"/>
      <c r="F68" s="18"/>
      <c r="G68" s="18"/>
      <c r="H68" s="19"/>
    </row>
    <row r="69" ht="15.75" customHeight="1">
      <c r="A69" s="60" t="s">
        <v>196</v>
      </c>
      <c r="B69" s="5"/>
      <c r="C69" s="5"/>
      <c r="D69" s="5"/>
      <c r="E69" s="5"/>
      <c r="F69" s="5"/>
      <c r="G69" s="5"/>
      <c r="H69" s="5"/>
    </row>
    <row r="70" ht="15.75" customHeight="1">
      <c r="A70" s="44" t="s">
        <v>193</v>
      </c>
      <c r="B70" s="18"/>
      <c r="C70" s="18"/>
      <c r="D70" s="18"/>
      <c r="E70" s="18"/>
      <c r="F70" s="18"/>
      <c r="G70" s="18"/>
      <c r="H70" s="19"/>
    </row>
    <row r="71" ht="15.75" customHeight="1">
      <c r="A71" s="61"/>
      <c r="B71" s="46"/>
      <c r="C71" s="46"/>
      <c r="D71" s="46"/>
      <c r="E71" s="46"/>
      <c r="F71" s="46"/>
      <c r="G71" s="46"/>
      <c r="H71" s="47"/>
    </row>
    <row r="72" ht="15.75" customHeight="1">
      <c r="A72" s="57"/>
      <c r="H72" s="58"/>
    </row>
    <row r="73" ht="15.75" customHeight="1">
      <c r="A73" s="48"/>
      <c r="B73" s="49"/>
      <c r="C73" s="49"/>
      <c r="D73" s="49"/>
      <c r="E73" s="49"/>
      <c r="F73" s="49"/>
      <c r="G73" s="49"/>
      <c r="H73" s="50"/>
    </row>
    <row r="74" ht="15.75" customHeight="1"/>
    <row r="75" ht="15.75" customHeight="1">
      <c r="A75" s="41" t="s">
        <v>197</v>
      </c>
      <c r="G75" s="31" t="s">
        <v>119</v>
      </c>
      <c r="H75" s="42">
        <v>10.0</v>
      </c>
    </row>
    <row r="76" ht="15.75" customHeight="1">
      <c r="G76" s="24" t="s">
        <v>198</v>
      </c>
    </row>
    <row r="77" ht="15.75" customHeight="1">
      <c r="A77" s="28" t="s">
        <v>119</v>
      </c>
      <c r="B77" s="56">
        <v>10.0</v>
      </c>
      <c r="C77" s="18"/>
      <c r="D77" s="18"/>
      <c r="E77" s="18"/>
      <c r="F77" s="18"/>
      <c r="G77" s="18"/>
      <c r="H77" s="19"/>
    </row>
    <row r="78" ht="15.75" customHeight="1">
      <c r="A78" s="55" t="s">
        <v>199</v>
      </c>
      <c r="B78" s="18"/>
      <c r="C78" s="18"/>
      <c r="D78" s="18"/>
      <c r="E78" s="18"/>
      <c r="F78" s="18"/>
      <c r="G78" s="18"/>
      <c r="H78" s="19"/>
    </row>
    <row r="79" ht="15.75" customHeight="1">
      <c r="A79" s="61"/>
      <c r="B79" s="46"/>
      <c r="C79" s="46"/>
      <c r="D79" s="46"/>
      <c r="E79" s="46"/>
      <c r="F79" s="46"/>
      <c r="G79" s="46"/>
      <c r="H79" s="47"/>
    </row>
    <row r="80" ht="15.75" customHeight="1">
      <c r="A80" s="48"/>
      <c r="B80" s="49"/>
      <c r="C80" s="49"/>
      <c r="D80" s="49"/>
      <c r="E80" s="49"/>
      <c r="F80" s="49"/>
      <c r="G80" s="49"/>
      <c r="H80" s="50"/>
    </row>
    <row r="81" ht="15.75" customHeight="1">
      <c r="A81" s="24" t="s">
        <v>200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68">
    <mergeCell ref="D34:E34"/>
    <mergeCell ref="F34:H34"/>
    <mergeCell ref="D35:E35"/>
    <mergeCell ref="D36:E36"/>
    <mergeCell ref="D37:E37"/>
    <mergeCell ref="D38:E38"/>
    <mergeCell ref="D39:E39"/>
    <mergeCell ref="D40:E40"/>
    <mergeCell ref="D41:E41"/>
    <mergeCell ref="D45:H45"/>
    <mergeCell ref="D46:H46"/>
    <mergeCell ref="D47:H47"/>
    <mergeCell ref="D48:H48"/>
    <mergeCell ref="D49:H49"/>
    <mergeCell ref="B77:H77"/>
    <mergeCell ref="A78:H78"/>
    <mergeCell ref="A79:H80"/>
    <mergeCell ref="B65:H65"/>
    <mergeCell ref="B66:H66"/>
    <mergeCell ref="B67:H67"/>
    <mergeCell ref="B68:H68"/>
    <mergeCell ref="A70:H70"/>
    <mergeCell ref="A71:H73"/>
    <mergeCell ref="A75:F7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A51:F51"/>
    <mergeCell ref="B54:H54"/>
    <mergeCell ref="B55:H55"/>
    <mergeCell ref="B56:H56"/>
    <mergeCell ref="B57:H57"/>
    <mergeCell ref="A59:H59"/>
    <mergeCell ref="A60:H62"/>
  </mergeCells>
  <dataValidations>
    <dataValidation type="list" allowBlank="1" showErrorMessage="1" sqref="B23:B24 B54 B65">
      <formula1>METADATA!$I$17:$I$40</formula1>
    </dataValidation>
    <dataValidation type="list" allowBlank="1" showErrorMessage="1" sqref="B55">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7.0</v>
      </c>
      <c r="D5" s="18"/>
      <c r="E5" s="18"/>
      <c r="F5" s="18"/>
      <c r="G5" s="19"/>
    </row>
    <row r="6" ht="15.75" customHeight="1">
      <c r="B6" s="40" t="s">
        <v>117</v>
      </c>
      <c r="C6" s="17">
        <f>H10+H21+H44+H68</f>
        <v>100</v>
      </c>
      <c r="D6" s="18"/>
      <c r="E6" s="18"/>
      <c r="F6" s="18"/>
      <c r="G6" s="19"/>
      <c r="I6" s="5"/>
    </row>
    <row r="7" ht="15.75" customHeight="1">
      <c r="B7" s="40" t="s">
        <v>158</v>
      </c>
      <c r="C7" s="17">
        <f>B49+B60</f>
        <v>0.45</v>
      </c>
      <c r="D7" s="18"/>
      <c r="E7" s="18"/>
      <c r="F7" s="18"/>
      <c r="G7" s="19"/>
    </row>
    <row r="8" ht="15.75" customHeight="1">
      <c r="B8" s="40" t="s">
        <v>159</v>
      </c>
      <c r="C8" s="17" t="str">
        <f>IF(H44&lt;=0, "❌ ERROR: La Actividad 1 debe tener un tiempo mayor a 0.", IF(H21&gt;60, "❌ ERROR: El 'Área de Conocimiento' no puede exceder los 60 min.", IF((H10+H21+H44+H68)&lt;100,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3.0</v>
      </c>
    </row>
    <row r="11" ht="15.75" customHeight="1">
      <c r="G11" s="24" t="s">
        <v>161</v>
      </c>
    </row>
    <row r="12" ht="15.75" customHeight="1">
      <c r="A12" s="28" t="s">
        <v>162</v>
      </c>
      <c r="B12" s="29" t="s">
        <v>223</v>
      </c>
      <c r="C12" s="18"/>
      <c r="D12" s="18"/>
      <c r="E12" s="18"/>
      <c r="F12" s="18"/>
      <c r="G12" s="18"/>
      <c r="H12" s="19"/>
    </row>
    <row r="13" ht="15.75" customHeight="1">
      <c r="A13" s="43" t="s">
        <v>119</v>
      </c>
      <c r="B13" s="29">
        <v>3.0</v>
      </c>
      <c r="C13" s="18"/>
      <c r="D13" s="18"/>
      <c r="E13" s="18"/>
      <c r="F13" s="18"/>
      <c r="G13" s="18"/>
      <c r="H13" s="19"/>
    </row>
    <row r="14" ht="15.75" customHeight="1">
      <c r="A14" s="44" t="s">
        <v>164</v>
      </c>
      <c r="B14" s="18"/>
      <c r="C14" s="18"/>
      <c r="D14" s="18"/>
      <c r="E14" s="18"/>
      <c r="F14" s="18"/>
      <c r="G14" s="18"/>
      <c r="H14" s="19"/>
    </row>
    <row r="15" ht="15.75" customHeight="1">
      <c r="A15" s="62" t="s">
        <v>224</v>
      </c>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70" t="s">
        <v>225</v>
      </c>
      <c r="B18" s="46"/>
      <c r="C18" s="46"/>
      <c r="D18" s="46"/>
      <c r="E18" s="46"/>
      <c r="F18" s="46"/>
      <c r="G18" s="46"/>
      <c r="H18" s="47"/>
    </row>
    <row r="19" ht="15.75" customHeight="1">
      <c r="A19" s="48"/>
      <c r="B19" s="49"/>
      <c r="C19" s="49"/>
      <c r="D19" s="49"/>
      <c r="E19" s="49"/>
      <c r="F19" s="49"/>
      <c r="G19" s="49"/>
      <c r="H19" s="50"/>
    </row>
    <row r="20" ht="15.75" customHeight="1"/>
    <row r="21" ht="15.75" customHeight="1">
      <c r="A21" s="41" t="s">
        <v>168</v>
      </c>
      <c r="G21" s="31" t="s">
        <v>119</v>
      </c>
      <c r="H21" s="64">
        <f>D39+D40+D41+D42</f>
        <v>57</v>
      </c>
      <c r="I21" s="5"/>
    </row>
    <row r="22" ht="15.75" customHeight="1">
      <c r="G22" s="24" t="s">
        <v>169</v>
      </c>
    </row>
    <row r="23" ht="15.75" customHeight="1">
      <c r="A23" s="28" t="s">
        <v>170</v>
      </c>
      <c r="B23" s="29" t="s">
        <v>12</v>
      </c>
      <c r="C23" s="18"/>
      <c r="D23" s="18"/>
      <c r="E23" s="18"/>
      <c r="F23" s="18"/>
      <c r="G23" s="18"/>
      <c r="H23" s="19"/>
    </row>
    <row r="24" ht="15.75" customHeight="1">
      <c r="A24" s="28" t="s">
        <v>170</v>
      </c>
      <c r="B24" s="29" t="s">
        <v>70</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IFERROR(__xludf.DUMMYFUNCTION("FILTER('Diseño'!E:E,'Diseño'!H:H=$C$5)"),"Direcciones IP y Subnetting")</f>
        <v>Direcciones IP y Subnetting</v>
      </c>
      <c r="E28" s="19"/>
      <c r="F28" s="17" t="str">
        <f>IFERROR(__xludf.DUMMYFUNCTION("FILTER('Diseño'!F:F,'Diseño'!H:H=$C$5)"),"Direcciones IP")</f>
        <v>Direcciones IP</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IFERROR(__xludf.DUMMYFUNCTION("""COMPUTED_VALUE"""),"Direcciones IP y Subnetting")</f>
        <v>Direcciones IP y Subnetting</v>
      </c>
      <c r="E29" s="19"/>
      <c r="F29" s="17" t="str">
        <f>IFERROR(__xludf.DUMMYFUNCTION("""COMPUTED_VALUE"""),"Versiones del Protocolo IP")</f>
        <v>Versiones del Protocolo IP</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IFERROR(__xludf.DUMMYFUNCTION("""COMPUTED_VALUE"""),"Direcciones IP y Subnetting")</f>
        <v>Direcciones IP y Subnetting</v>
      </c>
      <c r="E30" s="19"/>
      <c r="F30" s="17" t="str">
        <f>IFERROR(__xludf.DUMMYFUNCTION("""COMPUTED_VALUE"""),"Clases de Direcciones (A, B, C, D, E).")</f>
        <v>Clases de Direcciones (A, B, C, D, E).</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IFERROR(__xludf.DUMMYFUNCTION("""COMPUTED_VALUE"""),"Direcciones IP y Subnetting")</f>
        <v>Direcciones IP y Subnetting</v>
      </c>
      <c r="E31" s="19"/>
      <c r="F31" s="17" t="str">
        <f>IFERROR(__xludf.DUMMYFUNCTION("""COMPUTED_VALUE"""),"Máscaras de Subred")</f>
        <v>Máscaras de Subred</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IFERROR(__xludf.DUMMYFUNCTION("""COMPUTED_VALUE"""),"Direcciones IP y Subnetting")</f>
        <v>Direcciones IP y Subnetting</v>
      </c>
      <c r="E32" s="19"/>
      <c r="F32" s="17" t="str">
        <f>IFERROR(__xludf.DUMMYFUNCTION("""COMPUTED_VALUE"""),"Notación CIDR")</f>
        <v>Notación CIDR</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IFERROR(__xludf.DUMMYFUNCTION("""COMPUTED_VALUE"""),"Direcciones IP y Subnetting")</f>
        <v>Direcciones IP y Subnetting</v>
      </c>
      <c r="E33" s="19"/>
      <c r="F33" s="17" t="str">
        <f>IFERROR(__xludf.DUMMYFUNCTION("""COMPUTED_VALUE"""),"Subneteo Fijo - FLSM")</f>
        <v>Subneteo Fijo - FLSM</v>
      </c>
      <c r="G33" s="18"/>
      <c r="H33" s="19"/>
    </row>
    <row r="34" ht="15.75" customHeight="1">
      <c r="A34" s="20">
        <v>7.0</v>
      </c>
      <c r="B34" s="17" t="str">
        <f>IFERROR(__xludf.DUMMYFUNCTION("""COMPUTED_VALUE"""),"Unidad 3 - Dispositivos y Protocolos en la Capa 3: Enrutamiento, Alta Disponibilidad y Seguridad")</f>
        <v>Unidad 3 - Dispositivos y Protocolos en la Capa 3: Enrutamiento, Alta Disponibilidad y Seguridad</v>
      </c>
      <c r="C34" s="19"/>
      <c r="D34" s="17" t="str">
        <f>IFERROR(__xludf.DUMMYFUNCTION("""COMPUTED_VALUE"""),"Direcciones IP y Subnetting")</f>
        <v>Direcciones IP y Subnetting</v>
      </c>
      <c r="E34" s="19"/>
      <c r="F34" s="17" t="str">
        <f>IFERROR(__xludf.DUMMYFUNCTION("""COMPUTED_VALUE"""),"Subneteo Variable - VLSM")</f>
        <v>Subneteo Variable - VLSM</v>
      </c>
      <c r="G34" s="18"/>
      <c r="H34" s="19"/>
    </row>
    <row r="35" ht="15.75" customHeight="1"/>
    <row r="36" ht="15.75" customHeight="1">
      <c r="A36" s="51" t="s">
        <v>175</v>
      </c>
    </row>
    <row r="37" ht="15.75" customHeight="1">
      <c r="A37" s="5"/>
      <c r="B37" s="5"/>
      <c r="C37" s="5"/>
      <c r="D37" s="5"/>
      <c r="E37" s="5"/>
      <c r="F37" s="5"/>
      <c r="G37" s="5"/>
      <c r="H37" s="5"/>
    </row>
    <row r="38" ht="15.75" customHeight="1">
      <c r="A38" s="52" t="s">
        <v>176</v>
      </c>
      <c r="B38" s="52" t="s">
        <v>177</v>
      </c>
      <c r="C38" s="54" t="s">
        <v>178</v>
      </c>
      <c r="D38" s="55" t="s">
        <v>119</v>
      </c>
      <c r="E38" s="18"/>
      <c r="F38" s="18"/>
      <c r="G38" s="18"/>
      <c r="H38" s="19"/>
    </row>
    <row r="39" ht="15.75" customHeight="1">
      <c r="A39" s="20" t="s">
        <v>179</v>
      </c>
      <c r="B39" s="20" t="s">
        <v>180</v>
      </c>
      <c r="C39" s="20"/>
      <c r="D39" s="29">
        <v>37.0</v>
      </c>
      <c r="E39" s="18"/>
      <c r="F39" s="18"/>
      <c r="G39" s="18"/>
      <c r="H39" s="19"/>
    </row>
    <row r="40" ht="15.75" customHeight="1">
      <c r="A40" s="20" t="s">
        <v>181</v>
      </c>
      <c r="B40" s="20" t="s">
        <v>180</v>
      </c>
      <c r="C40" s="20" t="s">
        <v>182</v>
      </c>
      <c r="D40" s="29">
        <v>3.0</v>
      </c>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17.0</v>
      </c>
      <c r="E42" s="18"/>
      <c r="F42" s="18"/>
      <c r="G42" s="18"/>
      <c r="H42" s="19"/>
    </row>
    <row r="43" ht="15.75" customHeight="1"/>
    <row r="44" ht="15.75" customHeight="1">
      <c r="A44" s="41" t="s">
        <v>186</v>
      </c>
      <c r="G44" s="31" t="s">
        <v>119</v>
      </c>
      <c r="H44" s="64">
        <f>B50+B61</f>
        <v>30</v>
      </c>
    </row>
    <row r="45" ht="15.75" customHeight="1">
      <c r="G45" s="24" t="s">
        <v>187</v>
      </c>
    </row>
    <row r="46" ht="15.75" customHeight="1">
      <c r="A46" s="24" t="s">
        <v>188</v>
      </c>
    </row>
    <row r="47" ht="40.5" customHeight="1">
      <c r="A47" s="28" t="s">
        <v>189</v>
      </c>
      <c r="B47" s="29" t="s">
        <v>70</v>
      </c>
      <c r="C47" s="18"/>
      <c r="D47" s="18"/>
      <c r="E47" s="18"/>
      <c r="F47" s="18"/>
      <c r="G47" s="18"/>
      <c r="H47" s="19"/>
    </row>
    <row r="48" ht="15.75" customHeight="1">
      <c r="A48" s="28" t="s">
        <v>190</v>
      </c>
      <c r="B48" s="29" t="s">
        <v>191</v>
      </c>
      <c r="C48" s="18"/>
      <c r="D48" s="18"/>
      <c r="E48" s="18"/>
      <c r="F48" s="18"/>
      <c r="G48" s="18"/>
      <c r="H48" s="19"/>
    </row>
    <row r="49" ht="15.75" customHeight="1">
      <c r="A49" s="28" t="s">
        <v>158</v>
      </c>
      <c r="B49" s="65">
        <v>0.45</v>
      </c>
      <c r="C49" s="18"/>
      <c r="D49" s="18"/>
      <c r="E49" s="18"/>
      <c r="F49" s="18"/>
      <c r="G49" s="18"/>
      <c r="H49" s="19"/>
    </row>
    <row r="50" ht="15.75" customHeight="1">
      <c r="A50" s="28" t="s">
        <v>119</v>
      </c>
      <c r="B50" s="29">
        <v>30.0</v>
      </c>
      <c r="C50" s="18"/>
      <c r="D50" s="18"/>
      <c r="E50" s="18"/>
      <c r="F50" s="18"/>
      <c r="G50" s="18"/>
      <c r="H50" s="19"/>
    </row>
    <row r="51" ht="15.75" customHeight="1">
      <c r="A51" s="35" t="s">
        <v>192</v>
      </c>
      <c r="B51" s="5"/>
      <c r="C51" s="5"/>
      <c r="D51" s="5"/>
      <c r="E51" s="5"/>
      <c r="F51" s="5"/>
      <c r="G51" s="5"/>
      <c r="H51" s="5"/>
    </row>
    <row r="52" ht="15.75" customHeight="1">
      <c r="A52" s="44" t="s">
        <v>193</v>
      </c>
      <c r="B52" s="18"/>
      <c r="C52" s="18"/>
      <c r="D52" s="18"/>
      <c r="E52" s="18"/>
      <c r="F52" s="18"/>
      <c r="G52" s="18"/>
      <c r="H52" s="19"/>
    </row>
    <row r="53" ht="15.75" customHeight="1">
      <c r="A53" s="45" t="s">
        <v>226</v>
      </c>
      <c r="B53" s="46"/>
      <c r="C53" s="46"/>
      <c r="D53" s="46"/>
      <c r="E53" s="46"/>
      <c r="F53" s="46"/>
      <c r="G53" s="46"/>
      <c r="H53" s="47"/>
    </row>
    <row r="54" ht="15.75" customHeight="1">
      <c r="A54" s="57"/>
      <c r="H54" s="58"/>
    </row>
    <row r="55" ht="15.75" customHeight="1">
      <c r="A55" s="48"/>
      <c r="B55" s="49"/>
      <c r="C55" s="49"/>
      <c r="D55" s="49"/>
      <c r="E55" s="49"/>
      <c r="F55" s="49"/>
      <c r="G55" s="49"/>
      <c r="H55" s="50"/>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59"/>
      <c r="C60" s="18"/>
      <c r="D60" s="18"/>
      <c r="E60" s="18"/>
      <c r="F60" s="18"/>
      <c r="G60" s="18"/>
      <c r="H60" s="19"/>
    </row>
    <row r="61" ht="15.75" customHeight="1">
      <c r="A61" s="28" t="s">
        <v>119</v>
      </c>
      <c r="B61" s="59"/>
      <c r="C61" s="18"/>
      <c r="D61" s="18"/>
      <c r="E61" s="18"/>
      <c r="F61" s="18"/>
      <c r="G61" s="18"/>
      <c r="H61" s="19"/>
    </row>
    <row r="62" ht="15.75" customHeight="1">
      <c r="A62" s="60" t="s">
        <v>196</v>
      </c>
      <c r="B62" s="5"/>
      <c r="C62" s="5"/>
      <c r="D62" s="5"/>
      <c r="E62" s="5"/>
      <c r="F62" s="5"/>
      <c r="G62" s="5"/>
      <c r="H62" s="5"/>
    </row>
    <row r="63" ht="15.75" customHeight="1">
      <c r="A63" s="44" t="s">
        <v>193</v>
      </c>
      <c r="B63" s="18"/>
      <c r="C63" s="18"/>
      <c r="D63" s="18"/>
      <c r="E63" s="18"/>
      <c r="F63" s="18"/>
      <c r="G63" s="18"/>
      <c r="H63" s="19"/>
    </row>
    <row r="64" ht="15.75" customHeight="1">
      <c r="A64" s="61"/>
      <c r="B64" s="46"/>
      <c r="C64" s="46"/>
      <c r="D64" s="46"/>
      <c r="E64" s="46"/>
      <c r="F64" s="46"/>
      <c r="G64" s="46"/>
      <c r="H64" s="47"/>
    </row>
    <row r="65" ht="15.75" customHeight="1">
      <c r="A65" s="57"/>
      <c r="H65" s="58"/>
    </row>
    <row r="66" ht="15.75" customHeight="1">
      <c r="A66" s="48"/>
      <c r="B66" s="49"/>
      <c r="C66" s="49"/>
      <c r="D66" s="49"/>
      <c r="E66" s="49"/>
      <c r="F66" s="49"/>
      <c r="G66" s="49"/>
      <c r="H66" s="50"/>
    </row>
    <row r="67" ht="15.75" customHeight="1"/>
    <row r="68" ht="15.75" customHeight="1">
      <c r="A68" s="41" t="s">
        <v>197</v>
      </c>
      <c r="G68" s="31" t="s">
        <v>119</v>
      </c>
      <c r="H68" s="42">
        <v>10.0</v>
      </c>
    </row>
    <row r="69" ht="15.75" customHeight="1">
      <c r="G69" s="24" t="s">
        <v>198</v>
      </c>
    </row>
    <row r="70" ht="15.75" customHeight="1">
      <c r="A70" s="28" t="s">
        <v>119</v>
      </c>
      <c r="B70" s="56">
        <v>10.0</v>
      </c>
      <c r="C70" s="18"/>
      <c r="D70" s="18"/>
      <c r="E70" s="18"/>
      <c r="F70" s="18"/>
      <c r="G70" s="18"/>
      <c r="H70" s="19"/>
    </row>
    <row r="71" ht="15.75" customHeight="1">
      <c r="A71" s="55" t="s">
        <v>199</v>
      </c>
      <c r="B71" s="18"/>
      <c r="C71" s="18"/>
      <c r="D71" s="18"/>
      <c r="E71" s="18"/>
      <c r="F71" s="18"/>
      <c r="G71" s="18"/>
      <c r="H71" s="19"/>
    </row>
    <row r="72" ht="15.75" customHeight="1">
      <c r="A72" s="45" t="s">
        <v>200</v>
      </c>
      <c r="B72" s="46"/>
      <c r="C72" s="46"/>
      <c r="D72" s="46"/>
      <c r="E72" s="46"/>
      <c r="F72" s="46"/>
      <c r="G72" s="46"/>
      <c r="H72" s="47"/>
    </row>
    <row r="73" ht="15.75" customHeight="1">
      <c r="A73" s="48"/>
      <c r="B73" s="49"/>
      <c r="C73" s="49"/>
      <c r="D73" s="49"/>
      <c r="E73" s="49"/>
      <c r="F73" s="49"/>
      <c r="G73" s="49"/>
      <c r="H73" s="50"/>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8.0</v>
      </c>
      <c r="D5" s="18"/>
      <c r="E5" s="18"/>
      <c r="F5" s="18"/>
      <c r="G5" s="19"/>
    </row>
    <row r="6" ht="15.75" customHeight="1">
      <c r="B6" s="40" t="s">
        <v>117</v>
      </c>
      <c r="C6" s="17">
        <f>H10+H21+H43+H67</f>
        <v>123</v>
      </c>
      <c r="D6" s="18"/>
      <c r="E6" s="18"/>
      <c r="F6" s="18"/>
      <c r="G6" s="19"/>
      <c r="I6" s="5"/>
    </row>
    <row r="7" ht="15.75" customHeight="1">
      <c r="B7" s="40" t="s">
        <v>158</v>
      </c>
      <c r="C7" s="17">
        <f>B48+B59</f>
        <v>0.45</v>
      </c>
      <c r="D7" s="18"/>
      <c r="E7" s="18"/>
      <c r="F7" s="18"/>
      <c r="G7" s="19"/>
    </row>
    <row r="8" ht="15.75" customHeight="1">
      <c r="B8" s="40" t="s">
        <v>159</v>
      </c>
      <c r="C8" s="17" t="str">
        <f>IF(H43&lt;=0, "❌ ERROR: La Actividad 1 debe tener un tiempo mayor a 0.", IF(H21&gt;60, "❌ ERROR: El 'Área de Conocimiento' no puede exceder los 60 min.", IF((H10+H21+H43)&lt;100,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3.0</v>
      </c>
    </row>
    <row r="11" ht="15.75" customHeight="1">
      <c r="G11" s="24" t="s">
        <v>161</v>
      </c>
    </row>
    <row r="12" ht="15.75" customHeight="1">
      <c r="A12" s="28" t="s">
        <v>162</v>
      </c>
      <c r="B12" s="29" t="s">
        <v>223</v>
      </c>
      <c r="C12" s="18"/>
      <c r="D12" s="18"/>
      <c r="E12" s="18"/>
      <c r="F12" s="18"/>
      <c r="G12" s="18"/>
      <c r="H12" s="19"/>
    </row>
    <row r="13" ht="15.75" customHeight="1">
      <c r="A13" s="43" t="s">
        <v>119</v>
      </c>
      <c r="B13" s="29">
        <v>3.0</v>
      </c>
      <c r="C13" s="18"/>
      <c r="D13" s="18"/>
      <c r="E13" s="18"/>
      <c r="F13" s="18"/>
      <c r="G13" s="18"/>
      <c r="H13" s="19"/>
    </row>
    <row r="14" ht="15.75" customHeight="1">
      <c r="A14" s="44" t="s">
        <v>164</v>
      </c>
      <c r="B14" s="18"/>
      <c r="C14" s="18"/>
      <c r="D14" s="18"/>
      <c r="E14" s="18"/>
      <c r="F14" s="18"/>
      <c r="G14" s="18"/>
      <c r="H14" s="19"/>
    </row>
    <row r="15" ht="15.75" customHeight="1">
      <c r="A15" s="62" t="s">
        <v>224</v>
      </c>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62" t="s">
        <v>225</v>
      </c>
      <c r="B18" s="46"/>
      <c r="C18" s="46"/>
      <c r="D18" s="46"/>
      <c r="E18" s="46"/>
      <c r="F18" s="46"/>
      <c r="G18" s="46"/>
      <c r="H18" s="47"/>
    </row>
    <row r="19" ht="15.75" customHeight="1">
      <c r="A19" s="48"/>
      <c r="B19" s="49"/>
      <c r="C19" s="49"/>
      <c r="D19" s="49"/>
      <c r="E19" s="49"/>
      <c r="F19" s="49"/>
      <c r="G19" s="49"/>
      <c r="H19" s="50"/>
    </row>
    <row r="20" ht="15.75" customHeight="1"/>
    <row r="21" ht="15.75" customHeight="1">
      <c r="A21" s="41" t="s">
        <v>168</v>
      </c>
      <c r="G21" s="31" t="s">
        <v>119</v>
      </c>
      <c r="H21" s="64">
        <f>D38+D39+D40+D41</f>
        <v>60</v>
      </c>
      <c r="I21" s="5"/>
    </row>
    <row r="22" ht="15.75" customHeight="1">
      <c r="G22" s="24" t="s">
        <v>169</v>
      </c>
    </row>
    <row r="23" ht="15.75" customHeight="1">
      <c r="A23" s="28" t="s">
        <v>170</v>
      </c>
      <c r="B23" s="29" t="s">
        <v>99</v>
      </c>
      <c r="C23" s="18"/>
      <c r="D23" s="18"/>
      <c r="E23" s="18"/>
      <c r="F23" s="18"/>
      <c r="G23" s="18"/>
      <c r="H23" s="19"/>
    </row>
    <row r="24" ht="15.75" customHeight="1">
      <c r="A24" s="28" t="s">
        <v>170</v>
      </c>
      <c r="B24" s="29" t="s">
        <v>70</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IFERROR(__xludf.DUMMYFUNCTION("FILTER('Diseño'!E:E,'Diseño'!H:H=$C$5)"),"Ruteo")</f>
        <v>Ruteo</v>
      </c>
      <c r="E28" s="19"/>
      <c r="F28" s="17" t="str">
        <f>IFERROR(__xludf.DUMMYFUNCTION("FILTER('Diseño'!F:F,'Diseño'!H:H=$C$5)"),"¿Que es enrutamiento?")</f>
        <v>¿Que es enrutamiento?</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IFERROR(__xludf.DUMMYFUNCTION("""COMPUTED_VALUE"""),"Ruteo")</f>
        <v>Ruteo</v>
      </c>
      <c r="E29" s="19"/>
      <c r="F29" s="17" t="str">
        <f>IFERROR(__xludf.DUMMYFUNCTION("""COMPUTED_VALUE"""),"Tipos de Ruteo")</f>
        <v>Tipos de Ruteo</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IFERROR(__xludf.DUMMYFUNCTION("""COMPUTED_VALUE"""),"Ruteo")</f>
        <v>Ruteo</v>
      </c>
      <c r="E30" s="19"/>
      <c r="F30" s="17" t="str">
        <f>IFERROR(__xludf.DUMMYFUNCTION("""COMPUTED_VALUE"""),"Tablas de Enrutamiento")</f>
        <v>Tablas de Enrutamiento</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IFERROR(__xludf.DUMMYFUNCTION("""COMPUTED_VALUE"""),"Ruteo")</f>
        <v>Ruteo</v>
      </c>
      <c r="E31" s="19"/>
      <c r="F31" s="17" t="str">
        <f>IFERROR(__xludf.DUMMYFUNCTION("""COMPUTED_VALUE"""),"Propiedades de los Protocolos de Ruteo")</f>
        <v>Propiedades de los Protocolos de Ruteo</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IFERROR(__xludf.DUMMYFUNCTION("""COMPUTED_VALUE"""),"Ruteo")</f>
        <v>Ruteo</v>
      </c>
      <c r="E32" s="19"/>
      <c r="F32" s="17" t="str">
        <f>IFERROR(__xludf.DUMMYFUNCTION("""COMPUTED_VALUE"""),"Protocolos de Ruteo Dinámico")</f>
        <v>Protocolos de Ruteo Dinámico</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IFERROR(__xludf.DUMMYFUNCTION("""COMPUTED_VALUE"""),"Ruteo")</f>
        <v>Ruteo</v>
      </c>
      <c r="E33" s="19"/>
      <c r="F33" s="17" t="str">
        <f>IFERROR(__xludf.DUMMYFUNCTION("""COMPUTED_VALUE"""),"Configuración de Rutas Estáticas en un Router")</f>
        <v>Configuración de Rutas Estáticas en un Router</v>
      </c>
      <c r="G33" s="18"/>
      <c r="H33" s="19"/>
    </row>
    <row r="34" ht="15.75" customHeight="1"/>
    <row r="35" ht="15.75" customHeight="1">
      <c r="A35" s="51" t="s">
        <v>175</v>
      </c>
    </row>
    <row r="36" ht="15.75" customHeight="1">
      <c r="A36" s="5"/>
      <c r="B36" s="5"/>
      <c r="C36" s="5"/>
      <c r="D36" s="5"/>
      <c r="E36" s="5"/>
      <c r="F36" s="5"/>
      <c r="G36" s="5"/>
      <c r="H36" s="5"/>
    </row>
    <row r="37" ht="15.75" customHeight="1">
      <c r="A37" s="52" t="s">
        <v>176</v>
      </c>
      <c r="B37" s="52" t="s">
        <v>177</v>
      </c>
      <c r="C37" s="54" t="s">
        <v>178</v>
      </c>
      <c r="D37" s="55" t="s">
        <v>119</v>
      </c>
      <c r="E37" s="18"/>
      <c r="F37" s="18"/>
      <c r="G37" s="18"/>
      <c r="H37" s="19"/>
    </row>
    <row r="38" ht="15.75" customHeight="1">
      <c r="A38" s="20" t="s">
        <v>179</v>
      </c>
      <c r="B38" s="20" t="s">
        <v>180</v>
      </c>
      <c r="C38" s="66" t="s">
        <v>227</v>
      </c>
      <c r="D38" s="29">
        <v>30.0</v>
      </c>
      <c r="E38" s="18"/>
      <c r="F38" s="18"/>
      <c r="G38" s="18"/>
      <c r="H38" s="19"/>
    </row>
    <row r="39" ht="15.75" customHeight="1">
      <c r="A39" s="20" t="s">
        <v>181</v>
      </c>
      <c r="B39" s="20" t="s">
        <v>180</v>
      </c>
      <c r="C39" s="20" t="s">
        <v>182</v>
      </c>
      <c r="D39" s="29">
        <v>3.0</v>
      </c>
      <c r="E39" s="18"/>
      <c r="F39" s="18"/>
      <c r="G39" s="18"/>
      <c r="H39" s="19"/>
    </row>
    <row r="40" ht="15.75" customHeight="1">
      <c r="A40" s="20" t="s">
        <v>183</v>
      </c>
      <c r="B40" s="20" t="s">
        <v>184</v>
      </c>
      <c r="C40" s="20"/>
      <c r="D40" s="17"/>
      <c r="E40" s="18"/>
      <c r="F40" s="18"/>
      <c r="G40" s="18"/>
      <c r="H40" s="19"/>
    </row>
    <row r="41" ht="15.75" customHeight="1">
      <c r="A41" s="20" t="s">
        <v>185</v>
      </c>
      <c r="B41" s="20" t="s">
        <v>180</v>
      </c>
      <c r="C41" s="66" t="s">
        <v>227</v>
      </c>
      <c r="D41" s="29">
        <v>27.0</v>
      </c>
      <c r="E41" s="18"/>
      <c r="F41" s="18"/>
      <c r="G41" s="18"/>
      <c r="H41" s="19"/>
    </row>
    <row r="42" ht="15.75" customHeight="1"/>
    <row r="43" ht="15.75" customHeight="1">
      <c r="A43" s="41" t="s">
        <v>186</v>
      </c>
      <c r="G43" s="31" t="s">
        <v>119</v>
      </c>
      <c r="H43" s="64">
        <f>B49+B60</f>
        <v>50</v>
      </c>
    </row>
    <row r="44" ht="15.75" customHeight="1">
      <c r="G44" s="24" t="s">
        <v>187</v>
      </c>
    </row>
    <row r="45" ht="15.75" customHeight="1">
      <c r="A45" s="24" t="s">
        <v>188</v>
      </c>
    </row>
    <row r="46" ht="15.75" customHeight="1">
      <c r="A46" s="28" t="s">
        <v>189</v>
      </c>
      <c r="B46" s="29" t="s">
        <v>56</v>
      </c>
      <c r="C46" s="18"/>
      <c r="D46" s="18"/>
      <c r="E46" s="18"/>
      <c r="F46" s="18"/>
      <c r="G46" s="18"/>
      <c r="H46" s="19"/>
    </row>
    <row r="47" ht="15.75" customHeight="1">
      <c r="A47" s="28" t="s">
        <v>190</v>
      </c>
      <c r="B47" s="29" t="s">
        <v>191</v>
      </c>
      <c r="C47" s="18"/>
      <c r="D47" s="18"/>
      <c r="E47" s="18"/>
      <c r="F47" s="18"/>
      <c r="G47" s="18"/>
      <c r="H47" s="19"/>
    </row>
    <row r="48" ht="32.25" customHeight="1">
      <c r="A48" s="28" t="s">
        <v>158</v>
      </c>
      <c r="B48" s="56">
        <v>0.45</v>
      </c>
      <c r="C48" s="18"/>
      <c r="D48" s="18"/>
      <c r="E48" s="18"/>
      <c r="F48" s="18"/>
      <c r="G48" s="18"/>
      <c r="H48" s="19"/>
    </row>
    <row r="49" ht="15.75" customHeight="1">
      <c r="A49" s="28" t="s">
        <v>119</v>
      </c>
      <c r="B49" s="29">
        <v>50.0</v>
      </c>
      <c r="C49" s="18"/>
      <c r="D49" s="18"/>
      <c r="E49" s="18"/>
      <c r="F49" s="18"/>
      <c r="G49" s="18"/>
      <c r="H49" s="19"/>
    </row>
    <row r="50" ht="15.75" customHeight="1">
      <c r="A50" s="35" t="s">
        <v>192</v>
      </c>
      <c r="B50" s="5"/>
      <c r="C50" s="5"/>
      <c r="D50" s="5"/>
      <c r="E50" s="5"/>
      <c r="F50" s="5"/>
      <c r="G50" s="5"/>
      <c r="H50" s="5"/>
    </row>
    <row r="51" ht="15.75" customHeight="1">
      <c r="A51" s="44" t="s">
        <v>193</v>
      </c>
      <c r="B51" s="18"/>
      <c r="C51" s="18"/>
      <c r="D51" s="18"/>
      <c r="E51" s="18"/>
      <c r="F51" s="18"/>
      <c r="G51" s="18"/>
      <c r="H51" s="19"/>
    </row>
    <row r="52" ht="15.75" customHeight="1">
      <c r="A52" s="45" t="s">
        <v>228</v>
      </c>
      <c r="B52" s="46"/>
      <c r="C52" s="46"/>
      <c r="D52" s="46"/>
      <c r="E52" s="46"/>
      <c r="F52" s="46"/>
      <c r="G52" s="46"/>
      <c r="H52" s="47"/>
    </row>
    <row r="53" ht="15.75" customHeight="1">
      <c r="A53" s="57"/>
      <c r="H53" s="58"/>
    </row>
    <row r="54" ht="15.75" customHeight="1">
      <c r="A54" s="48"/>
      <c r="B54" s="49"/>
      <c r="C54" s="49"/>
      <c r="D54" s="49"/>
      <c r="E54" s="49"/>
      <c r="F54" s="49"/>
      <c r="G54" s="49"/>
      <c r="H54" s="50"/>
    </row>
    <row r="55" ht="15.75" customHeight="1"/>
    <row r="56" ht="15.75" customHeight="1">
      <c r="A56" s="24" t="s">
        <v>195</v>
      </c>
    </row>
    <row r="57" ht="15.75" customHeight="1">
      <c r="A57" s="28" t="s">
        <v>189</v>
      </c>
      <c r="B57" s="17"/>
      <c r="C57" s="18"/>
      <c r="D57" s="18"/>
      <c r="E57" s="18"/>
      <c r="F57" s="18"/>
      <c r="G57" s="18"/>
      <c r="H57" s="19"/>
    </row>
    <row r="58" ht="15.75" customHeight="1">
      <c r="A58" s="28" t="s">
        <v>190</v>
      </c>
      <c r="B58" s="17"/>
      <c r="C58" s="18"/>
      <c r="D58" s="18"/>
      <c r="E58" s="18"/>
      <c r="F58" s="18"/>
      <c r="G58" s="18"/>
      <c r="H58" s="19"/>
    </row>
    <row r="59" ht="15.75" customHeight="1">
      <c r="A59" s="28" t="s">
        <v>158</v>
      </c>
      <c r="B59" s="59"/>
      <c r="C59" s="18"/>
      <c r="D59" s="18"/>
      <c r="E59" s="18"/>
      <c r="F59" s="18"/>
      <c r="G59" s="18"/>
      <c r="H59" s="19"/>
    </row>
    <row r="60" ht="15.75" customHeight="1">
      <c r="A60" s="28" t="s">
        <v>119</v>
      </c>
      <c r="B60" s="59"/>
      <c r="C60" s="18"/>
      <c r="D60" s="18"/>
      <c r="E60" s="18"/>
      <c r="F60" s="18"/>
      <c r="G60" s="18"/>
      <c r="H60" s="19"/>
    </row>
    <row r="61" ht="15.75" customHeight="1">
      <c r="A61" s="60" t="s">
        <v>196</v>
      </c>
      <c r="B61" s="5"/>
      <c r="C61" s="5"/>
      <c r="D61" s="5"/>
      <c r="E61" s="5"/>
      <c r="F61" s="5"/>
      <c r="G61" s="5"/>
      <c r="H61" s="5"/>
    </row>
    <row r="62" ht="15.75" customHeight="1">
      <c r="A62" s="44" t="s">
        <v>193</v>
      </c>
      <c r="B62" s="18"/>
      <c r="C62" s="18"/>
      <c r="D62" s="18"/>
      <c r="E62" s="18"/>
      <c r="F62" s="18"/>
      <c r="G62" s="18"/>
      <c r="H62" s="19"/>
    </row>
    <row r="63" ht="15.75" customHeight="1">
      <c r="A63" s="61"/>
      <c r="B63" s="46"/>
      <c r="C63" s="46"/>
      <c r="D63" s="46"/>
      <c r="E63" s="46"/>
      <c r="F63" s="46"/>
      <c r="G63" s="46"/>
      <c r="H63" s="47"/>
    </row>
    <row r="64" ht="15.75" customHeight="1">
      <c r="A64" s="57"/>
      <c r="H64" s="58"/>
    </row>
    <row r="65" ht="15.75" customHeight="1">
      <c r="A65" s="48"/>
      <c r="B65" s="49"/>
      <c r="C65" s="49"/>
      <c r="D65" s="49"/>
      <c r="E65" s="49"/>
      <c r="F65" s="49"/>
      <c r="G65" s="49"/>
      <c r="H65" s="50"/>
    </row>
    <row r="66" ht="15.75" customHeight="1"/>
    <row r="67" ht="15.75" customHeight="1">
      <c r="A67" s="41" t="s">
        <v>197</v>
      </c>
      <c r="G67" s="31" t="s">
        <v>119</v>
      </c>
      <c r="H67" s="42">
        <v>10.0</v>
      </c>
    </row>
    <row r="68" ht="15.75" customHeight="1">
      <c r="G68" s="24" t="s">
        <v>198</v>
      </c>
    </row>
    <row r="69" ht="15.75" customHeight="1">
      <c r="A69" s="28" t="s">
        <v>119</v>
      </c>
      <c r="B69" s="56">
        <v>10.0</v>
      </c>
      <c r="C69" s="18"/>
      <c r="D69" s="18"/>
      <c r="E69" s="18"/>
      <c r="F69" s="18"/>
      <c r="G69" s="18"/>
      <c r="H69" s="19"/>
    </row>
    <row r="70" ht="15.75" customHeight="1">
      <c r="A70" s="55" t="s">
        <v>199</v>
      </c>
      <c r="B70" s="18"/>
      <c r="C70" s="18"/>
      <c r="D70" s="18"/>
      <c r="E70" s="18"/>
      <c r="F70" s="18"/>
      <c r="G70" s="18"/>
      <c r="H70" s="19"/>
    </row>
    <row r="71" ht="15.75" customHeight="1">
      <c r="A71" s="71" t="s">
        <v>200</v>
      </c>
    </row>
    <row r="72" ht="15.75" customHeight="1"/>
    <row r="73" ht="15.75" customHeight="1">
      <c r="A73" s="24" t="s">
        <v>200</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8">
    <mergeCell ref="B60:H60"/>
    <mergeCell ref="A62:H62"/>
    <mergeCell ref="A63:H65"/>
    <mergeCell ref="A67:F67"/>
    <mergeCell ref="B69:H69"/>
    <mergeCell ref="A70:H70"/>
    <mergeCell ref="A71:H72"/>
    <mergeCell ref="B48:H48"/>
    <mergeCell ref="B49:H49"/>
    <mergeCell ref="A51:H51"/>
    <mergeCell ref="A52:H54"/>
    <mergeCell ref="B57:H57"/>
    <mergeCell ref="B58:H58"/>
    <mergeCell ref="B59:H59"/>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D37:H37"/>
    <mergeCell ref="D38:H38"/>
    <mergeCell ref="D39:H39"/>
    <mergeCell ref="D40:H40"/>
    <mergeCell ref="D41:H41"/>
    <mergeCell ref="A43:F43"/>
    <mergeCell ref="B46:H46"/>
    <mergeCell ref="B47:H47"/>
  </mergeCells>
  <dataValidations>
    <dataValidation type="list" allowBlank="1" showErrorMessage="1" sqref="B23:B24 B46 B57">
      <formula1>METADATA!$I$17:$I$40</formula1>
    </dataValidation>
    <dataValidation type="list" allowBlank="1" showErrorMessage="1" sqref="B47">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9.0</v>
      </c>
      <c r="D5" s="18"/>
      <c r="E5" s="18"/>
      <c r="F5" s="18"/>
      <c r="G5" s="19"/>
    </row>
    <row r="6" ht="15.75" customHeight="1">
      <c r="B6" s="40" t="s">
        <v>117</v>
      </c>
      <c r="C6" s="17">
        <f>H10+H21+H45+H69</f>
        <v>115</v>
      </c>
      <c r="D6" s="18"/>
      <c r="E6" s="18"/>
      <c r="F6" s="18"/>
      <c r="G6" s="19"/>
      <c r="I6" s="5"/>
    </row>
    <row r="7" ht="15.75" customHeight="1">
      <c r="B7" s="40" t="s">
        <v>158</v>
      </c>
      <c r="C7" s="17">
        <f>B50+B61</f>
        <v>0.5</v>
      </c>
      <c r="D7" s="18"/>
      <c r="E7" s="18"/>
      <c r="F7" s="18"/>
      <c r="G7" s="19"/>
    </row>
    <row r="8" ht="15.75" customHeight="1">
      <c r="B8" s="40" t="s">
        <v>159</v>
      </c>
      <c r="C8" s="17" t="str">
        <f>IF(H45&lt;=0, "❌ ERROR: La Actividad 1 debe tener un tiempo mayor a 0.", IF(H21&gt;60, "❌ ERROR: El 'Área de Conocimiento' no puede exceder los 60 min.", IF((H10+H21+H45)&lt;100,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5.0</v>
      </c>
    </row>
    <row r="11" ht="15.75" customHeight="1">
      <c r="G11" s="24" t="s">
        <v>161</v>
      </c>
    </row>
    <row r="12" ht="15.75" customHeight="1">
      <c r="A12" s="28" t="s">
        <v>162</v>
      </c>
      <c r="B12" s="29" t="s">
        <v>229</v>
      </c>
      <c r="C12" s="18"/>
      <c r="D12" s="18"/>
      <c r="E12" s="18"/>
      <c r="F12" s="18"/>
      <c r="G12" s="18"/>
      <c r="H12" s="19"/>
    </row>
    <row r="13" ht="15.75" customHeight="1">
      <c r="A13" s="43" t="s">
        <v>119</v>
      </c>
      <c r="B13" s="29">
        <v>5.0</v>
      </c>
      <c r="C13" s="18"/>
      <c r="D13" s="18"/>
      <c r="E13" s="18"/>
      <c r="F13" s="18"/>
      <c r="G13" s="18"/>
      <c r="H13" s="19"/>
    </row>
    <row r="14" ht="15.75" customHeight="1">
      <c r="A14" s="44" t="s">
        <v>164</v>
      </c>
      <c r="B14" s="18"/>
      <c r="C14" s="18"/>
      <c r="D14" s="18"/>
      <c r="E14" s="18"/>
      <c r="F14" s="18"/>
      <c r="G14" s="18"/>
      <c r="H14" s="19"/>
    </row>
    <row r="15" ht="15.75" customHeight="1">
      <c r="A15" s="62" t="s">
        <v>230</v>
      </c>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72" t="s">
        <v>231</v>
      </c>
      <c r="B18" s="46"/>
      <c r="C18" s="46"/>
      <c r="D18" s="46"/>
      <c r="E18" s="46"/>
      <c r="F18" s="46"/>
      <c r="G18" s="46"/>
      <c r="H18" s="47"/>
    </row>
    <row r="19" ht="15.75" customHeight="1">
      <c r="A19" s="48"/>
      <c r="B19" s="49"/>
      <c r="C19" s="49"/>
      <c r="D19" s="49"/>
      <c r="E19" s="49"/>
      <c r="F19" s="49"/>
      <c r="G19" s="49"/>
      <c r="H19" s="50"/>
    </row>
    <row r="20" ht="15.75" customHeight="1"/>
    <row r="21" ht="15.75" customHeight="1">
      <c r="A21" s="41" t="s">
        <v>168</v>
      </c>
      <c r="G21" s="31" t="s">
        <v>119</v>
      </c>
      <c r="H21" s="42">
        <v>60.0</v>
      </c>
      <c r="I21" s="5"/>
    </row>
    <row r="22" ht="15.75" customHeight="1">
      <c r="G22" s="24" t="s">
        <v>169</v>
      </c>
    </row>
    <row r="23" ht="15.75" customHeight="1">
      <c r="A23" s="28" t="s">
        <v>170</v>
      </c>
      <c r="B23" s="29" t="s">
        <v>89</v>
      </c>
      <c r="C23" s="18"/>
      <c r="D23" s="18"/>
      <c r="E23" s="18"/>
      <c r="F23" s="18"/>
      <c r="G23" s="18"/>
      <c r="H23" s="19"/>
    </row>
    <row r="24" ht="15.75" customHeight="1">
      <c r="A24" s="28" t="s">
        <v>170</v>
      </c>
      <c r="B24" s="29" t="s">
        <v>56</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IFERROR(__xludf.DUMMYFUNCTION("FILTER('Diseño'!E:E,'Diseño'!H:H=$C$5)"),"Ruteo Dinámico (RIP, OSPF, EIGRP Y BGP)")</f>
        <v>Ruteo Dinámico (RIP, OSPF, EIGRP Y BGP)</v>
      </c>
      <c r="E28" s="19"/>
      <c r="F28" s="17" t="str">
        <f>IFERROR(__xludf.DUMMYFUNCTION("FILTER('Diseño'!F:F,'Diseño'!H:H=$C$5)"),"Definición y Configuración del Protocolo RIP")</f>
        <v>Definición y Configuración del Protocolo RIP</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IFERROR(__xludf.DUMMYFUNCTION("""COMPUTED_VALUE"""),"Ruteo Dinámico (RIP, OSPF, EIGRP Y BGP)")</f>
        <v>Ruteo Dinámico (RIP, OSPF, EIGRP Y BGP)</v>
      </c>
      <c r="E29" s="19"/>
      <c r="F29" s="17" t="str">
        <f>IFERROR(__xludf.DUMMYFUNCTION("""COMPUTED_VALUE"""),"Definición y Configuración del Protocolo OSPF")</f>
        <v>Definición y Configuración del Protocolo OSPF</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IFERROR(__xludf.DUMMYFUNCTION("""COMPUTED_VALUE"""),"Ruteo Dinámico (RIP, OSPF, EIGRP Y BGP)")</f>
        <v>Ruteo Dinámico (RIP, OSPF, EIGRP Y BGP)</v>
      </c>
      <c r="E30" s="19"/>
      <c r="F30" s="17" t="str">
        <f>IFERROR(__xludf.DUMMYFUNCTION("""COMPUTED_VALUE"""),"Definición y Configuración del Protocolo EIGRP")</f>
        <v>Definición y Configuración del Protocolo EIGRP</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IFERROR(__xludf.DUMMYFUNCTION("""COMPUTED_VALUE"""),"Ruteo Dinámico (RIP, OSPF, EIGRP Y BGP)")</f>
        <v>Ruteo Dinámico (RIP, OSPF, EIGRP Y BGP)</v>
      </c>
      <c r="E31" s="19"/>
      <c r="F31" s="17" t="str">
        <f>IFERROR(__xludf.DUMMYFUNCTION("""COMPUTED_VALUE"""),"Definición y Configuración del Protocolo BGP")</f>
        <v>Definición y Configuración del Protocolo BGP</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IFERROR(__xludf.DUMMYFUNCTION("""COMPUTED_VALUE"""),"Ruteo Dinámico (RIP, OSPF, EIGRP Y BGP)")</f>
        <v>Ruteo Dinámico (RIP, OSPF, EIGRP Y BGP)</v>
      </c>
      <c r="E32" s="19"/>
      <c r="F32" s="17" t="str">
        <f>IFERROR(__xludf.DUMMYFUNCTION("""COMPUTED_VALUE"""),"Autenticación en Protocolos de Ruteo Dinámico")</f>
        <v>Autenticación en Protocolos de Ruteo Dinámico</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IFERROR(__xludf.DUMMYFUNCTION("""COMPUTED_VALUE"""),"Ruteo Dinámico (RIP, OSPF, EIGRP Y BGP)")</f>
        <v>Ruteo Dinámico (RIP, OSPF, EIGRP Y BGP)</v>
      </c>
      <c r="E33" s="19"/>
      <c r="F33" s="17" t="str">
        <f>IFERROR(__xludf.DUMMYFUNCTION("""COMPUTED_VALUE"""),"Redistribución de Rutas entre Protocolos de Ruteo Dinámico")</f>
        <v>Redistribución de Rutas entre Protocolos de Ruteo Dinámico</v>
      </c>
      <c r="G33" s="18"/>
      <c r="H33" s="19"/>
    </row>
    <row r="34" ht="15.75" customHeight="1">
      <c r="A34" s="20">
        <v>7.0</v>
      </c>
      <c r="B34" s="17" t="str">
        <f>IFERROR(__xludf.DUMMYFUNCTION("""COMPUTED_VALUE"""),"Unidad 3 - Dispositivos y Protocolos en la Capa 3: Enrutamiento, Alta Disponibilidad y Seguridad")</f>
        <v>Unidad 3 - Dispositivos y Protocolos en la Capa 3: Enrutamiento, Alta Disponibilidad y Seguridad</v>
      </c>
      <c r="C34" s="19"/>
      <c r="D34" s="17" t="str">
        <f>IFERROR(__xludf.DUMMYFUNCTION("""COMPUTED_VALUE"""),"Ruteo Dinámico (RIP, OSPF, EIGRP Y BGP)")</f>
        <v>Ruteo Dinámico (RIP, OSPF, EIGRP Y BGP)</v>
      </c>
      <c r="E34" s="19"/>
      <c r="F34" s="17" t="str">
        <f>IFERROR(__xludf.DUMMYFUNCTION("""COMPUTED_VALUE"""),"Solución de Problemas Comunes en Ruteo Dinámico")</f>
        <v>Solución de Problemas Comunes en Ruteo Dinámico</v>
      </c>
      <c r="G34" s="18"/>
      <c r="H34" s="19"/>
    </row>
    <row r="35" ht="15.75" customHeight="1">
      <c r="A35" s="73">
        <v>8.0</v>
      </c>
      <c r="B35" s="68" t="str">
        <f>IFERROR(__xludf.DUMMYFUNCTION("""COMPUTED_VALUE"""),"Unidad 3 - Dispositivos y Protocolos en la Capa 3: Enrutamiento, Alta Disponibilidad y Seguridad")</f>
        <v>Unidad 3 - Dispositivos y Protocolos en la Capa 3: Enrutamiento, Alta Disponibilidad y Seguridad</v>
      </c>
      <c r="C35" s="68"/>
      <c r="D35" s="69" t="str">
        <f>IFERROR(__xludf.DUMMYFUNCTION("""COMPUTED_VALUE"""),"Ruteo Dinámico (RIP, OSPF, EIGRP Y BGP)")</f>
        <v>Ruteo Dinámico (RIP, OSPF, EIGRP Y BGP)</v>
      </c>
      <c r="E35" s="19"/>
      <c r="F35" s="68" t="str">
        <f>IFERROR(__xludf.DUMMYFUNCTION("""COMPUTED_VALUE"""),"Redistribución de Rutas entre Protocolos de Ruteo")</f>
        <v>Redistribución de Rutas entre Protocolos de Ruteo</v>
      </c>
      <c r="G35" s="68"/>
      <c r="H35" s="68"/>
    </row>
    <row r="36" ht="15.75" customHeight="1">
      <c r="A36" s="51"/>
    </row>
    <row r="37" ht="15.75" customHeight="1">
      <c r="A37" s="51" t="s">
        <v>175</v>
      </c>
    </row>
    <row r="38" ht="15.75" customHeight="1">
      <c r="A38" s="5"/>
      <c r="B38" s="5"/>
      <c r="C38" s="5"/>
      <c r="D38" s="5"/>
      <c r="E38" s="5"/>
      <c r="F38" s="5"/>
      <c r="G38" s="5"/>
      <c r="H38" s="5"/>
    </row>
    <row r="39" ht="15.75" customHeight="1">
      <c r="A39" s="52" t="s">
        <v>176</v>
      </c>
      <c r="B39" s="52" t="s">
        <v>177</v>
      </c>
      <c r="C39" s="54" t="s">
        <v>178</v>
      </c>
      <c r="D39" s="55" t="s">
        <v>119</v>
      </c>
      <c r="E39" s="18"/>
      <c r="F39" s="18"/>
      <c r="G39" s="18"/>
      <c r="H39" s="19"/>
    </row>
    <row r="40" ht="15.75" customHeight="1">
      <c r="A40" s="20" t="s">
        <v>179</v>
      </c>
      <c r="B40" s="20" t="s">
        <v>180</v>
      </c>
      <c r="C40" s="20"/>
      <c r="D40" s="17"/>
      <c r="E40" s="18"/>
      <c r="F40" s="18"/>
      <c r="G40" s="18"/>
      <c r="H40" s="19"/>
    </row>
    <row r="41" ht="15.75" customHeight="1">
      <c r="A41" s="20" t="s">
        <v>181</v>
      </c>
      <c r="B41" s="20" t="s">
        <v>180</v>
      </c>
      <c r="C41" s="20" t="s">
        <v>182</v>
      </c>
      <c r="D41" s="17"/>
      <c r="E41" s="18"/>
      <c r="F41" s="18"/>
      <c r="G41" s="18"/>
      <c r="H41" s="19"/>
    </row>
    <row r="42" ht="15.75" customHeight="1">
      <c r="A42" s="20" t="s">
        <v>183</v>
      </c>
      <c r="B42" s="20" t="s">
        <v>184</v>
      </c>
      <c r="C42" s="20"/>
      <c r="D42" s="17"/>
      <c r="E42" s="18"/>
      <c r="F42" s="18"/>
      <c r="G42" s="18"/>
      <c r="H42" s="19"/>
    </row>
    <row r="43" ht="15.75" customHeight="1">
      <c r="A43" s="20" t="s">
        <v>185</v>
      </c>
      <c r="B43" s="20" t="s">
        <v>180</v>
      </c>
      <c r="C43" s="20"/>
      <c r="D43" s="17"/>
      <c r="E43" s="18"/>
      <c r="F43" s="18"/>
      <c r="G43" s="18"/>
      <c r="H43" s="19"/>
    </row>
    <row r="44" ht="15.75" customHeight="1"/>
    <row r="45" ht="15.75" customHeight="1">
      <c r="A45" s="41" t="s">
        <v>186</v>
      </c>
      <c r="G45" s="31" t="s">
        <v>119</v>
      </c>
      <c r="H45" s="64">
        <f>B51+B62</f>
        <v>40</v>
      </c>
    </row>
    <row r="46" ht="15.75" customHeight="1">
      <c r="G46" s="24" t="s">
        <v>187</v>
      </c>
    </row>
    <row r="47" ht="15.75" customHeight="1">
      <c r="A47" s="24" t="s">
        <v>188</v>
      </c>
    </row>
    <row r="48" ht="27.75" customHeight="1">
      <c r="A48" s="28" t="s">
        <v>189</v>
      </c>
      <c r="B48" s="29" t="s">
        <v>56</v>
      </c>
      <c r="C48" s="18"/>
      <c r="D48" s="18"/>
      <c r="E48" s="18"/>
      <c r="F48" s="18"/>
      <c r="G48" s="18"/>
      <c r="H48" s="19"/>
    </row>
    <row r="49" ht="15.75" customHeight="1">
      <c r="A49" s="28" t="s">
        <v>190</v>
      </c>
      <c r="B49" s="29" t="s">
        <v>191</v>
      </c>
      <c r="C49" s="18"/>
      <c r="D49" s="18"/>
      <c r="E49" s="18"/>
      <c r="F49" s="18"/>
      <c r="G49" s="18"/>
      <c r="H49" s="19"/>
    </row>
    <row r="50" ht="15.75" customHeight="1">
      <c r="A50" s="28" t="s">
        <v>158</v>
      </c>
      <c r="B50" s="56">
        <v>0.5</v>
      </c>
      <c r="C50" s="18"/>
      <c r="D50" s="18"/>
      <c r="E50" s="18"/>
      <c r="F50" s="18"/>
      <c r="G50" s="18"/>
      <c r="H50" s="19"/>
    </row>
    <row r="51" ht="15.75" customHeight="1">
      <c r="A51" s="28" t="s">
        <v>119</v>
      </c>
      <c r="B51" s="29">
        <v>40.0</v>
      </c>
      <c r="C51" s="18"/>
      <c r="D51" s="18"/>
      <c r="E51" s="18"/>
      <c r="F51" s="18"/>
      <c r="G51" s="18"/>
      <c r="H51" s="19"/>
    </row>
    <row r="52" ht="15.75" customHeight="1">
      <c r="A52" s="35" t="s">
        <v>192</v>
      </c>
      <c r="B52" s="5"/>
      <c r="C52" s="5"/>
      <c r="D52" s="5"/>
      <c r="E52" s="5"/>
      <c r="F52" s="5"/>
      <c r="G52" s="5"/>
      <c r="H52" s="5"/>
    </row>
    <row r="53" ht="15.75" customHeight="1">
      <c r="A53" s="44" t="s">
        <v>193</v>
      </c>
      <c r="B53" s="18"/>
      <c r="C53" s="18"/>
      <c r="D53" s="18"/>
      <c r="E53" s="18"/>
      <c r="F53" s="18"/>
      <c r="G53" s="18"/>
      <c r="H53" s="19"/>
    </row>
    <row r="54" ht="15.75" customHeight="1">
      <c r="A54" s="45" t="s">
        <v>232</v>
      </c>
      <c r="B54" s="46"/>
      <c r="C54" s="46"/>
      <c r="D54" s="46"/>
      <c r="E54" s="46"/>
      <c r="F54" s="46"/>
      <c r="G54" s="46"/>
      <c r="H54" s="47"/>
    </row>
    <row r="55" ht="15.75" customHeight="1">
      <c r="A55" s="57"/>
      <c r="H55" s="58"/>
    </row>
    <row r="56" ht="15.75" customHeight="1">
      <c r="A56" s="48"/>
      <c r="B56" s="49"/>
      <c r="C56" s="49"/>
      <c r="D56" s="49"/>
      <c r="E56" s="49"/>
      <c r="F56" s="49"/>
      <c r="G56" s="49"/>
      <c r="H56" s="50"/>
    </row>
    <row r="57" ht="15.75" customHeight="1"/>
    <row r="58" ht="15.75" customHeight="1">
      <c r="A58" s="24" t="s">
        <v>195</v>
      </c>
    </row>
    <row r="59" ht="15.75" customHeight="1">
      <c r="A59" s="28" t="s">
        <v>189</v>
      </c>
      <c r="B59" s="17"/>
      <c r="C59" s="18"/>
      <c r="D59" s="18"/>
      <c r="E59" s="18"/>
      <c r="F59" s="18"/>
      <c r="G59" s="18"/>
      <c r="H59" s="19"/>
    </row>
    <row r="60" ht="15.75" customHeight="1">
      <c r="A60" s="28" t="s">
        <v>190</v>
      </c>
      <c r="B60" s="17"/>
      <c r="C60" s="18"/>
      <c r="D60" s="18"/>
      <c r="E60" s="18"/>
      <c r="F60" s="18"/>
      <c r="G60" s="18"/>
      <c r="H60" s="19"/>
    </row>
    <row r="61" ht="15.75" customHeight="1">
      <c r="A61" s="28" t="s">
        <v>158</v>
      </c>
      <c r="B61" s="59"/>
      <c r="C61" s="18"/>
      <c r="D61" s="18"/>
      <c r="E61" s="18"/>
      <c r="F61" s="18"/>
      <c r="G61" s="18"/>
      <c r="H61" s="19"/>
    </row>
    <row r="62" ht="15.75" customHeight="1">
      <c r="A62" s="28" t="s">
        <v>119</v>
      </c>
      <c r="B62" s="59"/>
      <c r="C62" s="18"/>
      <c r="D62" s="18"/>
      <c r="E62" s="18"/>
      <c r="F62" s="18"/>
      <c r="G62" s="18"/>
      <c r="H62" s="19"/>
    </row>
    <row r="63" ht="15.75" customHeight="1">
      <c r="A63" s="60" t="s">
        <v>196</v>
      </c>
      <c r="B63" s="5"/>
      <c r="C63" s="5"/>
      <c r="D63" s="5"/>
      <c r="E63" s="5"/>
      <c r="F63" s="5"/>
      <c r="G63" s="5"/>
      <c r="H63" s="5"/>
    </row>
    <row r="64" ht="15.75" customHeight="1">
      <c r="A64" s="44" t="s">
        <v>193</v>
      </c>
      <c r="B64" s="18"/>
      <c r="C64" s="18"/>
      <c r="D64" s="18"/>
      <c r="E64" s="18"/>
      <c r="F64" s="18"/>
      <c r="G64" s="18"/>
      <c r="H64" s="19"/>
    </row>
    <row r="65" ht="15.75" customHeight="1">
      <c r="A65" s="61"/>
      <c r="B65" s="46"/>
      <c r="C65" s="46"/>
      <c r="D65" s="46"/>
      <c r="E65" s="46"/>
      <c r="F65" s="46"/>
      <c r="G65" s="46"/>
      <c r="H65" s="47"/>
    </row>
    <row r="66" ht="15.75" customHeight="1">
      <c r="A66" s="57"/>
      <c r="H66" s="58"/>
    </row>
    <row r="67" ht="15.75" customHeight="1">
      <c r="A67" s="48"/>
      <c r="B67" s="49"/>
      <c r="C67" s="49"/>
      <c r="D67" s="49"/>
      <c r="E67" s="49"/>
      <c r="F67" s="49"/>
      <c r="G67" s="49"/>
      <c r="H67" s="50"/>
    </row>
    <row r="68" ht="15.75" customHeight="1"/>
    <row r="69" ht="15.75" customHeight="1">
      <c r="A69" s="41" t="s">
        <v>197</v>
      </c>
      <c r="G69" s="31" t="s">
        <v>119</v>
      </c>
      <c r="H69" s="42">
        <v>10.0</v>
      </c>
    </row>
    <row r="70" ht="15.75" customHeight="1">
      <c r="G70" s="24" t="s">
        <v>198</v>
      </c>
    </row>
    <row r="71" ht="15.75" customHeight="1">
      <c r="A71" s="28" t="s">
        <v>119</v>
      </c>
      <c r="B71" s="56">
        <v>10.0</v>
      </c>
      <c r="C71" s="18"/>
      <c r="D71" s="18"/>
      <c r="E71" s="18"/>
      <c r="F71" s="18"/>
      <c r="G71" s="18"/>
      <c r="H71" s="19"/>
    </row>
    <row r="72" ht="15.75" customHeight="1">
      <c r="A72" s="55" t="s">
        <v>199</v>
      </c>
      <c r="B72" s="18"/>
      <c r="C72" s="18"/>
      <c r="D72" s="18"/>
      <c r="E72" s="18"/>
      <c r="F72" s="18"/>
      <c r="G72" s="18"/>
      <c r="H72" s="19"/>
    </row>
    <row r="73" ht="15.75" customHeight="1">
      <c r="A73" s="45" t="s">
        <v>233</v>
      </c>
      <c r="B73" s="46"/>
      <c r="C73" s="46"/>
      <c r="D73" s="46"/>
      <c r="E73" s="46"/>
      <c r="F73" s="46"/>
      <c r="G73" s="46"/>
      <c r="H73" s="47"/>
    </row>
    <row r="74" ht="15.75" customHeight="1">
      <c r="A74" s="48"/>
      <c r="B74" s="49"/>
      <c r="C74" s="49"/>
      <c r="D74" s="49"/>
      <c r="E74" s="49"/>
      <c r="F74" s="49"/>
      <c r="G74" s="49"/>
      <c r="H74" s="50"/>
    </row>
    <row r="75" ht="15.75" customHeight="1">
      <c r="A75" s="24" t="s">
        <v>200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D43:H43"/>
    <mergeCell ref="A45:F45"/>
    <mergeCell ref="B48:H48"/>
    <mergeCell ref="B49:H49"/>
    <mergeCell ref="B50:H50"/>
    <mergeCell ref="B51:H51"/>
    <mergeCell ref="A53:H53"/>
    <mergeCell ref="A69:F69"/>
    <mergeCell ref="B71:H71"/>
    <mergeCell ref="A72:H72"/>
    <mergeCell ref="A73:H74"/>
    <mergeCell ref="A54:H56"/>
    <mergeCell ref="B59:H59"/>
    <mergeCell ref="B60:H60"/>
    <mergeCell ref="B61:H61"/>
    <mergeCell ref="B62:H62"/>
    <mergeCell ref="A64:H64"/>
    <mergeCell ref="A65:H67"/>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5:E35"/>
    <mergeCell ref="D39:H39"/>
    <mergeCell ref="D40:H40"/>
    <mergeCell ref="D41:H41"/>
    <mergeCell ref="D42:H42"/>
  </mergeCells>
  <dataValidations>
    <dataValidation type="list" allowBlank="1" showErrorMessage="1" sqref="B23:B24 B48 B59">
      <formula1>METADATA!$I$17:$I$40</formula1>
    </dataValidation>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10.0</v>
      </c>
      <c r="D5" s="18"/>
      <c r="E5" s="18"/>
      <c r="F5" s="18"/>
      <c r="G5" s="19"/>
    </row>
    <row r="6" ht="15.75" customHeight="1">
      <c r="B6" s="40" t="s">
        <v>117</v>
      </c>
      <c r="C6" s="17">
        <f>H10+H21+H44+H68</f>
        <v>110</v>
      </c>
      <c r="D6" s="18"/>
      <c r="E6" s="18"/>
      <c r="F6" s="18"/>
      <c r="G6" s="19"/>
      <c r="I6" s="5"/>
    </row>
    <row r="7" ht="15.75" customHeight="1">
      <c r="B7" s="40" t="s">
        <v>158</v>
      </c>
      <c r="C7" s="17">
        <f>B49+B60</f>
        <v>0.5</v>
      </c>
      <c r="D7" s="18"/>
      <c r="E7" s="18"/>
      <c r="F7" s="18"/>
      <c r="G7" s="19"/>
    </row>
    <row r="8" ht="15.75" customHeight="1">
      <c r="B8" s="40" t="s">
        <v>159</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5.0</v>
      </c>
    </row>
    <row r="11" ht="15.75" customHeight="1">
      <c r="G11" s="24" t="s">
        <v>161</v>
      </c>
    </row>
    <row r="12" ht="15.75" customHeight="1">
      <c r="A12" s="28" t="s">
        <v>162</v>
      </c>
      <c r="B12" s="29" t="s">
        <v>234</v>
      </c>
      <c r="C12" s="18"/>
      <c r="D12" s="18"/>
      <c r="E12" s="18"/>
      <c r="F12" s="18"/>
      <c r="G12" s="18"/>
      <c r="H12" s="19"/>
    </row>
    <row r="13" ht="15.75" customHeight="1">
      <c r="A13" s="43" t="s">
        <v>119</v>
      </c>
      <c r="B13" s="29">
        <v>5.0</v>
      </c>
      <c r="C13" s="18"/>
      <c r="D13" s="18"/>
      <c r="E13" s="18"/>
      <c r="F13" s="18"/>
      <c r="G13" s="18"/>
      <c r="H13" s="19"/>
    </row>
    <row r="14" ht="15.75" customHeight="1">
      <c r="A14" s="44" t="s">
        <v>164</v>
      </c>
      <c r="B14" s="18"/>
      <c r="C14" s="18"/>
      <c r="D14" s="18"/>
      <c r="E14" s="18"/>
      <c r="F14" s="18"/>
      <c r="G14" s="18"/>
      <c r="H14" s="19"/>
    </row>
    <row r="15" ht="15.75" customHeight="1">
      <c r="A15" s="61"/>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61"/>
      <c r="B18" s="46"/>
      <c r="C18" s="46"/>
      <c r="D18" s="46"/>
      <c r="E18" s="46"/>
      <c r="F18" s="46"/>
      <c r="G18" s="46"/>
      <c r="H18" s="47"/>
    </row>
    <row r="19" ht="15.75" customHeight="1">
      <c r="A19" s="48"/>
      <c r="B19" s="49"/>
      <c r="C19" s="49"/>
      <c r="D19" s="49"/>
      <c r="E19" s="49"/>
      <c r="F19" s="49"/>
      <c r="G19" s="49"/>
      <c r="H19" s="50"/>
    </row>
    <row r="20" ht="15.75" customHeight="1"/>
    <row r="21" ht="15.75" customHeight="1">
      <c r="A21" s="41" t="s">
        <v>168</v>
      </c>
      <c r="G21" s="31" t="s">
        <v>119</v>
      </c>
      <c r="H21" s="64">
        <f>D39+D40+D41+D42</f>
        <v>60</v>
      </c>
      <c r="I21" s="5"/>
    </row>
    <row r="22" ht="15.75" customHeight="1">
      <c r="G22" s="24" t="s">
        <v>169</v>
      </c>
    </row>
    <row r="23" ht="15.75" customHeight="1">
      <c r="A23" s="28" t="s">
        <v>170</v>
      </c>
      <c r="B23" s="29" t="s">
        <v>56</v>
      </c>
      <c r="C23" s="18"/>
      <c r="D23" s="18"/>
      <c r="E23" s="18"/>
      <c r="F23" s="18"/>
      <c r="G23" s="18"/>
      <c r="H23" s="19"/>
    </row>
    <row r="24" ht="15.75" customHeight="1">
      <c r="A24" s="28" t="s">
        <v>170</v>
      </c>
      <c r="B24" s="29" t="s">
        <v>99</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IFERROR(__xludf.DUMMYFUNCTION("FILTER('Diseño'!E:E,'Diseño'!H:H=$C$5)"),"Ruteo InterVLAN")</f>
        <v>Ruteo InterVLAN</v>
      </c>
      <c r="E28" s="19"/>
      <c r="F28" s="17" t="str">
        <f>IFERROR(__xludf.DUMMYFUNCTION("FILTER('Diseño'!F:F,'Diseño'!H:H=$C$5)"),"Ruteo InterVLAN. ¿Qué es?")</f>
        <v>Ruteo InterVLAN. ¿Qué es?</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IFERROR(__xludf.DUMMYFUNCTION("""COMPUTED_VALUE"""),"Ruteo InterVLAN")</f>
        <v>Ruteo InterVLAN</v>
      </c>
      <c r="E29" s="19"/>
      <c r="F29" s="17" t="str">
        <f>IFERROR(__xludf.DUMMYFUNCTION("""COMPUTED_VALUE"""),"Propiedades del Ruteo InterVLAN")</f>
        <v>Propiedades del Ruteo InterVLAN</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IFERROR(__xludf.DUMMYFUNCTION("""COMPUTED_VALUE"""),"Ruteo InterVLAN")</f>
        <v>Ruteo InterVLAN</v>
      </c>
      <c r="E30" s="19"/>
      <c r="F30" s="17" t="str">
        <f>IFERROR(__xludf.DUMMYFUNCTION("""COMPUTED_VALUE"""),"Métodos de Implementación del Ruteo InterVLAN")</f>
        <v>Métodos de Implementación del Ruteo InterVLAN</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IFERROR(__xludf.DUMMYFUNCTION("""COMPUTED_VALUE"""),"Ruteo InterVLAN")</f>
        <v>Ruteo InterVLAN</v>
      </c>
      <c r="E31" s="19"/>
      <c r="F31" s="17" t="str">
        <f>IFERROR(__xludf.DUMMYFUNCTION("""COMPUTED_VALUE"""),"Router-on-a-Stick: Configuración")</f>
        <v>Router-on-a-Stick: Configuración</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IFERROR(__xludf.DUMMYFUNCTION("""COMPUTED_VALUE"""),"Ruteo InterVLAN")</f>
        <v>Ruteo InterVLAN</v>
      </c>
      <c r="E32" s="19"/>
      <c r="F32" s="17" t="str">
        <f>IFERROR(__xludf.DUMMYFUNCTION("""COMPUTED_VALUE"""),"Router-on-a-Stick: Funcionamiento")</f>
        <v>Router-on-a-Stick: Funcionamiento</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IFERROR(__xludf.DUMMYFUNCTION("""COMPUTED_VALUE"""),"Ruteo InterVLAN")</f>
        <v>Ruteo InterVLAN</v>
      </c>
      <c r="E33" s="19"/>
      <c r="F33" s="17" t="str">
        <f>IFERROR(__xludf.DUMMYFUNCTION("""COMPUTED_VALUE"""),"Configuración de Ruteo InterVLAN en Switches Capa 3")</f>
        <v>Configuración de Ruteo InterVLAN en Switches Capa 3</v>
      </c>
      <c r="G33" s="18"/>
      <c r="H33" s="19"/>
    </row>
    <row r="34" ht="15.75" customHeight="1">
      <c r="A34" s="20">
        <v>7.0</v>
      </c>
      <c r="B34" s="17" t="str">
        <f>IFERROR(__xludf.DUMMYFUNCTION("""COMPUTED_VALUE"""),"Unidad 3 - Dispositivos y Protocolos en la Capa 3: Enrutamiento, Alta Disponibilidad y Seguridad")</f>
        <v>Unidad 3 - Dispositivos y Protocolos en la Capa 3: Enrutamiento, Alta Disponibilidad y Seguridad</v>
      </c>
      <c r="C34" s="19"/>
      <c r="D34" s="17" t="str">
        <f>IFERROR(__xludf.DUMMYFUNCTION("""COMPUTED_VALUE"""),"Ruteo InterVLAN")</f>
        <v>Ruteo InterVLAN</v>
      </c>
      <c r="E34" s="19"/>
      <c r="F34" s="17" t="str">
        <f>IFERROR(__xludf.DUMMYFUNCTION("""COMPUTED_VALUE"""),"Resolución de Problemas en Ruteo InterVLAN")</f>
        <v>Resolución de Problemas en Ruteo InterVLAN</v>
      </c>
      <c r="G34" s="18"/>
      <c r="H34" s="19"/>
    </row>
    <row r="35" ht="15.75" customHeight="1"/>
    <row r="36" ht="15.75" customHeight="1">
      <c r="A36" s="51" t="s">
        <v>175</v>
      </c>
    </row>
    <row r="37" ht="15.75" customHeight="1">
      <c r="A37" s="5"/>
      <c r="B37" s="5"/>
      <c r="C37" s="5"/>
      <c r="D37" s="5"/>
      <c r="E37" s="5"/>
      <c r="F37" s="5"/>
      <c r="G37" s="5"/>
      <c r="H37" s="5"/>
    </row>
    <row r="38" ht="15.75" customHeight="1">
      <c r="A38" s="52" t="s">
        <v>176</v>
      </c>
      <c r="B38" s="52" t="s">
        <v>177</v>
      </c>
      <c r="C38" s="54" t="s">
        <v>178</v>
      </c>
      <c r="D38" s="55" t="s">
        <v>119</v>
      </c>
      <c r="E38" s="18"/>
      <c r="F38" s="18"/>
      <c r="G38" s="18"/>
      <c r="H38" s="19"/>
    </row>
    <row r="39" ht="15.75" customHeight="1">
      <c r="A39" s="20" t="s">
        <v>179</v>
      </c>
      <c r="B39" s="20" t="s">
        <v>180</v>
      </c>
      <c r="C39" s="20"/>
      <c r="D39" s="29">
        <v>20.0</v>
      </c>
      <c r="E39" s="18"/>
      <c r="F39" s="18"/>
      <c r="G39" s="18"/>
      <c r="H39" s="19"/>
    </row>
    <row r="40" ht="15.75" customHeight="1">
      <c r="A40" s="20" t="s">
        <v>181</v>
      </c>
      <c r="B40" s="20" t="s">
        <v>180</v>
      </c>
      <c r="C40" s="20" t="s">
        <v>182</v>
      </c>
      <c r="D40" s="17"/>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40.0</v>
      </c>
      <c r="E42" s="18"/>
      <c r="F42" s="18"/>
      <c r="G42" s="18"/>
      <c r="H42" s="19"/>
    </row>
    <row r="43" ht="15.75" customHeight="1"/>
    <row r="44" ht="15.75" customHeight="1">
      <c r="A44" s="41" t="s">
        <v>186</v>
      </c>
      <c r="G44" s="31" t="s">
        <v>119</v>
      </c>
      <c r="H44" s="64">
        <f>B50+B61</f>
        <v>35</v>
      </c>
    </row>
    <row r="45" ht="15.75" customHeight="1">
      <c r="G45" s="24" t="s">
        <v>187</v>
      </c>
    </row>
    <row r="46" ht="15.75" customHeight="1">
      <c r="A46" s="24" t="s">
        <v>188</v>
      </c>
    </row>
    <row r="47" ht="15.75" customHeight="1">
      <c r="A47" s="28" t="s">
        <v>189</v>
      </c>
      <c r="B47" s="29" t="s">
        <v>99</v>
      </c>
      <c r="C47" s="18"/>
      <c r="D47" s="18"/>
      <c r="E47" s="18"/>
      <c r="F47" s="18"/>
      <c r="G47" s="18"/>
      <c r="H47" s="19"/>
    </row>
    <row r="48" ht="15.75" customHeight="1">
      <c r="A48" s="28" t="s">
        <v>190</v>
      </c>
      <c r="B48" s="17" t="s">
        <v>221</v>
      </c>
      <c r="C48" s="18"/>
      <c r="D48" s="18"/>
      <c r="E48" s="18"/>
      <c r="F48" s="18"/>
      <c r="G48" s="18"/>
      <c r="H48" s="19"/>
    </row>
    <row r="49" ht="15.75" customHeight="1">
      <c r="A49" s="28" t="s">
        <v>158</v>
      </c>
      <c r="B49" s="56">
        <v>0.5</v>
      </c>
      <c r="C49" s="18"/>
      <c r="D49" s="18"/>
      <c r="E49" s="18"/>
      <c r="F49" s="18"/>
      <c r="G49" s="18"/>
      <c r="H49" s="19"/>
    </row>
    <row r="50" ht="15.75" customHeight="1">
      <c r="A50" s="28" t="s">
        <v>119</v>
      </c>
      <c r="B50" s="29">
        <v>35.0</v>
      </c>
      <c r="C50" s="18"/>
      <c r="D50" s="18"/>
      <c r="E50" s="18"/>
      <c r="F50" s="18"/>
      <c r="G50" s="18"/>
      <c r="H50" s="19"/>
    </row>
    <row r="51" ht="15.75" customHeight="1">
      <c r="A51" s="35" t="s">
        <v>192</v>
      </c>
      <c r="B51" s="5"/>
      <c r="C51" s="5"/>
      <c r="D51" s="5"/>
      <c r="E51" s="5"/>
      <c r="F51" s="5"/>
      <c r="G51" s="5"/>
      <c r="H51" s="5"/>
    </row>
    <row r="52" ht="15.75" customHeight="1">
      <c r="A52" s="44" t="s">
        <v>193</v>
      </c>
      <c r="B52" s="18"/>
      <c r="C52" s="18"/>
      <c r="D52" s="18"/>
      <c r="E52" s="18"/>
      <c r="F52" s="18"/>
      <c r="G52" s="18"/>
      <c r="H52" s="19"/>
    </row>
    <row r="53" ht="15.75" customHeight="1">
      <c r="A53" s="61"/>
      <c r="B53" s="46"/>
      <c r="C53" s="46"/>
      <c r="D53" s="46"/>
      <c r="E53" s="46"/>
      <c r="F53" s="46"/>
      <c r="G53" s="46"/>
      <c r="H53" s="47"/>
    </row>
    <row r="54" ht="15.75" customHeight="1">
      <c r="A54" s="57"/>
      <c r="H54" s="58"/>
    </row>
    <row r="55" ht="15.75" customHeight="1">
      <c r="A55" s="48"/>
      <c r="B55" s="49"/>
      <c r="C55" s="49"/>
      <c r="D55" s="49"/>
      <c r="E55" s="49"/>
      <c r="F55" s="49"/>
      <c r="G55" s="49"/>
      <c r="H55" s="50"/>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59"/>
      <c r="C60" s="18"/>
      <c r="D60" s="18"/>
      <c r="E60" s="18"/>
      <c r="F60" s="18"/>
      <c r="G60" s="18"/>
      <c r="H60" s="19"/>
    </row>
    <row r="61" ht="15.75" customHeight="1">
      <c r="A61" s="28" t="s">
        <v>119</v>
      </c>
      <c r="B61" s="59"/>
      <c r="C61" s="18"/>
      <c r="D61" s="18"/>
      <c r="E61" s="18"/>
      <c r="F61" s="18"/>
      <c r="G61" s="18"/>
      <c r="H61" s="19"/>
    </row>
    <row r="62" ht="15.75" customHeight="1">
      <c r="A62" s="60" t="s">
        <v>196</v>
      </c>
      <c r="B62" s="5"/>
      <c r="C62" s="5"/>
      <c r="D62" s="5"/>
      <c r="E62" s="5"/>
      <c r="F62" s="5"/>
      <c r="G62" s="5"/>
      <c r="H62" s="5"/>
    </row>
    <row r="63" ht="15.75" customHeight="1">
      <c r="A63" s="44" t="s">
        <v>193</v>
      </c>
      <c r="B63" s="18"/>
      <c r="C63" s="18"/>
      <c r="D63" s="18"/>
      <c r="E63" s="18"/>
      <c r="F63" s="18"/>
      <c r="G63" s="18"/>
      <c r="H63" s="19"/>
    </row>
    <row r="64" ht="15.75" customHeight="1">
      <c r="A64" s="61"/>
      <c r="B64" s="46"/>
      <c r="C64" s="46"/>
      <c r="D64" s="46"/>
      <c r="E64" s="46"/>
      <c r="F64" s="46"/>
      <c r="G64" s="46"/>
      <c r="H64" s="47"/>
    </row>
    <row r="65" ht="15.75" customHeight="1">
      <c r="A65" s="57"/>
      <c r="H65" s="58"/>
    </row>
    <row r="66" ht="15.75" customHeight="1">
      <c r="A66" s="48"/>
      <c r="B66" s="49"/>
      <c r="C66" s="49"/>
      <c r="D66" s="49"/>
      <c r="E66" s="49"/>
      <c r="F66" s="49"/>
      <c r="G66" s="49"/>
      <c r="H66" s="50"/>
    </row>
    <row r="67" ht="15.75" customHeight="1"/>
    <row r="68" ht="15.75" customHeight="1">
      <c r="A68" s="41" t="s">
        <v>197</v>
      </c>
      <c r="G68" s="31" t="s">
        <v>119</v>
      </c>
      <c r="H68" s="42">
        <v>10.0</v>
      </c>
    </row>
    <row r="69" ht="15.75" customHeight="1">
      <c r="G69" s="24" t="s">
        <v>198</v>
      </c>
    </row>
    <row r="70" ht="15.75" customHeight="1">
      <c r="A70" s="28" t="s">
        <v>119</v>
      </c>
      <c r="B70" s="56">
        <v>10.0</v>
      </c>
      <c r="C70" s="18"/>
      <c r="D70" s="18"/>
      <c r="E70" s="18"/>
      <c r="F70" s="18"/>
      <c r="G70" s="18"/>
      <c r="H70" s="19"/>
    </row>
    <row r="71" ht="15.75" customHeight="1">
      <c r="A71" s="55" t="s">
        <v>199</v>
      </c>
      <c r="B71" s="18"/>
      <c r="C71" s="18"/>
      <c r="D71" s="18"/>
      <c r="E71" s="18"/>
      <c r="F71" s="18"/>
      <c r="G71" s="18"/>
      <c r="H71" s="19"/>
    </row>
    <row r="72" ht="15.75" customHeight="1">
      <c r="A72" s="61"/>
      <c r="B72" s="46"/>
      <c r="C72" s="46"/>
      <c r="D72" s="46"/>
      <c r="E72" s="46"/>
      <c r="F72" s="46"/>
      <c r="G72" s="46"/>
      <c r="H72" s="47"/>
    </row>
    <row r="73" ht="15.75" customHeight="1">
      <c r="A73" s="48"/>
      <c r="B73" s="49"/>
      <c r="C73" s="49"/>
      <c r="D73" s="49"/>
      <c r="E73" s="49"/>
      <c r="F73" s="49"/>
      <c r="G73" s="49"/>
      <c r="H73" s="50"/>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9" t="s">
        <v>157</v>
      </c>
    </row>
    <row r="3" ht="15.75" customHeight="1"/>
    <row r="4" ht="15.75" customHeight="1">
      <c r="B4" s="16" t="s">
        <v>1</v>
      </c>
      <c r="C4" s="17" t="str">
        <f>'Diseño'!C4</f>
        <v>970 - Redes de Computadoras 1</v>
      </c>
      <c r="D4" s="18"/>
      <c r="E4" s="18"/>
      <c r="F4" s="18"/>
      <c r="G4" s="19"/>
    </row>
    <row r="5" ht="15.75" customHeight="1">
      <c r="B5" s="20" t="s">
        <v>11</v>
      </c>
      <c r="C5" s="17">
        <v>11.0</v>
      </c>
      <c r="D5" s="18"/>
      <c r="E5" s="18"/>
      <c r="F5" s="18"/>
      <c r="G5" s="19"/>
    </row>
    <row r="6" ht="15.75" customHeight="1">
      <c r="B6" s="40" t="s">
        <v>117</v>
      </c>
      <c r="C6" s="17">
        <f>H10+H21+H44+H68</f>
        <v>100</v>
      </c>
      <c r="D6" s="18"/>
      <c r="E6" s="18"/>
      <c r="F6" s="18"/>
      <c r="G6" s="19"/>
      <c r="I6" s="5"/>
    </row>
    <row r="7" ht="15.75" customHeight="1">
      <c r="B7" s="40" t="s">
        <v>158</v>
      </c>
      <c r="C7" s="17">
        <f>B49+B60</f>
        <v>0.5</v>
      </c>
      <c r="D7" s="18"/>
      <c r="E7" s="18"/>
      <c r="F7" s="18"/>
      <c r="G7" s="19"/>
    </row>
    <row r="8" ht="15.75" customHeight="1">
      <c r="B8" s="40" t="s">
        <v>159</v>
      </c>
      <c r="C8" s="17" t="str">
        <f>IF(H44&lt;=0, "❌ ERROR: La Actividad 1 debe tener un tiempo mayor a 0.", IF(H21&gt;60, "❌ ERROR: El 'Área de Conocimiento' no puede exceder los 60 min.", IF((H10+H21+H44+H68)&lt;100, "❌ ERROR: El tiempo total debe ser de al menos 100 min.", "✅ VALIDACIÓN CORRECTA")))</f>
        <v>✅ VALIDACIÓN CORRECTA</v>
      </c>
      <c r="D8" s="18"/>
      <c r="E8" s="18"/>
      <c r="F8" s="18"/>
      <c r="G8" s="19"/>
      <c r="I8" s="5"/>
      <c r="J8" s="5"/>
      <c r="K8" s="5"/>
    </row>
    <row r="9" ht="15.75" customHeight="1"/>
    <row r="10" ht="15.75" customHeight="1">
      <c r="A10" s="41" t="s">
        <v>160</v>
      </c>
      <c r="G10" s="31" t="s">
        <v>119</v>
      </c>
      <c r="H10" s="42">
        <v>3.0</v>
      </c>
    </row>
    <row r="11" ht="15.75" customHeight="1">
      <c r="G11" s="24" t="s">
        <v>161</v>
      </c>
    </row>
    <row r="12" ht="15.75" customHeight="1">
      <c r="A12" s="28" t="s">
        <v>162</v>
      </c>
      <c r="B12" s="29" t="s">
        <v>235</v>
      </c>
      <c r="C12" s="18"/>
      <c r="D12" s="18"/>
      <c r="E12" s="18"/>
      <c r="F12" s="18"/>
      <c r="G12" s="18"/>
      <c r="H12" s="19"/>
    </row>
    <row r="13" ht="15.75" customHeight="1">
      <c r="A13" s="43" t="s">
        <v>119</v>
      </c>
      <c r="B13" s="29">
        <v>3.0</v>
      </c>
      <c r="C13" s="18"/>
      <c r="D13" s="18"/>
      <c r="E13" s="18"/>
      <c r="F13" s="18"/>
      <c r="G13" s="18"/>
      <c r="H13" s="19"/>
    </row>
    <row r="14" ht="15.75" customHeight="1">
      <c r="A14" s="44" t="s">
        <v>164</v>
      </c>
      <c r="B14" s="18"/>
      <c r="C14" s="18"/>
      <c r="D14" s="18"/>
      <c r="E14" s="18"/>
      <c r="F14" s="18"/>
      <c r="G14" s="18"/>
      <c r="H14" s="19"/>
    </row>
    <row r="15" ht="15.75" customHeight="1">
      <c r="A15" s="45" t="s">
        <v>236</v>
      </c>
      <c r="B15" s="46"/>
      <c r="C15" s="46"/>
      <c r="D15" s="46"/>
      <c r="E15" s="46"/>
      <c r="F15" s="46"/>
      <c r="G15" s="46"/>
      <c r="H15" s="47"/>
    </row>
    <row r="16" ht="15.75" customHeight="1">
      <c r="A16" s="48"/>
      <c r="B16" s="49"/>
      <c r="C16" s="49"/>
      <c r="D16" s="49"/>
      <c r="E16" s="49"/>
      <c r="F16" s="49"/>
      <c r="G16" s="49"/>
      <c r="H16" s="50"/>
    </row>
    <row r="17" ht="15.75" customHeight="1">
      <c r="A17" s="44" t="s">
        <v>166</v>
      </c>
      <c r="B17" s="18"/>
      <c r="C17" s="18"/>
      <c r="D17" s="18"/>
      <c r="E17" s="18"/>
      <c r="F17" s="18"/>
      <c r="G17" s="18"/>
      <c r="H17" s="19"/>
    </row>
    <row r="18" ht="15.75" customHeight="1">
      <c r="A18" s="45" t="s">
        <v>237</v>
      </c>
      <c r="B18" s="46"/>
      <c r="C18" s="46"/>
      <c r="D18" s="46"/>
      <c r="E18" s="46"/>
      <c r="F18" s="46"/>
      <c r="G18" s="46"/>
      <c r="H18" s="47"/>
    </row>
    <row r="19" ht="15.75" customHeight="1">
      <c r="A19" s="48"/>
      <c r="B19" s="49"/>
      <c r="C19" s="49"/>
      <c r="D19" s="49"/>
      <c r="E19" s="49"/>
      <c r="F19" s="49"/>
      <c r="G19" s="49"/>
      <c r="H19" s="50"/>
    </row>
    <row r="20" ht="15.75" customHeight="1"/>
    <row r="21" ht="15.75" customHeight="1">
      <c r="A21" s="41" t="s">
        <v>168</v>
      </c>
      <c r="G21" s="31" t="s">
        <v>119</v>
      </c>
      <c r="H21" s="64">
        <f>D39+D40+D41+D42</f>
        <v>57</v>
      </c>
      <c r="I21" s="5"/>
    </row>
    <row r="22" ht="15.75" customHeight="1">
      <c r="G22" s="24" t="s">
        <v>169</v>
      </c>
    </row>
    <row r="23" ht="15.75" customHeight="1">
      <c r="A23" s="28" t="s">
        <v>170</v>
      </c>
      <c r="B23" s="29" t="s">
        <v>56</v>
      </c>
      <c r="C23" s="18"/>
      <c r="D23" s="18"/>
      <c r="E23" s="18"/>
      <c r="F23" s="18"/>
      <c r="G23" s="18"/>
      <c r="H23" s="19"/>
    </row>
    <row r="24" ht="15.75" customHeight="1">
      <c r="A24" s="28" t="s">
        <v>170</v>
      </c>
      <c r="B24" s="29" t="s">
        <v>89</v>
      </c>
      <c r="C24" s="18"/>
      <c r="D24" s="18"/>
      <c r="E24" s="18"/>
      <c r="F24" s="18"/>
      <c r="G24" s="18"/>
      <c r="H24" s="19"/>
    </row>
    <row r="25" ht="15.75" customHeight="1"/>
    <row r="26" ht="15.75" customHeight="1">
      <c r="A26" s="51" t="s">
        <v>171</v>
      </c>
      <c r="B26" s="5"/>
      <c r="C26" s="5"/>
      <c r="D26" s="5"/>
    </row>
    <row r="27" ht="15.75" customHeight="1">
      <c r="A27" s="52" t="s">
        <v>5</v>
      </c>
      <c r="B27" s="53" t="s">
        <v>172</v>
      </c>
      <c r="C27" s="19"/>
      <c r="D27" s="53" t="s">
        <v>173</v>
      </c>
      <c r="E27" s="19"/>
      <c r="F27" s="53"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IFERROR(__xludf.DUMMYFUNCTION("FILTER('Diseño'!E:E,'Diseño'!H:H=$C$5)"),"Implementación de Alta Disponibilidad y Seguridad")</f>
        <v>Implementación de Alta Disponibilidad y Seguridad</v>
      </c>
      <c r="E28" s="19"/>
      <c r="F28" s="17" t="str">
        <f>IFERROR(__xludf.DUMMYFUNCTION("FILTER('Diseño'!F:F,'Diseño'!H:H=$C$5)"),"Configuración de Alta Disponibilidad con HSRP")</f>
        <v>Configuración de Alta Disponibilidad con HSRP</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IFERROR(__xludf.DUMMYFUNCTION("""COMPUTED_VALUE"""),"Implementación de Alta Disponibilidad y Seguridad")</f>
        <v>Implementación de Alta Disponibilidad y Seguridad</v>
      </c>
      <c r="E29" s="19"/>
      <c r="F29" s="17" t="str">
        <f>IFERROR(__xludf.DUMMYFUNCTION("""COMPUTED_VALUE"""),"Configuración de alta disponibilidad en VRRP")</f>
        <v>Configuración de alta disponibilidad en VRRP</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IFERROR(__xludf.DUMMYFUNCTION("""COMPUTED_VALUE"""),"Implementación de Alta Disponibilidad y Seguridad")</f>
        <v>Implementación de Alta Disponibilidad y Seguridad</v>
      </c>
      <c r="E30" s="19"/>
      <c r="F30" s="17" t="str">
        <f>IFERROR(__xludf.DUMMYFUNCTION("""COMPUTED_VALUE""")," Configuración de alta disponibilidad en GLBP")</f>
        <v> Configuración de alta disponibilidad en GLBP</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IFERROR(__xludf.DUMMYFUNCTION("""COMPUTED_VALUE"""),"Implementación de Alta Disponibilidad y Seguridad")</f>
        <v>Implementación de Alta Disponibilidad y Seguridad</v>
      </c>
      <c r="E31" s="19"/>
      <c r="F31" s="17" t="str">
        <f>IFERROR(__xludf.DUMMYFUNCTION("""COMPUTED_VALUE"""),"Comparativa entre HSRP, VRRP y GLBP")</f>
        <v>Comparativa entre HSRP, VRRP y GLBP</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IFERROR(__xludf.DUMMYFUNCTION("""COMPUTED_VALUE"""),"Implementación de Alta Disponibilidad y Seguridad")</f>
        <v>Implementación de Alta Disponibilidad y Seguridad</v>
      </c>
      <c r="E32" s="19"/>
      <c r="F32" s="17" t="str">
        <f>IFERROR(__xludf.DUMMYFUNCTION("""COMPUTED_VALUE"""),"Solución de Problemas en Redes con HSRP, VRRP y GLBP")</f>
        <v>Solución de Problemas en Redes con HSRP, VRRP y GLBP</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IFERROR(__xludf.DUMMYFUNCTION("""COMPUTED_VALUE"""),"Implementación de Alta Disponibilidad y Seguridad")</f>
        <v>Implementación de Alta Disponibilidad y Seguridad</v>
      </c>
      <c r="E33" s="19"/>
      <c r="F33" s="17" t="str">
        <f>IFERROR(__xludf.DUMMYFUNCTION("""COMPUTED_VALUE"""),"Políticas de privacidad de firewall")</f>
        <v>Políticas de privacidad de firewall</v>
      </c>
      <c r="G33" s="18"/>
      <c r="H33" s="19"/>
    </row>
    <row r="34" ht="15.75" customHeight="1">
      <c r="A34" s="20">
        <v>7.0</v>
      </c>
      <c r="B34" s="17" t="str">
        <f>IFERROR(__xludf.DUMMYFUNCTION("""COMPUTED_VALUE"""),"Unidad 3 - Dispositivos y Protocolos en la Capa 3: Enrutamiento, Alta Disponibilidad y Seguridad")</f>
        <v>Unidad 3 - Dispositivos y Protocolos en la Capa 3: Enrutamiento, Alta Disponibilidad y Seguridad</v>
      </c>
      <c r="C34" s="19"/>
      <c r="D34" s="17" t="str">
        <f>IFERROR(__xludf.DUMMYFUNCTION("""COMPUTED_VALUE"""),"Implementación de Alta Disponibilidad y Seguridad")</f>
        <v>Implementación de Alta Disponibilidad y Seguridad</v>
      </c>
      <c r="E34" s="19"/>
      <c r="F34" s="17" t="str">
        <f>IFERROR(__xludf.DUMMYFUNCTION("""COMPUTED_VALUE"""),"Control de listas de acceso")</f>
        <v>Control de listas de acceso</v>
      </c>
      <c r="G34" s="18"/>
      <c r="H34" s="19"/>
    </row>
    <row r="35" ht="15.75" customHeight="1"/>
    <row r="36" ht="15.75" customHeight="1">
      <c r="A36" s="51" t="s">
        <v>175</v>
      </c>
    </row>
    <row r="37" ht="15.75" customHeight="1">
      <c r="A37" s="5"/>
      <c r="B37" s="5"/>
      <c r="C37" s="5"/>
      <c r="D37" s="5"/>
      <c r="E37" s="5"/>
      <c r="F37" s="5"/>
      <c r="G37" s="5"/>
      <c r="H37" s="5"/>
    </row>
    <row r="38" ht="15.75" customHeight="1">
      <c r="A38" s="52" t="s">
        <v>176</v>
      </c>
      <c r="B38" s="52" t="s">
        <v>177</v>
      </c>
      <c r="C38" s="54" t="s">
        <v>178</v>
      </c>
      <c r="D38" s="55" t="s">
        <v>119</v>
      </c>
      <c r="E38" s="18"/>
      <c r="F38" s="18"/>
      <c r="G38" s="18"/>
      <c r="H38" s="19"/>
    </row>
    <row r="39" ht="15.75" customHeight="1">
      <c r="A39" s="20" t="s">
        <v>179</v>
      </c>
      <c r="B39" s="20" t="s">
        <v>180</v>
      </c>
      <c r="C39" s="20"/>
      <c r="D39" s="29">
        <v>37.0</v>
      </c>
      <c r="E39" s="18"/>
      <c r="F39" s="18"/>
      <c r="G39" s="18"/>
      <c r="H39" s="19"/>
    </row>
    <row r="40" ht="15.75" customHeight="1">
      <c r="A40" s="20" t="s">
        <v>181</v>
      </c>
      <c r="B40" s="20" t="s">
        <v>180</v>
      </c>
      <c r="C40" s="20" t="s">
        <v>182</v>
      </c>
      <c r="D40" s="29">
        <v>3.0</v>
      </c>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17.0</v>
      </c>
      <c r="E42" s="18"/>
      <c r="F42" s="18"/>
      <c r="G42" s="18"/>
      <c r="H42" s="19"/>
    </row>
    <row r="43" ht="15.75" customHeight="1"/>
    <row r="44" ht="15.75" customHeight="1">
      <c r="A44" s="41" t="s">
        <v>186</v>
      </c>
      <c r="G44" s="31" t="s">
        <v>119</v>
      </c>
      <c r="H44" s="64">
        <f>B50+B61</f>
        <v>30</v>
      </c>
    </row>
    <row r="45" ht="15.75" customHeight="1">
      <c r="G45" s="24" t="s">
        <v>187</v>
      </c>
    </row>
    <row r="46" ht="15.75" customHeight="1">
      <c r="A46" s="24" t="s">
        <v>188</v>
      </c>
    </row>
    <row r="47" ht="39.0" customHeight="1">
      <c r="A47" s="28" t="s">
        <v>189</v>
      </c>
      <c r="B47" s="29" t="s">
        <v>89</v>
      </c>
      <c r="C47" s="18"/>
      <c r="D47" s="18"/>
      <c r="E47" s="18"/>
      <c r="F47" s="18"/>
      <c r="G47" s="18"/>
      <c r="H47" s="19"/>
    </row>
    <row r="48" ht="15.75" customHeight="1">
      <c r="A48" s="28" t="s">
        <v>190</v>
      </c>
      <c r="B48" s="29" t="s">
        <v>221</v>
      </c>
      <c r="C48" s="18"/>
      <c r="D48" s="18"/>
      <c r="E48" s="18"/>
      <c r="F48" s="18"/>
      <c r="G48" s="18"/>
      <c r="H48" s="19"/>
    </row>
    <row r="49" ht="15.75" customHeight="1">
      <c r="A49" s="28" t="s">
        <v>158</v>
      </c>
      <c r="B49" s="65">
        <v>0.5</v>
      </c>
      <c r="C49" s="18"/>
      <c r="D49" s="18"/>
      <c r="E49" s="18"/>
      <c r="F49" s="18"/>
      <c r="G49" s="18"/>
      <c r="H49" s="19"/>
    </row>
    <row r="50" ht="15.75" customHeight="1">
      <c r="A50" s="28" t="s">
        <v>119</v>
      </c>
      <c r="B50" s="29">
        <v>30.0</v>
      </c>
      <c r="C50" s="18"/>
      <c r="D50" s="18"/>
      <c r="E50" s="18"/>
      <c r="F50" s="18"/>
      <c r="G50" s="18"/>
      <c r="H50" s="19"/>
    </row>
    <row r="51" ht="15.75" customHeight="1">
      <c r="A51" s="35" t="s">
        <v>192</v>
      </c>
      <c r="B51" s="5"/>
      <c r="C51" s="5"/>
      <c r="D51" s="5"/>
      <c r="E51" s="5"/>
      <c r="F51" s="5"/>
      <c r="G51" s="5"/>
      <c r="H51" s="5"/>
    </row>
    <row r="52" ht="15.75" customHeight="1">
      <c r="A52" s="44" t="s">
        <v>193</v>
      </c>
      <c r="B52" s="18"/>
      <c r="C52" s="18"/>
      <c r="D52" s="18"/>
      <c r="E52" s="18"/>
      <c r="F52" s="18"/>
      <c r="G52" s="18"/>
      <c r="H52" s="19"/>
    </row>
    <row r="53" ht="15.75" customHeight="1">
      <c r="A53" s="62" t="s">
        <v>238</v>
      </c>
      <c r="B53" s="46"/>
      <c r="C53" s="46"/>
      <c r="D53" s="46"/>
      <c r="E53" s="46"/>
      <c r="F53" s="46"/>
      <c r="G53" s="46"/>
      <c r="H53" s="47"/>
    </row>
    <row r="54" ht="15.75" customHeight="1">
      <c r="A54" s="57"/>
      <c r="H54" s="58"/>
    </row>
    <row r="55" ht="15.75" customHeight="1">
      <c r="A55" s="48"/>
      <c r="B55" s="49"/>
      <c r="C55" s="49"/>
      <c r="D55" s="49"/>
      <c r="E55" s="49"/>
      <c r="F55" s="49"/>
      <c r="G55" s="49"/>
      <c r="H55" s="50"/>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59"/>
      <c r="C60" s="18"/>
      <c r="D60" s="18"/>
      <c r="E60" s="18"/>
      <c r="F60" s="18"/>
      <c r="G60" s="18"/>
      <c r="H60" s="19"/>
    </row>
    <row r="61" ht="15.75" customHeight="1">
      <c r="A61" s="28" t="s">
        <v>119</v>
      </c>
      <c r="B61" s="59"/>
      <c r="C61" s="18"/>
      <c r="D61" s="18"/>
      <c r="E61" s="18"/>
      <c r="F61" s="18"/>
      <c r="G61" s="18"/>
      <c r="H61" s="19"/>
    </row>
    <row r="62" ht="15.75" customHeight="1">
      <c r="A62" s="60" t="s">
        <v>196</v>
      </c>
      <c r="B62" s="5"/>
      <c r="C62" s="5"/>
      <c r="D62" s="5"/>
      <c r="E62" s="5"/>
      <c r="F62" s="5"/>
      <c r="G62" s="5"/>
      <c r="H62" s="5"/>
    </row>
    <row r="63" ht="15.75" customHeight="1">
      <c r="A63" s="44" t="s">
        <v>193</v>
      </c>
      <c r="B63" s="18"/>
      <c r="C63" s="18"/>
      <c r="D63" s="18"/>
      <c r="E63" s="18"/>
      <c r="F63" s="18"/>
      <c r="G63" s="18"/>
      <c r="H63" s="19"/>
    </row>
    <row r="64" ht="15.75" customHeight="1">
      <c r="A64" s="61"/>
      <c r="B64" s="46"/>
      <c r="C64" s="46"/>
      <c r="D64" s="46"/>
      <c r="E64" s="46"/>
      <c r="F64" s="46"/>
      <c r="G64" s="46"/>
      <c r="H64" s="47"/>
    </row>
    <row r="65" ht="15.75" customHeight="1">
      <c r="A65" s="57"/>
      <c r="H65" s="58"/>
    </row>
    <row r="66" ht="15.75" customHeight="1">
      <c r="A66" s="48"/>
      <c r="B66" s="49"/>
      <c r="C66" s="49"/>
      <c r="D66" s="49"/>
      <c r="E66" s="49"/>
      <c r="F66" s="49"/>
      <c r="G66" s="49"/>
      <c r="H66" s="50"/>
    </row>
    <row r="67" ht="15.75" customHeight="1"/>
    <row r="68" ht="15.75" customHeight="1">
      <c r="A68" s="41" t="s">
        <v>197</v>
      </c>
      <c r="G68" s="31" t="s">
        <v>119</v>
      </c>
      <c r="H68" s="42">
        <v>10.0</v>
      </c>
    </row>
    <row r="69" ht="15.75" customHeight="1">
      <c r="G69" s="24" t="s">
        <v>198</v>
      </c>
    </row>
    <row r="70" ht="15.75" customHeight="1">
      <c r="A70" s="28" t="s">
        <v>119</v>
      </c>
      <c r="B70" s="56">
        <v>10.0</v>
      </c>
      <c r="C70" s="18"/>
      <c r="D70" s="18"/>
      <c r="E70" s="18"/>
      <c r="F70" s="18"/>
      <c r="G70" s="18"/>
      <c r="H70" s="19"/>
    </row>
    <row r="71" ht="15.75" customHeight="1">
      <c r="A71" s="55" t="s">
        <v>199</v>
      </c>
      <c r="B71" s="18"/>
      <c r="C71" s="18"/>
      <c r="D71" s="18"/>
      <c r="E71" s="18"/>
      <c r="F71" s="18"/>
      <c r="G71" s="18"/>
      <c r="H71" s="19"/>
    </row>
    <row r="72" ht="15.75" customHeight="1">
      <c r="A72" s="45" t="s">
        <v>239</v>
      </c>
      <c r="B72" s="46"/>
      <c r="C72" s="46"/>
      <c r="D72" s="46"/>
      <c r="E72" s="46"/>
      <c r="F72" s="46"/>
      <c r="G72" s="46"/>
      <c r="H72" s="47"/>
    </row>
    <row r="73" ht="15.75" customHeight="1">
      <c r="A73" s="48"/>
      <c r="B73" s="49"/>
      <c r="C73" s="49"/>
      <c r="D73" s="49"/>
      <c r="E73" s="49"/>
      <c r="F73" s="49"/>
      <c r="G73" s="49"/>
      <c r="H73" s="50"/>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9" t="s">
        <v>240</v>
      </c>
    </row>
    <row r="3" ht="15.75" customHeight="1"/>
    <row r="4" ht="15.75" customHeight="1">
      <c r="B4" s="16" t="s">
        <v>1</v>
      </c>
      <c r="C4" s="17" t="str">
        <f>'Diseño'!C4</f>
        <v>970 - Redes de Computadoras 1</v>
      </c>
      <c r="D4" s="18"/>
      <c r="E4" s="18"/>
      <c r="F4" s="18"/>
      <c r="G4" s="19"/>
    </row>
    <row r="5" ht="15.75" customHeight="1">
      <c r="B5" s="40" t="s">
        <v>117</v>
      </c>
      <c r="C5" s="17">
        <f>H9+H26+H43</f>
        <v>75</v>
      </c>
      <c r="D5" s="18"/>
      <c r="E5" s="18"/>
      <c r="F5" s="18"/>
      <c r="G5" s="19"/>
    </row>
    <row r="6" ht="15.75" customHeight="1">
      <c r="B6" s="40" t="s">
        <v>158</v>
      </c>
      <c r="C6" s="17">
        <f>F9+F26+F43</f>
        <v>55</v>
      </c>
      <c r="D6" s="18"/>
      <c r="E6" s="18"/>
      <c r="F6" s="18"/>
      <c r="G6" s="19"/>
    </row>
    <row r="7" ht="15.75" customHeight="1">
      <c r="B7" s="6" t="s">
        <v>241</v>
      </c>
    </row>
    <row r="8" ht="15.75" customHeight="1"/>
    <row r="9" ht="15.75" customHeight="1">
      <c r="A9" s="41" t="s">
        <v>242</v>
      </c>
      <c r="E9" s="31" t="s">
        <v>158</v>
      </c>
      <c r="F9" s="42">
        <v>22.0</v>
      </c>
      <c r="G9" s="31" t="s">
        <v>243</v>
      </c>
      <c r="H9" s="42">
        <v>35.0</v>
      </c>
    </row>
    <row r="10" ht="15.75" customHeight="1">
      <c r="A10" s="6" t="s">
        <v>180</v>
      </c>
    </row>
    <row r="11" ht="15.75" customHeight="1">
      <c r="A11" s="52" t="s">
        <v>170</v>
      </c>
      <c r="B11" s="29" t="s">
        <v>56</v>
      </c>
      <c r="C11" s="18"/>
      <c r="D11" s="18"/>
      <c r="E11" s="18"/>
      <c r="F11" s="18"/>
      <c r="G11" s="18"/>
      <c r="H11" s="19"/>
    </row>
    <row r="12" ht="15.75" customHeight="1">
      <c r="A12" s="52" t="s">
        <v>170</v>
      </c>
      <c r="B12" s="29" t="s">
        <v>99</v>
      </c>
      <c r="C12" s="18"/>
      <c r="D12" s="18"/>
      <c r="E12" s="18"/>
      <c r="F12" s="18"/>
      <c r="G12" s="18"/>
      <c r="H12" s="19"/>
    </row>
    <row r="13" ht="15.75" customHeight="1">
      <c r="A13" s="52" t="s">
        <v>170</v>
      </c>
      <c r="B13" s="29" t="s">
        <v>43</v>
      </c>
      <c r="C13" s="18"/>
      <c r="D13" s="18"/>
      <c r="E13" s="18"/>
      <c r="F13" s="18"/>
      <c r="G13" s="18"/>
      <c r="H13" s="19"/>
    </row>
    <row r="14" ht="15.75" customHeight="1">
      <c r="A14" s="52" t="s">
        <v>244</v>
      </c>
      <c r="B14" s="29" t="s">
        <v>245</v>
      </c>
      <c r="C14" s="18"/>
      <c r="D14" s="18"/>
      <c r="E14" s="18"/>
      <c r="F14" s="18"/>
      <c r="G14" s="18"/>
      <c r="H14" s="19"/>
    </row>
    <row r="15" ht="15.75" customHeight="1">
      <c r="A15" s="44" t="s">
        <v>246</v>
      </c>
      <c r="B15" s="18"/>
      <c r="C15" s="18"/>
      <c r="D15" s="18"/>
      <c r="E15" s="18"/>
      <c r="F15" s="18"/>
      <c r="G15" s="18"/>
      <c r="H15" s="19"/>
    </row>
    <row r="16" ht="15.75" customHeight="1">
      <c r="A16" s="45" t="s">
        <v>247</v>
      </c>
      <c r="B16" s="46"/>
      <c r="C16" s="46"/>
      <c r="D16" s="46"/>
      <c r="E16" s="46"/>
      <c r="F16" s="46"/>
      <c r="G16" s="46"/>
      <c r="H16" s="47"/>
    </row>
    <row r="17" ht="15.75" customHeight="1">
      <c r="A17" s="57"/>
      <c r="H17" s="58"/>
    </row>
    <row r="18" ht="15.75" customHeight="1">
      <c r="A18" s="48"/>
      <c r="B18" s="49"/>
      <c r="C18" s="49"/>
      <c r="D18" s="49"/>
      <c r="E18" s="49"/>
      <c r="F18" s="49"/>
      <c r="G18" s="49"/>
      <c r="H18" s="50"/>
    </row>
    <row r="19" ht="15.75" customHeight="1">
      <c r="A19" s="44" t="s">
        <v>248</v>
      </c>
      <c r="B19" s="18"/>
      <c r="C19" s="18"/>
      <c r="D19" s="18"/>
      <c r="E19" s="18"/>
      <c r="F19" s="18"/>
      <c r="G19" s="18"/>
      <c r="H19" s="19"/>
      <c r="J19" s="74"/>
    </row>
    <row r="20" ht="15.75" customHeight="1">
      <c r="A20" s="75" t="s">
        <v>249</v>
      </c>
      <c r="B20" s="46"/>
      <c r="C20" s="46"/>
      <c r="D20" s="46"/>
      <c r="E20" s="46"/>
      <c r="F20" s="46"/>
      <c r="G20" s="46"/>
      <c r="H20" s="47"/>
    </row>
    <row r="21" ht="15.75" customHeight="1">
      <c r="A21" s="57"/>
      <c r="H21" s="58"/>
    </row>
    <row r="22" ht="15.75" customHeight="1">
      <c r="A22" s="57"/>
      <c r="H22" s="58"/>
    </row>
    <row r="23" ht="15.75" customHeight="1">
      <c r="A23" s="48"/>
      <c r="B23" s="49"/>
      <c r="C23" s="49"/>
      <c r="D23" s="49"/>
      <c r="E23" s="49"/>
      <c r="F23" s="49"/>
      <c r="G23" s="49"/>
      <c r="H23" s="50"/>
    </row>
    <row r="24" ht="15.75" customHeight="1"/>
    <row r="25" ht="15.75" customHeight="1"/>
    <row r="26" ht="15.75" customHeight="1">
      <c r="A26" s="41" t="s">
        <v>250</v>
      </c>
      <c r="E26" s="31" t="s">
        <v>158</v>
      </c>
      <c r="F26" s="42">
        <v>33.0</v>
      </c>
      <c r="G26" s="31" t="s">
        <v>243</v>
      </c>
      <c r="H26" s="42">
        <v>40.0</v>
      </c>
    </row>
    <row r="27" ht="15.75" customHeight="1">
      <c r="A27" s="6" t="s">
        <v>180</v>
      </c>
    </row>
    <row r="28" ht="15.75" customHeight="1">
      <c r="A28" s="52" t="s">
        <v>170</v>
      </c>
      <c r="B28" s="29" t="s">
        <v>99</v>
      </c>
      <c r="C28" s="18"/>
      <c r="D28" s="18"/>
      <c r="E28" s="18"/>
      <c r="F28" s="18"/>
      <c r="G28" s="18"/>
      <c r="H28" s="19"/>
    </row>
    <row r="29" ht="15.75" customHeight="1">
      <c r="A29" s="52" t="s">
        <v>170</v>
      </c>
      <c r="B29" s="29" t="s">
        <v>251</v>
      </c>
      <c r="C29" s="18"/>
      <c r="D29" s="18"/>
      <c r="E29" s="18"/>
      <c r="F29" s="18"/>
      <c r="G29" s="18"/>
      <c r="H29" s="19"/>
    </row>
    <row r="30" ht="15.75" customHeight="1">
      <c r="A30" s="52" t="s">
        <v>170</v>
      </c>
      <c r="B30" s="17"/>
      <c r="C30" s="18"/>
      <c r="D30" s="18"/>
      <c r="E30" s="18"/>
      <c r="F30" s="18"/>
      <c r="G30" s="18"/>
      <c r="H30" s="19"/>
    </row>
    <row r="31" ht="15.75" customHeight="1">
      <c r="A31" s="52" t="s">
        <v>244</v>
      </c>
      <c r="B31" s="29" t="s">
        <v>252</v>
      </c>
      <c r="C31" s="18"/>
      <c r="D31" s="18"/>
      <c r="E31" s="18"/>
      <c r="F31" s="18"/>
      <c r="G31" s="18"/>
      <c r="H31" s="19"/>
    </row>
    <row r="32" ht="15.75" customHeight="1">
      <c r="A32" s="44" t="s">
        <v>246</v>
      </c>
      <c r="B32" s="18"/>
      <c r="C32" s="18"/>
      <c r="D32" s="18"/>
      <c r="E32" s="18"/>
      <c r="F32" s="18"/>
      <c r="G32" s="18"/>
      <c r="H32" s="19"/>
    </row>
    <row r="33" ht="15.75" customHeight="1">
      <c r="A33" s="45" t="s">
        <v>253</v>
      </c>
      <c r="B33" s="46"/>
      <c r="C33" s="46"/>
      <c r="D33" s="46"/>
      <c r="E33" s="46"/>
      <c r="F33" s="46"/>
      <c r="G33" s="46"/>
      <c r="H33" s="47"/>
    </row>
    <row r="34" ht="15.75" customHeight="1">
      <c r="A34" s="57"/>
      <c r="H34" s="58"/>
    </row>
    <row r="35" ht="15.75" customHeight="1">
      <c r="A35" s="48"/>
      <c r="B35" s="49"/>
      <c r="C35" s="49"/>
      <c r="D35" s="49"/>
      <c r="E35" s="49"/>
      <c r="F35" s="49"/>
      <c r="G35" s="49"/>
      <c r="H35" s="50"/>
    </row>
    <row r="36" ht="15.75" customHeight="1">
      <c r="A36" s="44" t="s">
        <v>248</v>
      </c>
      <c r="B36" s="18"/>
      <c r="C36" s="18"/>
      <c r="D36" s="18"/>
      <c r="E36" s="18"/>
      <c r="F36" s="18"/>
      <c r="G36" s="18"/>
      <c r="H36" s="19"/>
    </row>
    <row r="37" ht="15.75" customHeight="1">
      <c r="A37" s="45" t="s">
        <v>254</v>
      </c>
      <c r="B37" s="46"/>
      <c r="C37" s="46"/>
      <c r="D37" s="46"/>
      <c r="E37" s="46"/>
      <c r="F37" s="46"/>
      <c r="G37" s="46"/>
      <c r="H37" s="47"/>
    </row>
    <row r="38" ht="15.75" customHeight="1">
      <c r="A38" s="57"/>
      <c r="H38" s="58"/>
    </row>
    <row r="39" ht="15.75" customHeight="1">
      <c r="A39" s="57"/>
      <c r="H39" s="58"/>
    </row>
    <row r="40" ht="51.75" customHeight="1">
      <c r="A40" s="48"/>
      <c r="B40" s="49"/>
      <c r="C40" s="49"/>
      <c r="D40" s="49"/>
      <c r="E40" s="49"/>
      <c r="F40" s="49"/>
      <c r="G40" s="49"/>
      <c r="H40" s="50"/>
    </row>
    <row r="41" ht="15.75" customHeight="1"/>
    <row r="42" ht="15.75" customHeight="1"/>
    <row r="43" ht="15.75" customHeight="1">
      <c r="A43" s="41" t="s">
        <v>255</v>
      </c>
      <c r="E43" s="31" t="s">
        <v>158</v>
      </c>
      <c r="F43" s="64"/>
      <c r="G43" s="31" t="s">
        <v>243</v>
      </c>
      <c r="H43" s="64"/>
    </row>
    <row r="44" ht="15.75" customHeight="1">
      <c r="A44" s="35" t="s">
        <v>256</v>
      </c>
    </row>
    <row r="45" ht="15.75" customHeight="1">
      <c r="A45" s="52" t="s">
        <v>170</v>
      </c>
      <c r="B45" s="17"/>
      <c r="C45" s="18"/>
      <c r="D45" s="18"/>
      <c r="E45" s="18"/>
      <c r="F45" s="18"/>
      <c r="G45" s="18"/>
      <c r="H45" s="19"/>
    </row>
    <row r="46" ht="15.75" customHeight="1">
      <c r="A46" s="52" t="s">
        <v>170</v>
      </c>
      <c r="B46" s="17"/>
      <c r="C46" s="18"/>
      <c r="D46" s="18"/>
      <c r="E46" s="18"/>
      <c r="F46" s="18"/>
      <c r="G46" s="18"/>
      <c r="H46" s="19"/>
    </row>
    <row r="47" ht="15.75" customHeight="1">
      <c r="A47" s="52" t="s">
        <v>170</v>
      </c>
      <c r="B47" s="17"/>
      <c r="C47" s="18"/>
      <c r="D47" s="18"/>
      <c r="E47" s="18"/>
      <c r="F47" s="18"/>
      <c r="G47" s="18"/>
      <c r="H47" s="19"/>
    </row>
    <row r="48" ht="15.75" customHeight="1">
      <c r="A48" s="52" t="s">
        <v>244</v>
      </c>
      <c r="B48" s="17"/>
      <c r="C48" s="18"/>
      <c r="D48" s="18"/>
      <c r="E48" s="18"/>
      <c r="F48" s="18"/>
      <c r="G48" s="18"/>
      <c r="H48" s="19"/>
    </row>
    <row r="49" ht="15.75" customHeight="1">
      <c r="A49" s="44" t="s">
        <v>246</v>
      </c>
      <c r="B49" s="18"/>
      <c r="C49" s="18"/>
      <c r="D49" s="18"/>
      <c r="E49" s="18"/>
      <c r="F49" s="18"/>
      <c r="G49" s="18"/>
      <c r="H49" s="19"/>
    </row>
    <row r="50" ht="15.75" customHeight="1">
      <c r="A50" s="61"/>
      <c r="B50" s="46"/>
      <c r="C50" s="46"/>
      <c r="D50" s="46"/>
      <c r="E50" s="46"/>
      <c r="F50" s="46"/>
      <c r="G50" s="46"/>
      <c r="H50" s="47"/>
    </row>
    <row r="51" ht="15.75" customHeight="1">
      <c r="A51" s="57"/>
      <c r="H51" s="58"/>
    </row>
    <row r="52" ht="15.75" customHeight="1">
      <c r="A52" s="48"/>
      <c r="B52" s="49"/>
      <c r="C52" s="49"/>
      <c r="D52" s="49"/>
      <c r="E52" s="49"/>
      <c r="F52" s="49"/>
      <c r="G52" s="49"/>
      <c r="H52" s="50"/>
    </row>
    <row r="53" ht="15.75" customHeight="1">
      <c r="A53" s="44" t="s">
        <v>248</v>
      </c>
      <c r="B53" s="18"/>
      <c r="C53" s="18"/>
      <c r="D53" s="18"/>
      <c r="E53" s="18"/>
      <c r="F53" s="18"/>
      <c r="G53" s="18"/>
      <c r="H53" s="19"/>
    </row>
    <row r="54" ht="15.75" customHeight="1">
      <c r="A54" s="61"/>
      <c r="B54" s="46"/>
      <c r="C54" s="46"/>
      <c r="D54" s="46"/>
      <c r="E54" s="46"/>
      <c r="F54" s="46"/>
      <c r="G54" s="46"/>
      <c r="H54" s="47"/>
    </row>
    <row r="55" ht="15.75" customHeight="1">
      <c r="A55" s="57"/>
      <c r="H55" s="58"/>
    </row>
    <row r="56" ht="15.75" customHeight="1">
      <c r="A56" s="57"/>
      <c r="H56" s="58"/>
    </row>
    <row r="57" ht="15.75" customHeight="1">
      <c r="A57" s="48"/>
      <c r="B57" s="49"/>
      <c r="C57" s="49"/>
      <c r="D57" s="49"/>
      <c r="E57" s="49"/>
      <c r="F57" s="49"/>
      <c r="G57" s="49"/>
      <c r="H57" s="50"/>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9" t="s">
        <v>257</v>
      </c>
    </row>
    <row r="3" ht="15.75" customHeight="1"/>
    <row r="4" ht="15.75" customHeight="1">
      <c r="B4" s="16" t="s">
        <v>1</v>
      </c>
      <c r="C4" s="17" t="str">
        <f>'Diseño'!C4</f>
        <v>970 - Redes de Computadoras 1</v>
      </c>
      <c r="D4" s="18"/>
      <c r="E4" s="18"/>
      <c r="F4" s="18"/>
      <c r="G4" s="19"/>
    </row>
    <row r="5" ht="15.75" customHeight="1">
      <c r="B5" s="40" t="s">
        <v>117</v>
      </c>
      <c r="C5" s="17">
        <f>H9+H26+H43+H60+H77+H94+H111</f>
        <v>40</v>
      </c>
      <c r="D5" s="18"/>
      <c r="E5" s="18"/>
      <c r="F5" s="18"/>
      <c r="G5" s="19"/>
    </row>
    <row r="6" ht="15.75" customHeight="1">
      <c r="B6" s="40" t="s">
        <v>158</v>
      </c>
      <c r="C6" s="17">
        <f>F9+F26+F43+F60+F77+F94+F111</f>
        <v>14</v>
      </c>
      <c r="D6" s="18"/>
      <c r="E6" s="18"/>
      <c r="F6" s="18"/>
      <c r="G6" s="19"/>
    </row>
    <row r="7" ht="15.75" customHeight="1">
      <c r="B7" s="6" t="s">
        <v>258</v>
      </c>
    </row>
    <row r="8" ht="15.75" customHeight="1"/>
    <row r="9" ht="15.75" customHeight="1">
      <c r="A9" s="41" t="s">
        <v>259</v>
      </c>
      <c r="E9" s="31" t="s">
        <v>158</v>
      </c>
      <c r="F9" s="42">
        <v>7.0</v>
      </c>
      <c r="G9" s="31" t="s">
        <v>243</v>
      </c>
      <c r="H9" s="42">
        <v>20.0</v>
      </c>
    </row>
    <row r="10" ht="15.75" customHeight="1">
      <c r="A10" s="6" t="s">
        <v>260</v>
      </c>
    </row>
    <row r="11" ht="15.75" customHeight="1">
      <c r="A11" s="52" t="s">
        <v>170</v>
      </c>
      <c r="B11" s="29" t="s">
        <v>56</v>
      </c>
      <c r="C11" s="18"/>
      <c r="D11" s="18"/>
      <c r="E11" s="18"/>
      <c r="F11" s="18"/>
      <c r="G11" s="18"/>
      <c r="H11" s="19"/>
    </row>
    <row r="12" ht="15.75" customHeight="1">
      <c r="A12" s="52" t="s">
        <v>170</v>
      </c>
      <c r="B12" s="29" t="s">
        <v>209</v>
      </c>
      <c r="C12" s="18"/>
      <c r="D12" s="18"/>
      <c r="E12" s="18"/>
      <c r="F12" s="18"/>
      <c r="G12" s="18"/>
      <c r="H12" s="19"/>
    </row>
    <row r="13" ht="15.75" customHeight="1">
      <c r="A13" s="52" t="s">
        <v>170</v>
      </c>
      <c r="B13" s="29" t="s">
        <v>12</v>
      </c>
      <c r="C13" s="18"/>
      <c r="D13" s="18"/>
      <c r="E13" s="18"/>
      <c r="F13" s="18"/>
      <c r="G13" s="18"/>
      <c r="H13" s="19"/>
    </row>
    <row r="14" ht="15.75" customHeight="1">
      <c r="A14" s="52" t="s">
        <v>244</v>
      </c>
      <c r="B14" s="29" t="s">
        <v>261</v>
      </c>
      <c r="C14" s="18"/>
      <c r="D14" s="18"/>
      <c r="E14" s="18"/>
      <c r="F14" s="18"/>
      <c r="G14" s="18"/>
      <c r="H14" s="19"/>
    </row>
    <row r="15" ht="15.75" customHeight="1">
      <c r="A15" s="44" t="s">
        <v>246</v>
      </c>
      <c r="B15" s="18"/>
      <c r="C15" s="18"/>
      <c r="D15" s="18"/>
      <c r="E15" s="18"/>
      <c r="F15" s="18"/>
      <c r="G15" s="18"/>
      <c r="H15" s="19"/>
    </row>
    <row r="16" ht="15.75" customHeight="1">
      <c r="A16" s="45" t="s">
        <v>262</v>
      </c>
      <c r="B16" s="46"/>
      <c r="C16" s="46"/>
      <c r="D16" s="46"/>
      <c r="E16" s="46"/>
      <c r="F16" s="46"/>
      <c r="G16" s="46"/>
      <c r="H16" s="47"/>
    </row>
    <row r="17" ht="15.75" customHeight="1">
      <c r="A17" s="57"/>
      <c r="H17" s="58"/>
    </row>
    <row r="18" ht="15.75" customHeight="1">
      <c r="A18" s="48"/>
      <c r="B18" s="49"/>
      <c r="C18" s="49"/>
      <c r="D18" s="49"/>
      <c r="E18" s="49"/>
      <c r="F18" s="49"/>
      <c r="G18" s="49"/>
      <c r="H18" s="50"/>
    </row>
    <row r="19" ht="15.75" customHeight="1">
      <c r="A19" s="44" t="s">
        <v>248</v>
      </c>
      <c r="B19" s="18"/>
      <c r="C19" s="18"/>
      <c r="D19" s="18"/>
      <c r="E19" s="18"/>
      <c r="F19" s="18"/>
      <c r="G19" s="18"/>
      <c r="H19" s="19"/>
    </row>
    <row r="20" ht="15.75" customHeight="1">
      <c r="A20" s="63" t="s">
        <v>263</v>
      </c>
      <c r="B20" s="46"/>
      <c r="C20" s="46"/>
      <c r="D20" s="46"/>
      <c r="E20" s="46"/>
      <c r="F20" s="46"/>
      <c r="G20" s="46"/>
      <c r="H20" s="47"/>
    </row>
    <row r="21" ht="15.75" customHeight="1">
      <c r="A21" s="57"/>
      <c r="H21" s="58"/>
    </row>
    <row r="22" ht="15.75" customHeight="1">
      <c r="A22" s="57"/>
      <c r="H22" s="58"/>
    </row>
    <row r="23" ht="15.75" customHeight="1">
      <c r="A23" s="48"/>
      <c r="B23" s="49"/>
      <c r="C23" s="49"/>
      <c r="D23" s="49"/>
      <c r="E23" s="49"/>
      <c r="F23" s="49"/>
      <c r="G23" s="49"/>
      <c r="H23" s="50"/>
    </row>
    <row r="24" ht="15.75" customHeight="1"/>
    <row r="25" ht="15.75" customHeight="1"/>
    <row r="26" ht="15.75" customHeight="1">
      <c r="A26" s="41" t="s">
        <v>264</v>
      </c>
      <c r="E26" s="31" t="s">
        <v>158</v>
      </c>
      <c r="F26" s="42">
        <v>7.0</v>
      </c>
      <c r="G26" s="31" t="s">
        <v>243</v>
      </c>
      <c r="H26" s="42">
        <v>20.0</v>
      </c>
    </row>
    <row r="27" ht="15.75" customHeight="1">
      <c r="A27" s="35" t="s">
        <v>256</v>
      </c>
    </row>
    <row r="28" ht="15.75" customHeight="1">
      <c r="A28" s="52" t="s">
        <v>170</v>
      </c>
      <c r="B28" s="29" t="s">
        <v>56</v>
      </c>
      <c r="C28" s="18"/>
      <c r="D28" s="18"/>
      <c r="E28" s="18"/>
      <c r="F28" s="18"/>
      <c r="G28" s="18"/>
      <c r="H28" s="19"/>
    </row>
    <row r="29" ht="15.75" customHeight="1">
      <c r="A29" s="52" t="s">
        <v>170</v>
      </c>
      <c r="B29" s="29" t="s">
        <v>12</v>
      </c>
      <c r="C29" s="18"/>
      <c r="D29" s="18"/>
      <c r="E29" s="18"/>
      <c r="F29" s="18"/>
      <c r="G29" s="18"/>
      <c r="H29" s="19"/>
    </row>
    <row r="30" ht="15.75" customHeight="1">
      <c r="A30" s="52" t="s">
        <v>170</v>
      </c>
      <c r="B30" s="29" t="s">
        <v>99</v>
      </c>
      <c r="C30" s="18"/>
      <c r="D30" s="18"/>
      <c r="E30" s="18"/>
      <c r="F30" s="18"/>
      <c r="G30" s="18"/>
      <c r="H30" s="19"/>
    </row>
    <row r="31" ht="15.75" customHeight="1">
      <c r="A31" s="52" t="s">
        <v>244</v>
      </c>
      <c r="B31" s="17"/>
      <c r="C31" s="18"/>
      <c r="D31" s="18"/>
      <c r="E31" s="18"/>
      <c r="F31" s="18"/>
      <c r="G31" s="18"/>
      <c r="H31" s="19"/>
    </row>
    <row r="32" ht="15.75" customHeight="1">
      <c r="A32" s="44" t="s">
        <v>246</v>
      </c>
      <c r="B32" s="18"/>
      <c r="C32" s="18"/>
      <c r="D32" s="18"/>
      <c r="E32" s="18"/>
      <c r="F32" s="18"/>
      <c r="G32" s="18"/>
      <c r="H32" s="19"/>
    </row>
    <row r="33" ht="15.75" customHeight="1">
      <c r="A33" s="45" t="s">
        <v>262</v>
      </c>
      <c r="B33" s="46"/>
      <c r="C33" s="46"/>
      <c r="D33" s="46"/>
      <c r="E33" s="46"/>
      <c r="F33" s="46"/>
      <c r="G33" s="46"/>
      <c r="H33" s="47"/>
    </row>
    <row r="34" ht="15.75" customHeight="1">
      <c r="A34" s="57"/>
      <c r="H34" s="58"/>
    </row>
    <row r="35" ht="15.75" customHeight="1">
      <c r="A35" s="48"/>
      <c r="B35" s="49"/>
      <c r="C35" s="49"/>
      <c r="D35" s="49"/>
      <c r="E35" s="49"/>
      <c r="F35" s="49"/>
      <c r="G35" s="49"/>
      <c r="H35" s="50"/>
    </row>
    <row r="36" ht="15.75" customHeight="1">
      <c r="A36" s="44" t="s">
        <v>248</v>
      </c>
      <c r="B36" s="18"/>
      <c r="C36" s="18"/>
      <c r="D36" s="18"/>
      <c r="E36" s="18"/>
      <c r="F36" s="18"/>
      <c r="G36" s="18"/>
      <c r="H36" s="19"/>
    </row>
    <row r="37" ht="15.75" customHeight="1">
      <c r="A37" s="45" t="s">
        <v>265</v>
      </c>
      <c r="B37" s="46"/>
      <c r="C37" s="46"/>
      <c r="D37" s="46"/>
      <c r="E37" s="46"/>
      <c r="F37" s="46"/>
      <c r="G37" s="46"/>
      <c r="H37" s="47"/>
    </row>
    <row r="38" ht="15.75" customHeight="1">
      <c r="A38" s="57"/>
      <c r="H38" s="58"/>
    </row>
    <row r="39" ht="15.75" customHeight="1">
      <c r="A39" s="57"/>
      <c r="H39" s="58"/>
    </row>
    <row r="40" ht="15.75" customHeight="1">
      <c r="A40" s="48"/>
      <c r="B40" s="49"/>
      <c r="C40" s="49"/>
      <c r="D40" s="49"/>
      <c r="E40" s="49"/>
      <c r="F40" s="49"/>
      <c r="G40" s="49"/>
      <c r="H40" s="50"/>
    </row>
    <row r="41" ht="15.75" customHeight="1"/>
    <row r="42" ht="15.75" customHeight="1"/>
    <row r="43" ht="15.75" customHeight="1">
      <c r="A43" s="41" t="s">
        <v>266</v>
      </c>
      <c r="E43" s="31" t="s">
        <v>158</v>
      </c>
      <c r="F43" s="64"/>
      <c r="G43" s="31" t="s">
        <v>243</v>
      </c>
      <c r="H43" s="64"/>
    </row>
    <row r="44" ht="15.75" customHeight="1">
      <c r="A44" s="35" t="s">
        <v>256</v>
      </c>
    </row>
    <row r="45" ht="15.75" customHeight="1">
      <c r="A45" s="52" t="s">
        <v>170</v>
      </c>
      <c r="B45" s="17"/>
      <c r="C45" s="18"/>
      <c r="D45" s="18"/>
      <c r="E45" s="18"/>
      <c r="F45" s="18"/>
      <c r="G45" s="18"/>
      <c r="H45" s="19"/>
    </row>
    <row r="46" ht="15.75" customHeight="1">
      <c r="A46" s="52" t="s">
        <v>170</v>
      </c>
      <c r="B46" s="17"/>
      <c r="C46" s="18"/>
      <c r="D46" s="18"/>
      <c r="E46" s="18"/>
      <c r="F46" s="18"/>
      <c r="G46" s="18"/>
      <c r="H46" s="19"/>
    </row>
    <row r="47" ht="15.75" customHeight="1">
      <c r="A47" s="52" t="s">
        <v>170</v>
      </c>
      <c r="B47" s="17"/>
      <c r="C47" s="18"/>
      <c r="D47" s="18"/>
      <c r="E47" s="18"/>
      <c r="F47" s="18"/>
      <c r="G47" s="18"/>
      <c r="H47" s="19"/>
    </row>
    <row r="48" ht="15.75" customHeight="1">
      <c r="A48" s="52" t="s">
        <v>244</v>
      </c>
      <c r="B48" s="17"/>
      <c r="C48" s="18"/>
      <c r="D48" s="18"/>
      <c r="E48" s="18"/>
      <c r="F48" s="18"/>
      <c r="G48" s="18"/>
      <c r="H48" s="19"/>
    </row>
    <row r="49" ht="15.75" customHeight="1">
      <c r="A49" s="44" t="s">
        <v>246</v>
      </c>
      <c r="B49" s="18"/>
      <c r="C49" s="18"/>
      <c r="D49" s="18"/>
      <c r="E49" s="18"/>
      <c r="F49" s="18"/>
      <c r="G49" s="18"/>
      <c r="H49" s="19"/>
    </row>
    <row r="50" ht="15.75" customHeight="1">
      <c r="A50" s="61"/>
      <c r="B50" s="46"/>
      <c r="C50" s="46"/>
      <c r="D50" s="46"/>
      <c r="E50" s="46"/>
      <c r="F50" s="46"/>
      <c r="G50" s="46"/>
      <c r="H50" s="47"/>
    </row>
    <row r="51" ht="15.75" customHeight="1">
      <c r="A51" s="57"/>
      <c r="H51" s="58"/>
    </row>
    <row r="52" ht="15.75" customHeight="1">
      <c r="A52" s="48"/>
      <c r="B52" s="49"/>
      <c r="C52" s="49"/>
      <c r="D52" s="49"/>
      <c r="E52" s="49"/>
      <c r="F52" s="49"/>
      <c r="G52" s="49"/>
      <c r="H52" s="50"/>
    </row>
    <row r="53" ht="15.75" customHeight="1">
      <c r="A53" s="44" t="s">
        <v>248</v>
      </c>
      <c r="B53" s="18"/>
      <c r="C53" s="18"/>
      <c r="D53" s="18"/>
      <c r="E53" s="18"/>
      <c r="F53" s="18"/>
      <c r="G53" s="18"/>
      <c r="H53" s="19"/>
    </row>
    <row r="54" ht="15.75" customHeight="1">
      <c r="A54" s="61"/>
      <c r="B54" s="46"/>
      <c r="C54" s="46"/>
      <c r="D54" s="46"/>
      <c r="E54" s="46"/>
      <c r="F54" s="46"/>
      <c r="G54" s="46"/>
      <c r="H54" s="47"/>
    </row>
    <row r="55" ht="15.75" customHeight="1">
      <c r="A55" s="57"/>
      <c r="H55" s="58"/>
    </row>
    <row r="56" ht="15.75" customHeight="1">
      <c r="A56" s="57"/>
      <c r="H56" s="58"/>
    </row>
    <row r="57" ht="15.75" customHeight="1">
      <c r="A57" s="48"/>
      <c r="B57" s="49"/>
      <c r="C57" s="49"/>
      <c r="D57" s="49"/>
      <c r="E57" s="49"/>
      <c r="F57" s="49"/>
      <c r="G57" s="49"/>
      <c r="H57" s="50"/>
    </row>
    <row r="58" ht="15.75" customHeight="1"/>
    <row r="59" ht="15.75" customHeight="1"/>
    <row r="60" ht="15.75" customHeight="1">
      <c r="A60" s="41" t="s">
        <v>267</v>
      </c>
      <c r="E60" s="31" t="s">
        <v>158</v>
      </c>
      <c r="F60" s="64"/>
      <c r="G60" s="31" t="s">
        <v>243</v>
      </c>
      <c r="H60" s="64"/>
    </row>
    <row r="61" ht="15.75" customHeight="1">
      <c r="A61" s="35" t="s">
        <v>256</v>
      </c>
    </row>
    <row r="62" ht="15.75" customHeight="1">
      <c r="A62" s="52" t="s">
        <v>170</v>
      </c>
      <c r="B62" s="17"/>
      <c r="C62" s="18"/>
      <c r="D62" s="18"/>
      <c r="E62" s="18"/>
      <c r="F62" s="18"/>
      <c r="G62" s="18"/>
      <c r="H62" s="19"/>
    </row>
    <row r="63" ht="15.75" customHeight="1">
      <c r="A63" s="52" t="s">
        <v>170</v>
      </c>
      <c r="B63" s="17"/>
      <c r="C63" s="18"/>
      <c r="D63" s="18"/>
      <c r="E63" s="18"/>
      <c r="F63" s="18"/>
      <c r="G63" s="18"/>
      <c r="H63" s="19"/>
    </row>
    <row r="64" ht="15.75" customHeight="1">
      <c r="A64" s="52" t="s">
        <v>170</v>
      </c>
      <c r="B64" s="17"/>
      <c r="C64" s="18"/>
      <c r="D64" s="18"/>
      <c r="E64" s="18"/>
      <c r="F64" s="18"/>
      <c r="G64" s="18"/>
      <c r="H64" s="19"/>
    </row>
    <row r="65" ht="15.75" customHeight="1">
      <c r="A65" s="52" t="s">
        <v>244</v>
      </c>
      <c r="B65" s="17"/>
      <c r="C65" s="18"/>
      <c r="D65" s="18"/>
      <c r="E65" s="18"/>
      <c r="F65" s="18"/>
      <c r="G65" s="18"/>
      <c r="H65" s="19"/>
    </row>
    <row r="66" ht="15.75" customHeight="1">
      <c r="A66" s="44" t="s">
        <v>246</v>
      </c>
      <c r="B66" s="18"/>
      <c r="C66" s="18"/>
      <c r="D66" s="18"/>
      <c r="E66" s="18"/>
      <c r="F66" s="18"/>
      <c r="G66" s="18"/>
      <c r="H66" s="19"/>
    </row>
    <row r="67" ht="15.75" customHeight="1">
      <c r="A67" s="61"/>
      <c r="B67" s="46"/>
      <c r="C67" s="46"/>
      <c r="D67" s="46"/>
      <c r="E67" s="46"/>
      <c r="F67" s="46"/>
      <c r="G67" s="46"/>
      <c r="H67" s="47"/>
    </row>
    <row r="68" ht="15.75" customHeight="1">
      <c r="A68" s="57"/>
      <c r="H68" s="58"/>
    </row>
    <row r="69" ht="15.75" customHeight="1">
      <c r="A69" s="48"/>
      <c r="B69" s="49"/>
      <c r="C69" s="49"/>
      <c r="D69" s="49"/>
      <c r="E69" s="49"/>
      <c r="F69" s="49"/>
      <c r="G69" s="49"/>
      <c r="H69" s="50"/>
    </row>
    <row r="70" ht="15.75" customHeight="1">
      <c r="A70" s="44" t="s">
        <v>248</v>
      </c>
      <c r="B70" s="18"/>
      <c r="C70" s="18"/>
      <c r="D70" s="18"/>
      <c r="E70" s="18"/>
      <c r="F70" s="18"/>
      <c r="G70" s="18"/>
      <c r="H70" s="19"/>
    </row>
    <row r="71" ht="15.75" customHeight="1">
      <c r="A71" s="61"/>
      <c r="B71" s="46"/>
      <c r="C71" s="46"/>
      <c r="D71" s="46"/>
      <c r="E71" s="46"/>
      <c r="F71" s="46"/>
      <c r="G71" s="46"/>
      <c r="H71" s="47"/>
    </row>
    <row r="72" ht="15.75" customHeight="1">
      <c r="A72" s="57"/>
      <c r="H72" s="58"/>
    </row>
    <row r="73" ht="15.75" customHeight="1">
      <c r="A73" s="57"/>
      <c r="H73" s="58"/>
    </row>
    <row r="74" ht="15.75" customHeight="1">
      <c r="A74" s="48"/>
      <c r="B74" s="49"/>
      <c r="C74" s="49"/>
      <c r="D74" s="49"/>
      <c r="E74" s="49"/>
      <c r="F74" s="49"/>
      <c r="G74" s="49"/>
      <c r="H74" s="50"/>
    </row>
    <row r="75" ht="15.75" customHeight="1"/>
    <row r="76" ht="15.75" customHeight="1"/>
    <row r="77" ht="15.75" customHeight="1">
      <c r="A77" s="41" t="s">
        <v>268</v>
      </c>
      <c r="E77" s="31" t="s">
        <v>158</v>
      </c>
      <c r="F77" s="64"/>
      <c r="G77" s="31" t="s">
        <v>243</v>
      </c>
      <c r="H77" s="64"/>
    </row>
    <row r="78" ht="15.75" customHeight="1">
      <c r="A78" s="35" t="s">
        <v>256</v>
      </c>
    </row>
    <row r="79" ht="15.75" customHeight="1">
      <c r="A79" s="52" t="s">
        <v>170</v>
      </c>
      <c r="B79" s="17"/>
      <c r="C79" s="18"/>
      <c r="D79" s="18"/>
      <c r="E79" s="18"/>
      <c r="F79" s="18"/>
      <c r="G79" s="18"/>
      <c r="H79" s="19"/>
    </row>
    <row r="80" ht="15.75" customHeight="1">
      <c r="A80" s="52" t="s">
        <v>170</v>
      </c>
      <c r="B80" s="17"/>
      <c r="C80" s="18"/>
      <c r="D80" s="18"/>
      <c r="E80" s="18"/>
      <c r="F80" s="18"/>
      <c r="G80" s="18"/>
      <c r="H80" s="19"/>
    </row>
    <row r="81" ht="15.75" customHeight="1">
      <c r="A81" s="52" t="s">
        <v>170</v>
      </c>
      <c r="B81" s="17"/>
      <c r="C81" s="18"/>
      <c r="D81" s="18"/>
      <c r="E81" s="18"/>
      <c r="F81" s="18"/>
      <c r="G81" s="18"/>
      <c r="H81" s="19"/>
    </row>
    <row r="82" ht="15.75" customHeight="1">
      <c r="A82" s="52" t="s">
        <v>244</v>
      </c>
      <c r="B82" s="17"/>
      <c r="C82" s="18"/>
      <c r="D82" s="18"/>
      <c r="E82" s="18"/>
      <c r="F82" s="18"/>
      <c r="G82" s="18"/>
      <c r="H82" s="19"/>
    </row>
    <row r="83" ht="15.75" customHeight="1">
      <c r="A83" s="44" t="s">
        <v>246</v>
      </c>
      <c r="B83" s="18"/>
      <c r="C83" s="18"/>
      <c r="D83" s="18"/>
      <c r="E83" s="18"/>
      <c r="F83" s="18"/>
      <c r="G83" s="18"/>
      <c r="H83" s="19"/>
    </row>
    <row r="84" ht="15.75" customHeight="1">
      <c r="A84" s="61"/>
      <c r="B84" s="46"/>
      <c r="C84" s="46"/>
      <c r="D84" s="46"/>
      <c r="E84" s="46"/>
      <c r="F84" s="46"/>
      <c r="G84" s="46"/>
      <c r="H84" s="47"/>
    </row>
    <row r="85" ht="15.75" customHeight="1">
      <c r="A85" s="57"/>
      <c r="H85" s="58"/>
    </row>
    <row r="86" ht="15.75" customHeight="1">
      <c r="A86" s="48"/>
      <c r="B86" s="49"/>
      <c r="C86" s="49"/>
      <c r="D86" s="49"/>
      <c r="E86" s="49"/>
      <c r="F86" s="49"/>
      <c r="G86" s="49"/>
      <c r="H86" s="50"/>
    </row>
    <row r="87" ht="15.75" customHeight="1">
      <c r="A87" s="44" t="s">
        <v>248</v>
      </c>
      <c r="B87" s="18"/>
      <c r="C87" s="18"/>
      <c r="D87" s="18"/>
      <c r="E87" s="18"/>
      <c r="F87" s="18"/>
      <c r="G87" s="18"/>
      <c r="H87" s="19"/>
    </row>
    <row r="88" ht="15.75" customHeight="1">
      <c r="A88" s="61"/>
      <c r="B88" s="46"/>
      <c r="C88" s="46"/>
      <c r="D88" s="46"/>
      <c r="E88" s="46"/>
      <c r="F88" s="46"/>
      <c r="G88" s="46"/>
      <c r="H88" s="47"/>
    </row>
    <row r="89" ht="15.75" customHeight="1">
      <c r="A89" s="57"/>
      <c r="H89" s="58"/>
    </row>
    <row r="90" ht="15.75" customHeight="1">
      <c r="A90" s="57"/>
      <c r="H90" s="58"/>
    </row>
    <row r="91" ht="15.75" customHeight="1">
      <c r="A91" s="48"/>
      <c r="B91" s="49"/>
      <c r="C91" s="49"/>
      <c r="D91" s="49"/>
      <c r="E91" s="49"/>
      <c r="F91" s="49"/>
      <c r="G91" s="49"/>
      <c r="H91" s="50"/>
    </row>
    <row r="92" ht="15.75" customHeight="1"/>
    <row r="93" ht="15.75" customHeight="1"/>
    <row r="94" ht="15.75" customHeight="1">
      <c r="A94" s="41" t="s">
        <v>269</v>
      </c>
      <c r="E94" s="31" t="s">
        <v>158</v>
      </c>
      <c r="F94" s="64"/>
      <c r="G94" s="31" t="s">
        <v>243</v>
      </c>
      <c r="H94" s="64"/>
    </row>
    <row r="95" ht="15.75" customHeight="1">
      <c r="A95" s="35" t="s">
        <v>256</v>
      </c>
    </row>
    <row r="96" ht="15.75" customHeight="1">
      <c r="A96" s="52" t="s">
        <v>170</v>
      </c>
      <c r="B96" s="17"/>
      <c r="C96" s="18"/>
      <c r="D96" s="18"/>
      <c r="E96" s="18"/>
      <c r="F96" s="18"/>
      <c r="G96" s="18"/>
      <c r="H96" s="19"/>
    </row>
    <row r="97" ht="15.75" customHeight="1">
      <c r="A97" s="52" t="s">
        <v>170</v>
      </c>
      <c r="B97" s="17"/>
      <c r="C97" s="18"/>
      <c r="D97" s="18"/>
      <c r="E97" s="18"/>
      <c r="F97" s="18"/>
      <c r="G97" s="18"/>
      <c r="H97" s="19"/>
    </row>
    <row r="98" ht="15.75" customHeight="1">
      <c r="A98" s="52" t="s">
        <v>170</v>
      </c>
      <c r="B98" s="17"/>
      <c r="C98" s="18"/>
      <c r="D98" s="18"/>
      <c r="E98" s="18"/>
      <c r="F98" s="18"/>
      <c r="G98" s="18"/>
      <c r="H98" s="19"/>
    </row>
    <row r="99" ht="15.75" customHeight="1">
      <c r="A99" s="52" t="s">
        <v>244</v>
      </c>
      <c r="B99" s="17"/>
      <c r="C99" s="18"/>
      <c r="D99" s="18"/>
      <c r="E99" s="18"/>
      <c r="F99" s="18"/>
      <c r="G99" s="18"/>
      <c r="H99" s="19"/>
    </row>
    <row r="100" ht="15.75" customHeight="1">
      <c r="A100" s="44" t="s">
        <v>246</v>
      </c>
      <c r="B100" s="18"/>
      <c r="C100" s="18"/>
      <c r="D100" s="18"/>
      <c r="E100" s="18"/>
      <c r="F100" s="18"/>
      <c r="G100" s="18"/>
      <c r="H100" s="19"/>
    </row>
    <row r="101" ht="15.75" customHeight="1">
      <c r="A101" s="61"/>
      <c r="B101" s="46"/>
      <c r="C101" s="46"/>
      <c r="D101" s="46"/>
      <c r="E101" s="46"/>
      <c r="F101" s="46"/>
      <c r="G101" s="46"/>
      <c r="H101" s="47"/>
    </row>
    <row r="102" ht="15.75" customHeight="1">
      <c r="A102" s="57"/>
      <c r="H102" s="58"/>
    </row>
    <row r="103" ht="15.75" customHeight="1">
      <c r="A103" s="48"/>
      <c r="B103" s="49"/>
      <c r="C103" s="49"/>
      <c r="D103" s="49"/>
      <c r="E103" s="49"/>
      <c r="F103" s="49"/>
      <c r="G103" s="49"/>
      <c r="H103" s="50"/>
    </row>
    <row r="104" ht="15.75" customHeight="1">
      <c r="A104" s="44" t="s">
        <v>248</v>
      </c>
      <c r="B104" s="18"/>
      <c r="C104" s="18"/>
      <c r="D104" s="18"/>
      <c r="E104" s="18"/>
      <c r="F104" s="18"/>
      <c r="G104" s="18"/>
      <c r="H104" s="19"/>
    </row>
    <row r="105" ht="15.75" customHeight="1">
      <c r="A105" s="61"/>
      <c r="B105" s="46"/>
      <c r="C105" s="46"/>
      <c r="D105" s="46"/>
      <c r="E105" s="46"/>
      <c r="F105" s="46"/>
      <c r="G105" s="46"/>
      <c r="H105" s="47"/>
    </row>
    <row r="106" ht="15.75" customHeight="1">
      <c r="A106" s="57"/>
      <c r="H106" s="58"/>
    </row>
    <row r="107" ht="15.75" customHeight="1">
      <c r="A107" s="57"/>
      <c r="H107" s="58"/>
    </row>
    <row r="108" ht="15.75" customHeight="1">
      <c r="A108" s="48"/>
      <c r="B108" s="49"/>
      <c r="C108" s="49"/>
      <c r="D108" s="49"/>
      <c r="E108" s="49"/>
      <c r="F108" s="49"/>
      <c r="G108" s="49"/>
      <c r="H108" s="50"/>
    </row>
    <row r="109" ht="15.75" customHeight="1"/>
    <row r="110" ht="15.75" customHeight="1"/>
    <row r="111" ht="15.75" customHeight="1">
      <c r="A111" s="41" t="s">
        <v>270</v>
      </c>
      <c r="E111" s="31" t="s">
        <v>158</v>
      </c>
      <c r="F111" s="64"/>
      <c r="G111" s="31" t="s">
        <v>243</v>
      </c>
      <c r="H111" s="64"/>
    </row>
    <row r="112" ht="15.75" customHeight="1">
      <c r="A112" s="35" t="s">
        <v>256</v>
      </c>
    </row>
    <row r="113" ht="15.75" customHeight="1">
      <c r="A113" s="52" t="s">
        <v>170</v>
      </c>
      <c r="B113" s="17"/>
      <c r="C113" s="18"/>
      <c r="D113" s="18"/>
      <c r="E113" s="18"/>
      <c r="F113" s="18"/>
      <c r="G113" s="18"/>
      <c r="H113" s="19"/>
    </row>
    <row r="114" ht="15.75" customHeight="1">
      <c r="A114" s="52" t="s">
        <v>170</v>
      </c>
      <c r="B114" s="17"/>
      <c r="C114" s="18"/>
      <c r="D114" s="18"/>
      <c r="E114" s="18"/>
      <c r="F114" s="18"/>
      <c r="G114" s="18"/>
      <c r="H114" s="19"/>
    </row>
    <row r="115" ht="15.75" customHeight="1">
      <c r="A115" s="52" t="s">
        <v>170</v>
      </c>
      <c r="B115" s="17"/>
      <c r="C115" s="18"/>
      <c r="D115" s="18"/>
      <c r="E115" s="18"/>
      <c r="F115" s="18"/>
      <c r="G115" s="18"/>
      <c r="H115" s="19"/>
    </row>
    <row r="116" ht="15.75" customHeight="1">
      <c r="A116" s="52" t="s">
        <v>244</v>
      </c>
      <c r="B116" s="17"/>
      <c r="C116" s="18"/>
      <c r="D116" s="18"/>
      <c r="E116" s="18"/>
      <c r="F116" s="18"/>
      <c r="G116" s="18"/>
      <c r="H116" s="19"/>
    </row>
    <row r="117" ht="15.75" customHeight="1">
      <c r="A117" s="44" t="s">
        <v>246</v>
      </c>
      <c r="B117" s="18"/>
      <c r="C117" s="18"/>
      <c r="D117" s="18"/>
      <c r="E117" s="18"/>
      <c r="F117" s="18"/>
      <c r="G117" s="18"/>
      <c r="H117" s="19"/>
    </row>
    <row r="118" ht="15.75" customHeight="1">
      <c r="A118" s="61"/>
      <c r="B118" s="46"/>
      <c r="C118" s="46"/>
      <c r="D118" s="46"/>
      <c r="E118" s="46"/>
      <c r="F118" s="46"/>
      <c r="G118" s="46"/>
      <c r="H118" s="47"/>
    </row>
    <row r="119" ht="15.75" customHeight="1">
      <c r="A119" s="57"/>
      <c r="H119" s="58"/>
    </row>
    <row r="120" ht="15.75" customHeight="1">
      <c r="A120" s="48"/>
      <c r="B120" s="49"/>
      <c r="C120" s="49"/>
      <c r="D120" s="49"/>
      <c r="E120" s="49"/>
      <c r="F120" s="49"/>
      <c r="G120" s="49"/>
      <c r="H120" s="50"/>
    </row>
    <row r="121" ht="15.75" customHeight="1">
      <c r="A121" s="44" t="s">
        <v>248</v>
      </c>
      <c r="B121" s="18"/>
      <c r="C121" s="18"/>
      <c r="D121" s="18"/>
      <c r="E121" s="18"/>
      <c r="F121" s="18"/>
      <c r="G121" s="18"/>
      <c r="H121" s="19"/>
    </row>
    <row r="122" ht="15.75" customHeight="1">
      <c r="A122" s="61"/>
      <c r="B122" s="46"/>
      <c r="C122" s="46"/>
      <c r="D122" s="46"/>
      <c r="E122" s="46"/>
      <c r="F122" s="46"/>
      <c r="G122" s="46"/>
      <c r="H122" s="47"/>
    </row>
    <row r="123" ht="15.75" customHeight="1">
      <c r="A123" s="57"/>
      <c r="H123" s="58"/>
    </row>
    <row r="124" ht="15.75" customHeight="1">
      <c r="A124" s="57"/>
      <c r="H124" s="58"/>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9" t="s">
        <v>271</v>
      </c>
    </row>
    <row r="3" ht="15.75" customHeight="1"/>
    <row r="4" ht="15.75" customHeight="1">
      <c r="B4" s="16" t="s">
        <v>1</v>
      </c>
      <c r="C4" s="17" t="str">
        <f>'Diseño'!C4</f>
        <v>970 - Redes de Computadoras 1</v>
      </c>
      <c r="D4" s="18"/>
      <c r="E4" s="18"/>
      <c r="F4" s="18"/>
      <c r="G4" s="19"/>
    </row>
    <row r="5" ht="15.75" customHeight="1">
      <c r="B5" s="40" t="s">
        <v>117</v>
      </c>
      <c r="C5" s="17">
        <f>H9+H26+H43+H60+H77+H94+H111</f>
        <v>29</v>
      </c>
      <c r="D5" s="18"/>
      <c r="E5" s="18"/>
      <c r="F5" s="18"/>
      <c r="G5" s="19"/>
    </row>
    <row r="6" ht="15.75" customHeight="1">
      <c r="B6" s="40" t="s">
        <v>158</v>
      </c>
      <c r="C6" s="17">
        <f>F9+F26+F43+F60+F77+F94+F111</f>
        <v>10</v>
      </c>
      <c r="D6" s="18"/>
      <c r="E6" s="18"/>
      <c r="F6" s="18"/>
      <c r="G6" s="19"/>
    </row>
    <row r="7" ht="15.75" customHeight="1">
      <c r="B7" s="6" t="s">
        <v>272</v>
      </c>
    </row>
    <row r="8" ht="15.75" customHeight="1"/>
    <row r="9" ht="15.75" customHeight="1">
      <c r="A9" s="41" t="s">
        <v>273</v>
      </c>
      <c r="E9" s="31" t="s">
        <v>158</v>
      </c>
      <c r="F9" s="42">
        <v>2.0</v>
      </c>
      <c r="G9" s="31" t="s">
        <v>243</v>
      </c>
      <c r="H9" s="42">
        <v>2.0</v>
      </c>
    </row>
    <row r="10" ht="15.75" customHeight="1">
      <c r="A10" s="6" t="s">
        <v>260</v>
      </c>
    </row>
    <row r="11" ht="15.75" customHeight="1">
      <c r="A11" s="52" t="s">
        <v>170</v>
      </c>
      <c r="B11" s="29" t="s">
        <v>209</v>
      </c>
      <c r="C11" s="18"/>
      <c r="D11" s="18"/>
      <c r="E11" s="18"/>
      <c r="F11" s="18"/>
      <c r="G11" s="18"/>
      <c r="H11" s="19"/>
    </row>
    <row r="12" ht="15.75" customHeight="1">
      <c r="A12" s="52" t="s">
        <v>170</v>
      </c>
      <c r="B12" s="29" t="s">
        <v>56</v>
      </c>
      <c r="C12" s="18"/>
      <c r="D12" s="18"/>
      <c r="E12" s="18"/>
      <c r="F12" s="18"/>
      <c r="G12" s="18"/>
      <c r="H12" s="19"/>
    </row>
    <row r="13" ht="15.75" customHeight="1">
      <c r="A13" s="52" t="s">
        <v>170</v>
      </c>
      <c r="B13" s="17"/>
      <c r="C13" s="18"/>
      <c r="D13" s="18"/>
      <c r="E13" s="18"/>
      <c r="F13" s="18"/>
      <c r="G13" s="18"/>
      <c r="H13" s="19"/>
    </row>
    <row r="14" ht="15.75" customHeight="1">
      <c r="A14" s="52" t="s">
        <v>244</v>
      </c>
      <c r="B14" s="29" t="s">
        <v>274</v>
      </c>
      <c r="C14" s="18"/>
      <c r="D14" s="18"/>
      <c r="E14" s="18"/>
      <c r="F14" s="18"/>
      <c r="G14" s="18"/>
      <c r="H14" s="19"/>
    </row>
    <row r="15" ht="15.75" customHeight="1">
      <c r="A15" s="44" t="s">
        <v>246</v>
      </c>
      <c r="B15" s="18"/>
      <c r="C15" s="18"/>
      <c r="D15" s="18"/>
      <c r="E15" s="18"/>
      <c r="F15" s="18"/>
      <c r="G15" s="18"/>
      <c r="H15" s="19"/>
    </row>
    <row r="16" ht="15.75" customHeight="1">
      <c r="A16" s="62" t="s">
        <v>275</v>
      </c>
      <c r="B16" s="46"/>
      <c r="C16" s="46"/>
      <c r="D16" s="46"/>
      <c r="E16" s="46"/>
      <c r="F16" s="46"/>
      <c r="G16" s="46"/>
      <c r="H16" s="47"/>
    </row>
    <row r="17" ht="15.75" customHeight="1">
      <c r="A17" s="57"/>
      <c r="H17" s="58"/>
    </row>
    <row r="18" ht="15.75" customHeight="1">
      <c r="A18" s="48"/>
      <c r="B18" s="49"/>
      <c r="C18" s="49"/>
      <c r="D18" s="49"/>
      <c r="E18" s="49"/>
      <c r="F18" s="49"/>
      <c r="G18" s="49"/>
      <c r="H18" s="50"/>
    </row>
    <row r="19" ht="15.75" customHeight="1">
      <c r="A19" s="44" t="s">
        <v>248</v>
      </c>
      <c r="B19" s="18"/>
      <c r="C19" s="18"/>
      <c r="D19" s="18"/>
      <c r="E19" s="18"/>
      <c r="F19" s="18"/>
      <c r="G19" s="18"/>
      <c r="H19" s="19"/>
    </row>
    <row r="20" ht="15.75" customHeight="1">
      <c r="A20" s="62" t="s">
        <v>276</v>
      </c>
      <c r="B20" s="46"/>
      <c r="C20" s="46"/>
      <c r="D20" s="46"/>
      <c r="E20" s="46"/>
      <c r="F20" s="46"/>
      <c r="G20" s="46"/>
      <c r="H20" s="47"/>
    </row>
    <row r="21" ht="15.75" customHeight="1">
      <c r="A21" s="57"/>
      <c r="H21" s="58"/>
    </row>
    <row r="22" ht="15.75" customHeight="1">
      <c r="A22" s="57"/>
      <c r="H22" s="58"/>
    </row>
    <row r="23" ht="15.75" customHeight="1">
      <c r="A23" s="48"/>
      <c r="B23" s="49"/>
      <c r="C23" s="49"/>
      <c r="D23" s="49"/>
      <c r="E23" s="49"/>
      <c r="F23" s="49"/>
      <c r="G23" s="49"/>
      <c r="H23" s="50"/>
    </row>
    <row r="24" ht="15.75" customHeight="1"/>
    <row r="25" ht="15.75" customHeight="1"/>
    <row r="26" ht="15.75" customHeight="1">
      <c r="A26" s="41" t="s">
        <v>277</v>
      </c>
      <c r="E26" s="31" t="s">
        <v>158</v>
      </c>
      <c r="F26" s="42">
        <v>2.0</v>
      </c>
      <c r="G26" s="31" t="s">
        <v>243</v>
      </c>
      <c r="H26" s="42">
        <v>10.0</v>
      </c>
    </row>
    <row r="27" ht="15.75" customHeight="1">
      <c r="A27" s="6" t="s">
        <v>260</v>
      </c>
    </row>
    <row r="28" ht="15.75" customHeight="1">
      <c r="A28" s="52" t="s">
        <v>170</v>
      </c>
      <c r="B28" s="29" t="s">
        <v>56</v>
      </c>
      <c r="C28" s="18"/>
      <c r="D28" s="18"/>
      <c r="E28" s="18"/>
      <c r="F28" s="18"/>
      <c r="G28" s="18"/>
      <c r="H28" s="19"/>
    </row>
    <row r="29" ht="15.75" customHeight="1">
      <c r="A29" s="52" t="s">
        <v>170</v>
      </c>
      <c r="B29" s="29" t="s">
        <v>209</v>
      </c>
      <c r="C29" s="18"/>
      <c r="D29" s="18"/>
      <c r="E29" s="18"/>
      <c r="F29" s="18"/>
      <c r="G29" s="18"/>
      <c r="H29" s="19"/>
    </row>
    <row r="30" ht="15.75" customHeight="1">
      <c r="A30" s="52" t="s">
        <v>170</v>
      </c>
      <c r="B30" s="29" t="s">
        <v>12</v>
      </c>
      <c r="C30" s="18"/>
      <c r="D30" s="18"/>
      <c r="E30" s="18"/>
      <c r="F30" s="18"/>
      <c r="G30" s="18"/>
      <c r="H30" s="19"/>
    </row>
    <row r="31" ht="15.75" customHeight="1">
      <c r="A31" s="52" t="s">
        <v>244</v>
      </c>
      <c r="B31" s="29" t="s">
        <v>278</v>
      </c>
      <c r="C31" s="18"/>
      <c r="D31" s="18"/>
      <c r="E31" s="18"/>
      <c r="F31" s="18"/>
      <c r="G31" s="18"/>
      <c r="H31" s="19"/>
    </row>
    <row r="32" ht="15.75" customHeight="1">
      <c r="A32" s="44" t="s">
        <v>246</v>
      </c>
      <c r="B32" s="18"/>
      <c r="C32" s="18"/>
      <c r="D32" s="18"/>
      <c r="E32" s="18"/>
      <c r="F32" s="18"/>
      <c r="G32" s="18"/>
      <c r="H32" s="19"/>
    </row>
    <row r="33" ht="15.75" customHeight="1">
      <c r="A33" s="45" t="s">
        <v>279</v>
      </c>
      <c r="B33" s="46"/>
      <c r="C33" s="46"/>
      <c r="D33" s="46"/>
      <c r="E33" s="46"/>
      <c r="F33" s="46"/>
      <c r="G33" s="46"/>
      <c r="H33" s="47"/>
    </row>
    <row r="34" ht="15.75" customHeight="1">
      <c r="A34" s="57"/>
      <c r="H34" s="58"/>
    </row>
    <row r="35" ht="15.75" customHeight="1">
      <c r="A35" s="48"/>
      <c r="B35" s="49"/>
      <c r="C35" s="49"/>
      <c r="D35" s="49"/>
      <c r="E35" s="49"/>
      <c r="F35" s="49"/>
      <c r="G35" s="49"/>
      <c r="H35" s="50"/>
    </row>
    <row r="36" ht="15.75" customHeight="1">
      <c r="A36" s="44" t="s">
        <v>248</v>
      </c>
      <c r="B36" s="18"/>
      <c r="C36" s="18"/>
      <c r="D36" s="18"/>
      <c r="E36" s="18"/>
      <c r="F36" s="18"/>
      <c r="G36" s="18"/>
      <c r="H36" s="19"/>
    </row>
    <row r="37" ht="15.75" customHeight="1">
      <c r="A37" s="45" t="s">
        <v>280</v>
      </c>
      <c r="B37" s="46"/>
      <c r="C37" s="46"/>
      <c r="D37" s="46"/>
      <c r="E37" s="46"/>
      <c r="F37" s="46"/>
      <c r="G37" s="46"/>
      <c r="H37" s="47"/>
    </row>
    <row r="38" ht="15.75" customHeight="1">
      <c r="A38" s="57"/>
      <c r="H38" s="58"/>
    </row>
    <row r="39" ht="15.75" customHeight="1">
      <c r="A39" s="57"/>
      <c r="H39" s="58"/>
    </row>
    <row r="40" ht="15.75" customHeight="1">
      <c r="A40" s="48"/>
      <c r="B40" s="49"/>
      <c r="C40" s="49"/>
      <c r="D40" s="49"/>
      <c r="E40" s="49"/>
      <c r="F40" s="49"/>
      <c r="G40" s="49"/>
      <c r="H40" s="50"/>
    </row>
    <row r="41" ht="15.75" customHeight="1"/>
    <row r="42" ht="15.75" customHeight="1"/>
    <row r="43" ht="15.75" customHeight="1">
      <c r="A43" s="41" t="s">
        <v>281</v>
      </c>
      <c r="E43" s="31" t="s">
        <v>158</v>
      </c>
      <c r="F43" s="42">
        <v>2.0</v>
      </c>
      <c r="G43" s="31" t="s">
        <v>243</v>
      </c>
      <c r="H43" s="42">
        <v>7.0</v>
      </c>
    </row>
    <row r="44" ht="15.75" customHeight="1">
      <c r="A44" s="35" t="s">
        <v>256</v>
      </c>
    </row>
    <row r="45" ht="15.75" customHeight="1">
      <c r="A45" s="52" t="s">
        <v>170</v>
      </c>
      <c r="B45" s="29" t="s">
        <v>56</v>
      </c>
      <c r="C45" s="18"/>
      <c r="D45" s="18"/>
      <c r="E45" s="18"/>
      <c r="F45" s="18"/>
      <c r="G45" s="18"/>
      <c r="H45" s="19"/>
    </row>
    <row r="46" ht="15.75" customHeight="1">
      <c r="A46" s="52" t="s">
        <v>170</v>
      </c>
      <c r="B46" s="29" t="s">
        <v>209</v>
      </c>
      <c r="C46" s="18"/>
      <c r="D46" s="18"/>
      <c r="E46" s="18"/>
      <c r="F46" s="18"/>
      <c r="G46" s="18"/>
      <c r="H46" s="19"/>
    </row>
    <row r="47" ht="15.75" customHeight="1">
      <c r="A47" s="52" t="s">
        <v>170</v>
      </c>
      <c r="B47" s="29" t="s">
        <v>43</v>
      </c>
      <c r="C47" s="18"/>
      <c r="D47" s="18"/>
      <c r="E47" s="18"/>
      <c r="F47" s="18"/>
      <c r="G47" s="18"/>
      <c r="H47" s="19"/>
    </row>
    <row r="48" ht="15.75" customHeight="1">
      <c r="A48" s="52" t="s">
        <v>244</v>
      </c>
      <c r="B48" s="29" t="s">
        <v>282</v>
      </c>
      <c r="C48" s="18"/>
      <c r="D48" s="18"/>
      <c r="E48" s="18"/>
      <c r="F48" s="18"/>
      <c r="G48" s="18"/>
      <c r="H48" s="19"/>
    </row>
    <row r="49" ht="15.75" customHeight="1">
      <c r="A49" s="44" t="s">
        <v>246</v>
      </c>
      <c r="B49" s="18"/>
      <c r="C49" s="18"/>
      <c r="D49" s="18"/>
      <c r="E49" s="18"/>
      <c r="F49" s="18"/>
      <c r="G49" s="18"/>
      <c r="H49" s="19"/>
    </row>
    <row r="50" ht="15.75" customHeight="1">
      <c r="A50" s="45" t="s">
        <v>283</v>
      </c>
      <c r="B50" s="46"/>
      <c r="C50" s="46"/>
      <c r="D50" s="46"/>
      <c r="E50" s="46"/>
      <c r="F50" s="46"/>
      <c r="G50" s="46"/>
      <c r="H50" s="47"/>
    </row>
    <row r="51" ht="15.75" customHeight="1">
      <c r="A51" s="57"/>
      <c r="H51" s="58"/>
    </row>
    <row r="52" ht="15.75" customHeight="1">
      <c r="A52" s="48"/>
      <c r="B52" s="49"/>
      <c r="C52" s="49"/>
      <c r="D52" s="49"/>
      <c r="E52" s="49"/>
      <c r="F52" s="49"/>
      <c r="G52" s="49"/>
      <c r="H52" s="50"/>
    </row>
    <row r="53" ht="15.75" customHeight="1">
      <c r="A53" s="44" t="s">
        <v>248</v>
      </c>
      <c r="B53" s="18"/>
      <c r="C53" s="18"/>
      <c r="D53" s="18"/>
      <c r="E53" s="18"/>
      <c r="F53" s="18"/>
      <c r="G53" s="18"/>
      <c r="H53" s="19"/>
    </row>
    <row r="54" ht="15.75" customHeight="1">
      <c r="A54" s="70" t="s">
        <v>284</v>
      </c>
      <c r="B54" s="46"/>
      <c r="C54" s="46"/>
      <c r="D54" s="46"/>
      <c r="E54" s="46"/>
      <c r="F54" s="46"/>
      <c r="G54" s="46"/>
      <c r="H54" s="47"/>
    </row>
    <row r="55" ht="15.75" customHeight="1">
      <c r="A55" s="57"/>
      <c r="H55" s="58"/>
    </row>
    <row r="56" ht="15.75" customHeight="1">
      <c r="A56" s="57"/>
      <c r="H56" s="58"/>
    </row>
    <row r="57" ht="15.75" customHeight="1">
      <c r="A57" s="48"/>
      <c r="B57" s="49"/>
      <c r="C57" s="49"/>
      <c r="D57" s="49"/>
      <c r="E57" s="49"/>
      <c r="F57" s="49"/>
      <c r="G57" s="49"/>
      <c r="H57" s="50"/>
    </row>
    <row r="58" ht="15.75" customHeight="1"/>
    <row r="59" ht="15.75" customHeight="1"/>
    <row r="60" ht="15.75" customHeight="1">
      <c r="A60" s="41" t="s">
        <v>285</v>
      </c>
      <c r="E60" s="31" t="s">
        <v>158</v>
      </c>
      <c r="F60" s="42">
        <v>2.0</v>
      </c>
      <c r="G60" s="31" t="s">
        <v>243</v>
      </c>
      <c r="H60" s="42">
        <v>4.0</v>
      </c>
    </row>
    <row r="61" ht="15.75" customHeight="1">
      <c r="A61" s="35" t="s">
        <v>256</v>
      </c>
    </row>
    <row r="62" ht="15.75" customHeight="1">
      <c r="A62" s="52" t="s">
        <v>170</v>
      </c>
      <c r="B62" s="29" t="s">
        <v>99</v>
      </c>
      <c r="C62" s="18"/>
      <c r="D62" s="18"/>
      <c r="E62" s="18"/>
      <c r="F62" s="18"/>
      <c r="G62" s="18"/>
      <c r="H62" s="19"/>
    </row>
    <row r="63" ht="15.75" customHeight="1">
      <c r="A63" s="52" t="s">
        <v>170</v>
      </c>
      <c r="B63" s="29" t="s">
        <v>70</v>
      </c>
      <c r="C63" s="18"/>
      <c r="D63" s="18"/>
      <c r="E63" s="18"/>
      <c r="F63" s="18"/>
      <c r="G63" s="18"/>
      <c r="H63" s="19"/>
    </row>
    <row r="64" ht="15.75" customHeight="1">
      <c r="A64" s="52" t="s">
        <v>170</v>
      </c>
      <c r="B64" s="17"/>
      <c r="C64" s="18"/>
      <c r="D64" s="18"/>
      <c r="E64" s="18"/>
      <c r="F64" s="18"/>
      <c r="G64" s="18"/>
      <c r="H64" s="19"/>
    </row>
    <row r="65" ht="15.75" customHeight="1">
      <c r="A65" s="52" t="s">
        <v>244</v>
      </c>
      <c r="B65" s="29" t="s">
        <v>286</v>
      </c>
      <c r="C65" s="18"/>
      <c r="D65" s="18"/>
      <c r="E65" s="18"/>
      <c r="F65" s="18"/>
      <c r="G65" s="18"/>
      <c r="H65" s="19"/>
    </row>
    <row r="66" ht="15.75" customHeight="1">
      <c r="A66" s="44" t="s">
        <v>246</v>
      </c>
      <c r="B66" s="18"/>
      <c r="C66" s="18"/>
      <c r="D66" s="18"/>
      <c r="E66" s="18"/>
      <c r="F66" s="18"/>
      <c r="G66" s="18"/>
      <c r="H66" s="19"/>
    </row>
    <row r="67" ht="15.75" customHeight="1">
      <c r="A67" s="45" t="s">
        <v>287</v>
      </c>
      <c r="B67" s="46"/>
      <c r="C67" s="46"/>
      <c r="D67" s="46"/>
      <c r="E67" s="46"/>
      <c r="F67" s="46"/>
      <c r="G67" s="46"/>
      <c r="H67" s="47"/>
    </row>
    <row r="68" ht="15.75" customHeight="1">
      <c r="A68" s="57"/>
      <c r="H68" s="58"/>
    </row>
    <row r="69" ht="15.75" customHeight="1">
      <c r="A69" s="48"/>
      <c r="B69" s="49"/>
      <c r="C69" s="49"/>
      <c r="D69" s="49"/>
      <c r="E69" s="49"/>
      <c r="F69" s="49"/>
      <c r="G69" s="49"/>
      <c r="H69" s="50"/>
    </row>
    <row r="70" ht="15.75" customHeight="1">
      <c r="A70" s="44" t="s">
        <v>248</v>
      </c>
      <c r="B70" s="18"/>
      <c r="C70" s="18"/>
      <c r="D70" s="18"/>
      <c r="E70" s="18"/>
      <c r="F70" s="18"/>
      <c r="G70" s="18"/>
      <c r="H70" s="19"/>
    </row>
    <row r="71" ht="15.75" customHeight="1">
      <c r="A71" s="45" t="s">
        <v>288</v>
      </c>
      <c r="B71" s="46"/>
      <c r="C71" s="46"/>
      <c r="D71" s="46"/>
      <c r="E71" s="46"/>
      <c r="F71" s="46"/>
      <c r="G71" s="46"/>
      <c r="H71" s="47"/>
    </row>
    <row r="72" ht="15.75" customHeight="1">
      <c r="A72" s="57"/>
      <c r="H72" s="58"/>
    </row>
    <row r="73" ht="15.75" customHeight="1">
      <c r="A73" s="57"/>
      <c r="H73" s="58"/>
    </row>
    <row r="74" ht="15.75" customHeight="1">
      <c r="A74" s="48"/>
      <c r="B74" s="49"/>
      <c r="C74" s="49"/>
      <c r="D74" s="49"/>
      <c r="E74" s="49"/>
      <c r="F74" s="49"/>
      <c r="G74" s="49"/>
      <c r="H74" s="50"/>
    </row>
    <row r="75" ht="15.75" customHeight="1"/>
    <row r="76" ht="15.75" customHeight="1"/>
    <row r="77" ht="15.75" customHeight="1">
      <c r="A77" s="41" t="s">
        <v>289</v>
      </c>
      <c r="E77" s="31" t="s">
        <v>158</v>
      </c>
      <c r="F77" s="42">
        <v>2.0</v>
      </c>
      <c r="G77" s="31" t="s">
        <v>243</v>
      </c>
      <c r="H77" s="42">
        <v>6.0</v>
      </c>
    </row>
    <row r="78" ht="15.75" customHeight="1">
      <c r="A78" s="35" t="s">
        <v>256</v>
      </c>
    </row>
    <row r="79" ht="15.75" customHeight="1">
      <c r="A79" s="52" t="s">
        <v>170</v>
      </c>
      <c r="B79" s="29" t="s">
        <v>43</v>
      </c>
      <c r="C79" s="18"/>
      <c r="D79" s="18"/>
      <c r="E79" s="18"/>
      <c r="F79" s="18"/>
      <c r="G79" s="18"/>
      <c r="H79" s="19"/>
    </row>
    <row r="80" ht="15.75" customHeight="1">
      <c r="A80" s="52" t="s">
        <v>170</v>
      </c>
      <c r="B80" s="17"/>
      <c r="C80" s="18"/>
      <c r="D80" s="18"/>
      <c r="E80" s="18"/>
      <c r="F80" s="18"/>
      <c r="G80" s="18"/>
      <c r="H80" s="19"/>
    </row>
    <row r="81" ht="15.75" customHeight="1">
      <c r="A81" s="52" t="s">
        <v>170</v>
      </c>
      <c r="B81" s="17"/>
      <c r="C81" s="18"/>
      <c r="D81" s="18"/>
      <c r="E81" s="18"/>
      <c r="F81" s="18"/>
      <c r="G81" s="18"/>
      <c r="H81" s="19"/>
    </row>
    <row r="82" ht="15.75" customHeight="1">
      <c r="A82" s="52" t="s">
        <v>244</v>
      </c>
      <c r="B82" s="29" t="s">
        <v>290</v>
      </c>
      <c r="C82" s="18"/>
      <c r="D82" s="18"/>
      <c r="E82" s="18"/>
      <c r="F82" s="18"/>
      <c r="G82" s="18"/>
      <c r="H82" s="19"/>
    </row>
    <row r="83" ht="15.75" customHeight="1">
      <c r="A83" s="44" t="s">
        <v>246</v>
      </c>
      <c r="B83" s="18"/>
      <c r="C83" s="18"/>
      <c r="D83" s="18"/>
      <c r="E83" s="18"/>
      <c r="F83" s="18"/>
      <c r="G83" s="18"/>
      <c r="H83" s="19"/>
    </row>
    <row r="84" ht="15.75" customHeight="1">
      <c r="A84" s="45" t="s">
        <v>291</v>
      </c>
      <c r="B84" s="46"/>
      <c r="C84" s="46"/>
      <c r="D84" s="46"/>
      <c r="E84" s="46"/>
      <c r="F84" s="46"/>
      <c r="G84" s="46"/>
      <c r="H84" s="47"/>
    </row>
    <row r="85" ht="15.75" customHeight="1">
      <c r="A85" s="57"/>
      <c r="H85" s="58"/>
    </row>
    <row r="86" ht="15.75" customHeight="1">
      <c r="A86" s="48"/>
      <c r="B86" s="49"/>
      <c r="C86" s="49"/>
      <c r="D86" s="49"/>
      <c r="E86" s="49"/>
      <c r="F86" s="49"/>
      <c r="G86" s="49"/>
      <c r="H86" s="50"/>
    </row>
    <row r="87" ht="15.75" customHeight="1">
      <c r="A87" s="44" t="s">
        <v>248</v>
      </c>
      <c r="B87" s="18"/>
      <c r="C87" s="18"/>
      <c r="D87" s="18"/>
      <c r="E87" s="18"/>
      <c r="F87" s="18"/>
      <c r="G87" s="18"/>
      <c r="H87" s="19"/>
    </row>
    <row r="88" ht="15.75" customHeight="1">
      <c r="A88" s="45" t="s">
        <v>292</v>
      </c>
      <c r="B88" s="46"/>
      <c r="C88" s="46"/>
      <c r="D88" s="46"/>
      <c r="E88" s="46"/>
      <c r="F88" s="46"/>
      <c r="G88" s="46"/>
      <c r="H88" s="47"/>
    </row>
    <row r="89" ht="15.75" customHeight="1">
      <c r="A89" s="57"/>
      <c r="H89" s="58"/>
    </row>
    <row r="90" ht="15.75" customHeight="1">
      <c r="A90" s="57"/>
      <c r="H90" s="58"/>
    </row>
    <row r="91" ht="15.75" customHeight="1">
      <c r="A91" s="48"/>
      <c r="B91" s="49"/>
      <c r="C91" s="49"/>
      <c r="D91" s="49"/>
      <c r="E91" s="49"/>
      <c r="F91" s="49"/>
      <c r="G91" s="49"/>
      <c r="H91" s="50"/>
    </row>
    <row r="92" ht="15.75" customHeight="1"/>
    <row r="93" ht="15.75" customHeight="1"/>
    <row r="94" ht="15.75" customHeight="1">
      <c r="A94" s="41" t="s">
        <v>293</v>
      </c>
      <c r="E94" s="31" t="s">
        <v>158</v>
      </c>
      <c r="F94" s="64"/>
      <c r="G94" s="31" t="s">
        <v>243</v>
      </c>
      <c r="H94" s="64"/>
    </row>
    <row r="95" ht="15.75" customHeight="1">
      <c r="A95" s="35" t="s">
        <v>256</v>
      </c>
    </row>
    <row r="96" ht="15.75" customHeight="1">
      <c r="A96" s="52" t="s">
        <v>170</v>
      </c>
      <c r="B96" s="17"/>
      <c r="C96" s="18"/>
      <c r="D96" s="18"/>
      <c r="E96" s="18"/>
      <c r="F96" s="18"/>
      <c r="G96" s="18"/>
      <c r="H96" s="19"/>
    </row>
    <row r="97" ht="15.75" customHeight="1">
      <c r="A97" s="52" t="s">
        <v>170</v>
      </c>
      <c r="B97" s="17"/>
      <c r="C97" s="18"/>
      <c r="D97" s="18"/>
      <c r="E97" s="18"/>
      <c r="F97" s="18"/>
      <c r="G97" s="18"/>
      <c r="H97" s="19"/>
    </row>
    <row r="98" ht="15.75" customHeight="1">
      <c r="A98" s="52" t="s">
        <v>170</v>
      </c>
      <c r="B98" s="17"/>
      <c r="C98" s="18"/>
      <c r="D98" s="18"/>
      <c r="E98" s="18"/>
      <c r="F98" s="18"/>
      <c r="G98" s="18"/>
      <c r="H98" s="19"/>
    </row>
    <row r="99" ht="15.75" customHeight="1">
      <c r="A99" s="52" t="s">
        <v>244</v>
      </c>
      <c r="B99" s="17"/>
      <c r="C99" s="18"/>
      <c r="D99" s="18"/>
      <c r="E99" s="18"/>
      <c r="F99" s="18"/>
      <c r="G99" s="18"/>
      <c r="H99" s="19"/>
    </row>
    <row r="100" ht="15.75" customHeight="1">
      <c r="A100" s="44" t="s">
        <v>246</v>
      </c>
      <c r="B100" s="18"/>
      <c r="C100" s="18"/>
      <c r="D100" s="18"/>
      <c r="E100" s="18"/>
      <c r="F100" s="18"/>
      <c r="G100" s="18"/>
      <c r="H100" s="19"/>
    </row>
    <row r="101" ht="15.75" customHeight="1">
      <c r="A101" s="61"/>
      <c r="B101" s="46"/>
      <c r="C101" s="46"/>
      <c r="D101" s="46"/>
      <c r="E101" s="46"/>
      <c r="F101" s="46"/>
      <c r="G101" s="46"/>
      <c r="H101" s="47"/>
    </row>
    <row r="102" ht="15.75" customHeight="1">
      <c r="A102" s="57"/>
      <c r="H102" s="58"/>
    </row>
    <row r="103" ht="15.75" customHeight="1">
      <c r="A103" s="48"/>
      <c r="B103" s="49"/>
      <c r="C103" s="49"/>
      <c r="D103" s="49"/>
      <c r="E103" s="49"/>
      <c r="F103" s="49"/>
      <c r="G103" s="49"/>
      <c r="H103" s="50"/>
    </row>
    <row r="104" ht="15.75" customHeight="1">
      <c r="A104" s="44" t="s">
        <v>248</v>
      </c>
      <c r="B104" s="18"/>
      <c r="C104" s="18"/>
      <c r="D104" s="18"/>
      <c r="E104" s="18"/>
      <c r="F104" s="18"/>
      <c r="G104" s="18"/>
      <c r="H104" s="19"/>
    </row>
    <row r="105" ht="15.75" customHeight="1">
      <c r="A105" s="61"/>
      <c r="B105" s="46"/>
      <c r="C105" s="46"/>
      <c r="D105" s="46"/>
      <c r="E105" s="46"/>
      <c r="F105" s="46"/>
      <c r="G105" s="46"/>
      <c r="H105" s="47"/>
    </row>
    <row r="106" ht="15.75" customHeight="1">
      <c r="A106" s="57"/>
      <c r="H106" s="58"/>
    </row>
    <row r="107" ht="15.75" customHeight="1">
      <c r="A107" s="57"/>
      <c r="H107" s="58"/>
    </row>
    <row r="108" ht="15.75" customHeight="1">
      <c r="A108" s="48"/>
      <c r="B108" s="49"/>
      <c r="C108" s="49"/>
      <c r="D108" s="49"/>
      <c r="E108" s="49"/>
      <c r="F108" s="49"/>
      <c r="G108" s="49"/>
      <c r="H108" s="50"/>
    </row>
    <row r="109" ht="15.75" customHeight="1"/>
    <row r="110" ht="15.75" customHeight="1"/>
    <row r="111" ht="15.75" customHeight="1">
      <c r="A111" s="41" t="s">
        <v>294</v>
      </c>
      <c r="E111" s="31" t="s">
        <v>158</v>
      </c>
      <c r="F111" s="64"/>
      <c r="G111" s="31" t="s">
        <v>243</v>
      </c>
      <c r="H111" s="64"/>
    </row>
    <row r="112" ht="15.75" customHeight="1">
      <c r="A112" s="35" t="s">
        <v>256</v>
      </c>
    </row>
    <row r="113" ht="15.75" customHeight="1">
      <c r="A113" s="52" t="s">
        <v>170</v>
      </c>
      <c r="B113" s="17"/>
      <c r="C113" s="18"/>
      <c r="D113" s="18"/>
      <c r="E113" s="18"/>
      <c r="F113" s="18"/>
      <c r="G113" s="18"/>
      <c r="H113" s="19"/>
    </row>
    <row r="114" ht="15.75" customHeight="1">
      <c r="A114" s="52" t="s">
        <v>170</v>
      </c>
      <c r="B114" s="17"/>
      <c r="C114" s="18"/>
      <c r="D114" s="18"/>
      <c r="E114" s="18"/>
      <c r="F114" s="18"/>
      <c r="G114" s="18"/>
      <c r="H114" s="19"/>
    </row>
    <row r="115" ht="15.75" customHeight="1">
      <c r="A115" s="52" t="s">
        <v>170</v>
      </c>
      <c r="B115" s="17"/>
      <c r="C115" s="18"/>
      <c r="D115" s="18"/>
      <c r="E115" s="18"/>
      <c r="F115" s="18"/>
      <c r="G115" s="18"/>
      <c r="H115" s="19"/>
    </row>
    <row r="116" ht="15.75" customHeight="1">
      <c r="A116" s="52" t="s">
        <v>244</v>
      </c>
      <c r="B116" s="17"/>
      <c r="C116" s="18"/>
      <c r="D116" s="18"/>
      <c r="E116" s="18"/>
      <c r="F116" s="18"/>
      <c r="G116" s="18"/>
      <c r="H116" s="19"/>
    </row>
    <row r="117" ht="15.75" customHeight="1">
      <c r="A117" s="44" t="s">
        <v>246</v>
      </c>
      <c r="B117" s="18"/>
      <c r="C117" s="18"/>
      <c r="D117" s="18"/>
      <c r="E117" s="18"/>
      <c r="F117" s="18"/>
      <c r="G117" s="18"/>
      <c r="H117" s="19"/>
    </row>
    <row r="118" ht="15.75" customHeight="1">
      <c r="A118" s="61"/>
      <c r="B118" s="46"/>
      <c r="C118" s="46"/>
      <c r="D118" s="46"/>
      <c r="E118" s="46"/>
      <c r="F118" s="46"/>
      <c r="G118" s="46"/>
      <c r="H118" s="47"/>
    </row>
    <row r="119" ht="15.75" customHeight="1">
      <c r="A119" s="57"/>
      <c r="H119" s="58"/>
    </row>
    <row r="120" ht="15.75" customHeight="1">
      <c r="A120" s="48"/>
      <c r="B120" s="49"/>
      <c r="C120" s="49"/>
      <c r="D120" s="49"/>
      <c r="E120" s="49"/>
      <c r="F120" s="49"/>
      <c r="G120" s="49"/>
      <c r="H120" s="50"/>
    </row>
    <row r="121" ht="15.75" customHeight="1">
      <c r="A121" s="44" t="s">
        <v>248</v>
      </c>
      <c r="B121" s="18"/>
      <c r="C121" s="18"/>
      <c r="D121" s="18"/>
      <c r="E121" s="18"/>
      <c r="F121" s="18"/>
      <c r="G121" s="18"/>
      <c r="H121" s="19"/>
    </row>
    <row r="122" ht="15.75" customHeight="1">
      <c r="A122" s="61"/>
      <c r="B122" s="46"/>
      <c r="C122" s="46"/>
      <c r="D122" s="46"/>
      <c r="E122" s="46"/>
      <c r="F122" s="46"/>
      <c r="G122" s="46"/>
      <c r="H122" s="47"/>
    </row>
    <row r="123" ht="15.75" customHeight="1">
      <c r="A123" s="57"/>
      <c r="H123" s="58"/>
    </row>
    <row r="124" ht="15.75" customHeight="1">
      <c r="A124" s="57"/>
      <c r="H124" s="58"/>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4"/>
    </row>
    <row r="2" ht="15.75" customHeight="1">
      <c r="A2" s="14"/>
      <c r="B2" s="39" t="s">
        <v>295</v>
      </c>
    </row>
    <row r="3" ht="15.75" customHeight="1">
      <c r="A3" s="14"/>
    </row>
    <row r="4" ht="15.75" customHeight="1">
      <c r="A4" s="14"/>
      <c r="B4" s="3" t="s">
        <v>1</v>
      </c>
      <c r="C4" s="3" t="str">
        <f>'Diseño'!C4</f>
        <v>970 - Redes de Computadoras 1</v>
      </c>
    </row>
    <row r="5" ht="15.75" customHeight="1">
      <c r="A5" s="14"/>
      <c r="B5" s="14" t="s">
        <v>3</v>
      </c>
      <c r="C5" s="5" t="s">
        <v>4</v>
      </c>
    </row>
    <row r="6" ht="15.75" customHeight="1">
      <c r="A6" s="14"/>
      <c r="B6" s="14" t="s">
        <v>296</v>
      </c>
      <c r="H6" s="76"/>
    </row>
    <row r="7" ht="15.75" customHeight="1">
      <c r="A7" s="14"/>
    </row>
    <row r="8" ht="15.75" customHeight="1">
      <c r="A8" s="14"/>
    </row>
    <row r="9" ht="15.75" customHeight="1">
      <c r="A9" s="31" t="s">
        <v>297</v>
      </c>
      <c r="B9" s="77">
        <v>8.0</v>
      </c>
      <c r="D9" s="31" t="s">
        <v>240</v>
      </c>
      <c r="E9" s="77">
        <v>2.0</v>
      </c>
      <c r="F9" s="78"/>
      <c r="G9" s="78"/>
      <c r="H9" s="78"/>
      <c r="I9" s="78"/>
      <c r="J9" s="78"/>
      <c r="K9" s="78"/>
      <c r="L9" s="78"/>
      <c r="M9" s="78"/>
      <c r="N9" s="78"/>
      <c r="O9" s="78"/>
      <c r="P9" s="78"/>
      <c r="Q9" s="78"/>
      <c r="R9" s="78"/>
      <c r="S9" s="78"/>
      <c r="T9" s="78"/>
      <c r="U9" s="78"/>
      <c r="V9" s="78"/>
      <c r="W9" s="78"/>
      <c r="X9" s="78"/>
      <c r="Y9" s="78"/>
      <c r="Z9" s="78"/>
    </row>
    <row r="10" ht="48.75" customHeight="1">
      <c r="A10" s="34" t="s">
        <v>298</v>
      </c>
      <c r="D10" s="34" t="s">
        <v>299</v>
      </c>
    </row>
    <row r="11" ht="15.75" customHeight="1">
      <c r="A11" s="79"/>
      <c r="B11" s="80"/>
      <c r="C11" s="80"/>
      <c r="D11" s="80"/>
    </row>
    <row r="12" ht="15.75" customHeight="1">
      <c r="A12" s="81" t="s">
        <v>190</v>
      </c>
      <c r="B12" s="82" t="s">
        <v>300</v>
      </c>
      <c r="C12" s="82" t="s">
        <v>301</v>
      </c>
      <c r="D12" s="82" t="s">
        <v>302</v>
      </c>
    </row>
    <row r="13">
      <c r="A13" s="40" t="s">
        <v>303</v>
      </c>
      <c r="B13" s="66">
        <v>21.0</v>
      </c>
      <c r="C13" s="66">
        <v>0.0</v>
      </c>
      <c r="D13" s="83" t="s">
        <v>304</v>
      </c>
      <c r="E13" s="34"/>
    </row>
    <row r="14" ht="15.75" customHeight="1">
      <c r="A14" s="40" t="s">
        <v>240</v>
      </c>
      <c r="B14" s="20">
        <f>Proyectos!C6</f>
        <v>55</v>
      </c>
      <c r="C14" s="20">
        <f>Proyectos!C5</f>
        <v>75</v>
      </c>
      <c r="D14" s="20"/>
    </row>
    <row r="15" ht="15.75" customHeight="1">
      <c r="A15" s="40" t="s">
        <v>257</v>
      </c>
      <c r="B15" s="20">
        <f>Practicas!C6</f>
        <v>14</v>
      </c>
      <c r="C15" s="20">
        <f>Practicas!C5</f>
        <v>40</v>
      </c>
      <c r="D15" s="20"/>
    </row>
    <row r="16" ht="23.25" customHeight="1">
      <c r="A16" s="40" t="s">
        <v>271</v>
      </c>
      <c r="B16" s="20">
        <f>Tareas!C6</f>
        <v>10</v>
      </c>
      <c r="C16" s="20">
        <f>Tareas!C5</f>
        <v>29</v>
      </c>
      <c r="D16" s="20"/>
    </row>
    <row r="17" ht="15.75" customHeight="1">
      <c r="A17" s="84" t="s">
        <v>305</v>
      </c>
      <c r="B17" s="85">
        <f t="shared" ref="B17:C17" si="1">SUM(B13:B16)</f>
        <v>100</v>
      </c>
      <c r="C17" s="85">
        <f t="shared" si="1"/>
        <v>144</v>
      </c>
      <c r="D17" s="85"/>
    </row>
    <row r="18" ht="15.75" customHeight="1">
      <c r="A18" s="14"/>
    </row>
    <row r="19" ht="15.75" customHeight="1">
      <c r="A19" s="14"/>
    </row>
    <row r="20" ht="15.75" customHeight="1">
      <c r="A20" s="14"/>
    </row>
    <row r="21" ht="15.75" customHeight="1">
      <c r="A21" s="14"/>
    </row>
    <row r="22" ht="15.75" customHeight="1">
      <c r="A22" s="14"/>
    </row>
    <row r="23" ht="15.75" customHeight="1">
      <c r="A23" s="14"/>
    </row>
    <row r="24" ht="15.75" customHeight="1">
      <c r="A24" s="14"/>
    </row>
    <row r="25" ht="15.75" customHeight="1">
      <c r="A25" s="14"/>
    </row>
    <row r="26" ht="15.75" customHeight="1">
      <c r="A26" s="14"/>
    </row>
    <row r="27" ht="15.75" customHeight="1">
      <c r="A27" s="14"/>
    </row>
    <row r="28" ht="15.75" customHeight="1">
      <c r="A28" s="14"/>
    </row>
    <row r="29" ht="15.75" customHeight="1">
      <c r="A29" s="14"/>
    </row>
    <row r="30" ht="15.75" customHeight="1">
      <c r="A30" s="14"/>
    </row>
    <row r="31" ht="15.75" customHeight="1">
      <c r="A31" s="14"/>
    </row>
    <row r="32" ht="15.75" customHeight="1">
      <c r="A32" s="14"/>
    </row>
    <row r="33" ht="15.75" customHeight="1">
      <c r="A33" s="14"/>
    </row>
    <row r="34" ht="15.75" customHeight="1">
      <c r="A34" s="14"/>
    </row>
    <row r="35" ht="15.75" customHeight="1">
      <c r="A35" s="14"/>
    </row>
    <row r="36" ht="15.75" customHeight="1">
      <c r="A36" s="14"/>
    </row>
    <row r="37" ht="15.75" customHeight="1">
      <c r="A37" s="14"/>
    </row>
    <row r="38" ht="15.75" customHeight="1">
      <c r="A38" s="14"/>
    </row>
    <row r="39" ht="15.75" customHeight="1">
      <c r="A39" s="14"/>
    </row>
    <row r="40" ht="15.75" customHeight="1">
      <c r="A40" s="14"/>
    </row>
    <row r="41" ht="15.75" customHeight="1">
      <c r="A41" s="14"/>
    </row>
    <row r="42" ht="15.75" customHeight="1">
      <c r="A42" s="14"/>
    </row>
    <row r="43" ht="15.75" customHeight="1">
      <c r="A43" s="14"/>
    </row>
    <row r="44" ht="15.75" customHeight="1">
      <c r="A44" s="14"/>
    </row>
    <row r="45" ht="15.75" customHeight="1">
      <c r="A45" s="14"/>
    </row>
    <row r="46" ht="15.75" customHeight="1">
      <c r="A46" s="14"/>
    </row>
    <row r="47" ht="15.75" customHeight="1">
      <c r="A47" s="14"/>
    </row>
    <row r="48" ht="15.75" customHeight="1">
      <c r="A48" s="14"/>
    </row>
    <row r="49" ht="15.75" customHeight="1">
      <c r="A49" s="14"/>
    </row>
    <row r="50" ht="15.75" customHeight="1">
      <c r="A50" s="14"/>
    </row>
    <row r="51" ht="15.75" customHeight="1">
      <c r="A51" s="14"/>
    </row>
    <row r="52" ht="15.75" customHeight="1">
      <c r="A52" s="14"/>
    </row>
    <row r="53" ht="15.75" customHeight="1">
      <c r="A53" s="14"/>
    </row>
    <row r="54" ht="15.75" customHeight="1">
      <c r="A54" s="14"/>
    </row>
    <row r="55" ht="15.75" customHeight="1">
      <c r="A55" s="14"/>
    </row>
    <row r="56" ht="15.75" customHeight="1">
      <c r="A56" s="14"/>
    </row>
    <row r="57" ht="15.75" customHeight="1">
      <c r="A57" s="14"/>
    </row>
    <row r="58" ht="15.75" customHeight="1">
      <c r="A58" s="14"/>
    </row>
    <row r="59" ht="15.75" customHeight="1">
      <c r="A59" s="14"/>
    </row>
    <row r="60" ht="15.75" customHeight="1">
      <c r="A60" s="14"/>
    </row>
    <row r="61" ht="15.75" customHeight="1">
      <c r="A61" s="14"/>
    </row>
    <row r="62" ht="15.75" customHeight="1">
      <c r="A62" s="14"/>
    </row>
    <row r="63" ht="15.75" customHeight="1">
      <c r="A63" s="14"/>
    </row>
    <row r="64" ht="15.75" customHeight="1">
      <c r="A64" s="14"/>
    </row>
    <row r="65" ht="15.75" customHeight="1">
      <c r="A65" s="14"/>
    </row>
    <row r="66" ht="15.75" customHeight="1">
      <c r="A66" s="14"/>
    </row>
    <row r="67" ht="15.75" customHeight="1">
      <c r="A67" s="14"/>
    </row>
    <row r="68" ht="15.75" customHeight="1">
      <c r="A68" s="14"/>
    </row>
    <row r="69" ht="15.75" customHeight="1">
      <c r="A69" s="14"/>
    </row>
    <row r="70" ht="15.75" customHeight="1">
      <c r="A70" s="14"/>
    </row>
    <row r="71" ht="15.75" customHeight="1">
      <c r="A71" s="14"/>
    </row>
    <row r="72" ht="15.75" customHeight="1">
      <c r="A72" s="14"/>
    </row>
    <row r="73" ht="15.75" customHeight="1">
      <c r="A73" s="14"/>
    </row>
    <row r="74" ht="15.75" customHeight="1">
      <c r="A74" s="14"/>
    </row>
    <row r="75" ht="15.75" customHeight="1">
      <c r="A75" s="14"/>
    </row>
    <row r="76" ht="15.75" customHeight="1">
      <c r="A76" s="14"/>
    </row>
    <row r="77" ht="15.75" customHeight="1">
      <c r="A77" s="14"/>
    </row>
    <row r="78" ht="15.75" customHeight="1">
      <c r="A78" s="14"/>
    </row>
    <row r="79" ht="15.75" customHeight="1">
      <c r="A79" s="14"/>
    </row>
    <row r="80" ht="15.75" customHeight="1">
      <c r="A80" s="14"/>
    </row>
    <row r="81" ht="15.75" customHeight="1">
      <c r="A81" s="14"/>
    </row>
    <row r="82" ht="15.75" customHeight="1">
      <c r="A82" s="14"/>
    </row>
    <row r="83" ht="15.75" customHeight="1">
      <c r="A83" s="14"/>
    </row>
    <row r="84" ht="15.75" customHeight="1">
      <c r="A84" s="14"/>
    </row>
    <row r="85" ht="15.75" customHeight="1">
      <c r="A85" s="14"/>
    </row>
    <row r="86" ht="15.75" customHeight="1">
      <c r="A86" s="14"/>
    </row>
    <row r="87" ht="15.75" customHeight="1">
      <c r="A87" s="14"/>
    </row>
    <row r="88" ht="15.75" customHeight="1">
      <c r="A88" s="14"/>
    </row>
    <row r="89" ht="15.75" customHeight="1">
      <c r="A89" s="14"/>
    </row>
    <row r="90" ht="15.75" customHeight="1">
      <c r="A90" s="14"/>
    </row>
    <row r="91" ht="15.75" customHeight="1">
      <c r="A91" s="14"/>
    </row>
    <row r="92" ht="15.75" customHeight="1">
      <c r="A92" s="14"/>
    </row>
    <row r="93" ht="15.75" customHeight="1">
      <c r="A93" s="14"/>
    </row>
    <row r="94" ht="15.75" customHeight="1">
      <c r="A94" s="14"/>
    </row>
    <row r="95" ht="15.75" customHeight="1">
      <c r="A95" s="14"/>
    </row>
    <row r="96" ht="15.75" customHeight="1">
      <c r="A96" s="14"/>
    </row>
    <row r="97" ht="15.75" customHeight="1">
      <c r="A97" s="14"/>
    </row>
    <row r="98" ht="15.75" customHeight="1">
      <c r="A98" s="14"/>
    </row>
    <row r="99" ht="15.75" customHeight="1">
      <c r="A99" s="14"/>
    </row>
    <row r="100" ht="15.75" customHeight="1">
      <c r="A100" s="14"/>
    </row>
    <row r="101" ht="15.75" customHeight="1">
      <c r="A101" s="14"/>
    </row>
    <row r="102" ht="15.75" customHeight="1">
      <c r="A102" s="14"/>
    </row>
    <row r="103" ht="15.75" customHeight="1">
      <c r="A103" s="14"/>
    </row>
    <row r="104" ht="15.75" customHeight="1">
      <c r="A104" s="14"/>
    </row>
    <row r="105" ht="15.75" customHeight="1">
      <c r="A105" s="14"/>
    </row>
    <row r="106" ht="15.75" customHeight="1">
      <c r="A106" s="14"/>
    </row>
    <row r="107" ht="15.75" customHeight="1">
      <c r="A107" s="14"/>
    </row>
    <row r="108" ht="15.75" customHeight="1">
      <c r="A108" s="14"/>
    </row>
    <row r="109" ht="15.75" customHeight="1">
      <c r="A109" s="14"/>
    </row>
    <row r="110" ht="15.75" customHeight="1">
      <c r="A110" s="14"/>
    </row>
    <row r="111" ht="15.75" customHeight="1">
      <c r="A111" s="14"/>
    </row>
    <row r="112" ht="15.75" customHeight="1">
      <c r="A112" s="14"/>
    </row>
    <row r="113" ht="15.75" customHeight="1">
      <c r="A113" s="14"/>
    </row>
    <row r="114" ht="15.75" customHeight="1">
      <c r="A114" s="14"/>
    </row>
    <row r="115" ht="15.75" customHeight="1">
      <c r="A115" s="14"/>
    </row>
    <row r="116" ht="15.75" customHeight="1">
      <c r="A116" s="14"/>
    </row>
    <row r="117" ht="15.75" customHeight="1">
      <c r="A117" s="14"/>
    </row>
    <row r="118" ht="15.75" customHeight="1">
      <c r="A118" s="14"/>
    </row>
    <row r="119" ht="15.75" customHeight="1">
      <c r="A119" s="14"/>
    </row>
    <row r="120" ht="15.75" customHeight="1">
      <c r="A120" s="14"/>
    </row>
    <row r="121" ht="15.75" customHeight="1">
      <c r="A121" s="14"/>
    </row>
    <row r="122" ht="15.75" customHeight="1">
      <c r="A122" s="14"/>
    </row>
    <row r="123" ht="15.75" customHeight="1">
      <c r="A123" s="14"/>
    </row>
    <row r="124" ht="15.75" customHeight="1">
      <c r="A124" s="14"/>
    </row>
    <row r="125" ht="15.75" customHeight="1">
      <c r="A125" s="14"/>
    </row>
    <row r="126" ht="15.75" customHeight="1">
      <c r="A126" s="14"/>
    </row>
    <row r="127" ht="15.75" customHeight="1">
      <c r="A127" s="14"/>
    </row>
    <row r="128" ht="15.75" customHeight="1">
      <c r="A128" s="14"/>
    </row>
    <row r="129" ht="15.75" customHeight="1">
      <c r="A129" s="14"/>
    </row>
    <row r="130" ht="15.75" customHeight="1">
      <c r="A130" s="14"/>
    </row>
    <row r="131" ht="15.75" customHeight="1">
      <c r="A131" s="14"/>
    </row>
    <row r="132" ht="15.75" customHeight="1">
      <c r="A132" s="14"/>
    </row>
    <row r="133" ht="15.75" customHeight="1">
      <c r="A133" s="14"/>
    </row>
    <row r="134" ht="15.75" customHeight="1">
      <c r="A134" s="14"/>
    </row>
    <row r="135" ht="15.75" customHeight="1">
      <c r="A135" s="14"/>
    </row>
    <row r="136" ht="15.75" customHeight="1">
      <c r="A136" s="14"/>
    </row>
    <row r="137" ht="15.75" customHeight="1">
      <c r="A137" s="14"/>
    </row>
    <row r="138" ht="15.75" customHeight="1">
      <c r="A138" s="14"/>
    </row>
    <row r="139" ht="15.75" customHeight="1">
      <c r="A139" s="14"/>
    </row>
    <row r="140" ht="15.75" customHeight="1">
      <c r="A140" s="14"/>
    </row>
    <row r="141" ht="15.75" customHeight="1">
      <c r="A141" s="14"/>
    </row>
    <row r="142" ht="15.75" customHeight="1">
      <c r="A142" s="14"/>
    </row>
    <row r="143" ht="15.75" customHeight="1">
      <c r="A143" s="14"/>
    </row>
    <row r="144" ht="15.75" customHeight="1">
      <c r="A144" s="14"/>
    </row>
    <row r="145" ht="15.75" customHeight="1">
      <c r="A145" s="14"/>
    </row>
    <row r="146" ht="15.75" customHeight="1">
      <c r="A146" s="14"/>
    </row>
    <row r="147" ht="15.75" customHeight="1">
      <c r="A147" s="14"/>
    </row>
    <row r="148" ht="15.75" customHeight="1">
      <c r="A148" s="14"/>
    </row>
    <row r="149" ht="15.75" customHeight="1">
      <c r="A149" s="14"/>
    </row>
    <row r="150" ht="15.75" customHeight="1">
      <c r="A150" s="14"/>
    </row>
    <row r="151" ht="15.75" customHeight="1">
      <c r="A151" s="14"/>
    </row>
    <row r="152" ht="15.75" customHeight="1">
      <c r="A152" s="14"/>
    </row>
    <row r="153" ht="15.75" customHeight="1">
      <c r="A153" s="14"/>
    </row>
    <row r="154" ht="15.75" customHeight="1">
      <c r="A154" s="14"/>
    </row>
    <row r="155" ht="15.75" customHeight="1">
      <c r="A155" s="14"/>
    </row>
    <row r="156" ht="15.75" customHeight="1">
      <c r="A156" s="14"/>
    </row>
    <row r="157" ht="15.75" customHeight="1">
      <c r="A157" s="14"/>
    </row>
    <row r="158" ht="15.75" customHeight="1">
      <c r="A158" s="14"/>
    </row>
    <row r="159" ht="15.75" customHeight="1">
      <c r="A159" s="14"/>
    </row>
    <row r="160" ht="15.75" customHeight="1">
      <c r="A160" s="14"/>
    </row>
    <row r="161" ht="15.75" customHeight="1">
      <c r="A161" s="14"/>
    </row>
    <row r="162" ht="15.75" customHeight="1">
      <c r="A162" s="14"/>
    </row>
    <row r="163" ht="15.75" customHeight="1">
      <c r="A163" s="14"/>
    </row>
    <row r="164" ht="15.75" customHeight="1">
      <c r="A164" s="14"/>
    </row>
    <row r="165" ht="15.75" customHeight="1">
      <c r="A165" s="14"/>
    </row>
    <row r="166" ht="15.75" customHeight="1">
      <c r="A166" s="14"/>
    </row>
    <row r="167" ht="15.75" customHeight="1">
      <c r="A167" s="14"/>
    </row>
    <row r="168" ht="15.75" customHeight="1">
      <c r="A168" s="14"/>
    </row>
    <row r="169" ht="15.75" customHeight="1">
      <c r="A169" s="14"/>
    </row>
    <row r="170" ht="15.75" customHeight="1">
      <c r="A170" s="14"/>
    </row>
    <row r="171" ht="15.75" customHeight="1">
      <c r="A171" s="14"/>
    </row>
    <row r="172" ht="15.75" customHeight="1">
      <c r="A172" s="14"/>
    </row>
    <row r="173" ht="15.75" customHeight="1">
      <c r="A173" s="14"/>
    </row>
    <row r="174" ht="15.75" customHeight="1">
      <c r="A174" s="14"/>
    </row>
    <row r="175" ht="15.75" customHeight="1">
      <c r="A175" s="14"/>
    </row>
    <row r="176" ht="15.75" customHeight="1">
      <c r="A176" s="14"/>
    </row>
    <row r="177" ht="15.75" customHeight="1">
      <c r="A177" s="14"/>
    </row>
    <row r="178" ht="15.75" customHeight="1">
      <c r="A178" s="14"/>
    </row>
    <row r="179" ht="15.75" customHeight="1">
      <c r="A179" s="14"/>
    </row>
    <row r="180" ht="15.75" customHeight="1">
      <c r="A180" s="14"/>
    </row>
    <row r="181" ht="15.75" customHeight="1">
      <c r="A181" s="14"/>
    </row>
    <row r="182" ht="15.75" customHeight="1">
      <c r="A182" s="14"/>
    </row>
    <row r="183" ht="15.75" customHeight="1">
      <c r="A183" s="14"/>
    </row>
    <row r="184" ht="15.75" customHeight="1">
      <c r="A184" s="14"/>
    </row>
    <row r="185" ht="15.75" customHeight="1">
      <c r="A185" s="14"/>
    </row>
    <row r="186" ht="15.75" customHeight="1">
      <c r="A186" s="14"/>
    </row>
    <row r="187" ht="15.75" customHeight="1">
      <c r="A187" s="14"/>
    </row>
    <row r="188" ht="15.75" customHeight="1">
      <c r="A188" s="14"/>
    </row>
    <row r="189" ht="15.75" customHeight="1">
      <c r="A189" s="14"/>
    </row>
    <row r="190" ht="15.75" customHeight="1">
      <c r="A190" s="14"/>
    </row>
    <row r="191" ht="15.75" customHeight="1">
      <c r="A191" s="14"/>
    </row>
    <row r="192" ht="15.75" customHeight="1">
      <c r="A192" s="14"/>
    </row>
    <row r="193" ht="15.75" customHeight="1">
      <c r="A193" s="14"/>
    </row>
    <row r="194" ht="15.75" customHeight="1">
      <c r="A194" s="14"/>
    </row>
    <row r="195" ht="15.75" customHeight="1">
      <c r="A195" s="14"/>
    </row>
    <row r="196" ht="15.75" customHeight="1">
      <c r="A196" s="14"/>
    </row>
    <row r="197" ht="15.75" customHeight="1">
      <c r="A197" s="14"/>
    </row>
    <row r="198" ht="15.75" customHeight="1">
      <c r="A198" s="14"/>
    </row>
    <row r="199" ht="15.75" customHeight="1">
      <c r="A199" s="14"/>
    </row>
    <row r="200" ht="15.75" customHeight="1">
      <c r="A200" s="14"/>
    </row>
    <row r="201" ht="15.75" customHeight="1">
      <c r="A201" s="14"/>
    </row>
    <row r="202" ht="15.75" customHeight="1">
      <c r="A202" s="14"/>
    </row>
    <row r="203" ht="15.75" customHeight="1">
      <c r="A203" s="14"/>
    </row>
    <row r="204" ht="15.75" customHeight="1">
      <c r="A204" s="14"/>
    </row>
    <row r="205" ht="15.75" customHeight="1">
      <c r="A205" s="14"/>
    </row>
    <row r="206" ht="15.75" customHeight="1">
      <c r="A206" s="14"/>
    </row>
    <row r="207" ht="15.75" customHeight="1">
      <c r="A207" s="14"/>
    </row>
    <row r="208" ht="15.75" customHeight="1">
      <c r="A208" s="14"/>
    </row>
    <row r="209" ht="15.75" customHeight="1">
      <c r="A209" s="14"/>
    </row>
    <row r="210" ht="15.75" customHeight="1">
      <c r="A210" s="14"/>
    </row>
    <row r="211" ht="15.75" customHeight="1">
      <c r="A211" s="14"/>
    </row>
    <row r="212" ht="15.75" customHeight="1">
      <c r="A212" s="14"/>
    </row>
    <row r="213" ht="15.75" customHeight="1">
      <c r="A213" s="14"/>
    </row>
    <row r="214" ht="15.75" customHeight="1">
      <c r="A214" s="14"/>
    </row>
    <row r="215" ht="15.75" customHeight="1">
      <c r="A215" s="14"/>
    </row>
    <row r="216" ht="15.75" customHeight="1">
      <c r="A216" s="14"/>
    </row>
    <row r="217" ht="15.75" customHeight="1">
      <c r="A217" s="14"/>
    </row>
    <row r="218" ht="15.75" customHeight="1">
      <c r="A218" s="14"/>
    </row>
    <row r="219" ht="15.75" customHeight="1">
      <c r="A219" s="14"/>
    </row>
    <row r="220" ht="15.75" customHeight="1">
      <c r="A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IFERROR(__xludf.DUMMYFUNCTION("""COMPUTED_VALUE"""),"General")</f>
        <v>General</v>
      </c>
      <c r="J1" s="5" t="str">
        <f>IFERROR(__xludf.DUMMYFUNCTION("""COMPUTED_VALUE"""),"El estudiante será capaz de diseñar, implementar y evaluar")</f>
        <v>El estudiante será capaz de diseñar, implementar y evaluar</v>
      </c>
      <c r="K1" s="5" t="str">
        <f>IFERROR(__xludf.DUMMYFUNCTION("""COMPUTED_VALUE"""),"redes de computadoras a nivel de las capas física, de enlace de datos y de red del modelo OSI")</f>
        <v>redes de computadoras a nivel de las capas física, de enlace de datos y de red del modelo OSI</v>
      </c>
      <c r="L1" s="5"/>
      <c r="M1" s="5" t="str">
        <f>IFERROR(__xludf.DUMMYFUNCTION("""COMPUTED_VALUE"""),"aplicando conocimientos de cableado estructurado, direccionamiento IP, segmentación con VLANs y enrutamiento,")</f>
        <v>aplicando conocimientos de cableado estructurado, direccionamiento IP, segmentación con VLANs y enrutamiento,</v>
      </c>
      <c r="N1" s="5" t="str">
        <f>IFERROR(__xludf.DUMMYFUNCTION("""COMPUTED_VALUE"""),"para garantizar la conectividad, el rendimiento y la solución de problemas en entornos profesionales.")</f>
        <v>para garantizar la conectividad, el rendimiento y la solución de problemas en entornos profesionales.</v>
      </c>
      <c r="O1" s="5"/>
      <c r="P1" s="5" t="str">
        <f>IFERROR(__xludf.DUMMYFUNCTION("""COMPUTED_VALUE"""),"Crear")</f>
        <v>Crear</v>
      </c>
    </row>
    <row r="2" ht="15.75" customHeight="1">
      <c r="A2" s="5" t="str">
        <f>IFERROR(__xludf.DUMMYFUNCTION("""COMPUTED_VALUE"""),"17 - Área Social Humanística 1")</f>
        <v>17 - Área Social Humanística 1</v>
      </c>
      <c r="B2" s="5"/>
      <c r="C2" s="5"/>
      <c r="D2" s="5"/>
      <c r="E2" s="5"/>
      <c r="H2" s="5"/>
      <c r="I2" s="5" t="str">
        <f>IFERROR(__xludf.DUMMYFUNCTION("""COMPUTED_VALUE"""),"El estudiante será capaz de diseñar, implementar y evaluar redes de computadoras a nivel de las capas física, de enlace de datos y de red del modelo OSI aplicando conocimientos de cableado estructurado, direccionamiento IP, segmentación con VLANs y enruta"&amp;"miento, para garantizar la conectividad, el rendimiento y la solución de problemas en entornos profesionales. ")</f>
        <v>El estudiante será capaz de diseñar, implementar y evaluar redes de computadoras a nivel de las capas física, de enlace de datos y de red del modelo OSI aplicando conocimientos de cableado estructurado, direccionamiento IP, segmentación con VLANs y enrutamiento, para garantizar la conectividad, el rendimiento y la solución de problemas en entornos profesionales.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IFERROR(__xludf.DUMMYFUNCTION("""COMPUTED_VALUE"""),"El estudiante crea")</f>
        <v>El estudiante crea</v>
      </c>
      <c r="K3" s="5" t="str">
        <f>IFERROR(__xludf.DUMMYFUNCTION("""COMPUTED_VALUE"""),"una red empresarial funcional y segmentada")</f>
        <v>una red empresarial funcional y segmentada</v>
      </c>
      <c r="L3" s="5"/>
      <c r="M3" s="5" t="str">
        <f>IFERROR(__xludf.DUMMYFUNCTION("""COMPUTED_VALUE"""),"utilizando simuladores de red y esándares de cableado estructurado,")</f>
        <v>utilizando simuladores de red y esándares de cableado estructurado,</v>
      </c>
      <c r="N3" s="5" t="str">
        <f>IFERROR(__xludf.DUMMYFUNCTION("""COMPUTED_VALUE"""),"que cumpla con requisitos de comunicación, optimización de IP y alta desponibilidad.")</f>
        <v>que cumpla con requisitos de comunicación, optimización de IP y alta desponibilidad.</v>
      </c>
      <c r="O3" s="5"/>
      <c r="P3" s="5" t="str">
        <f>IFERROR(__xludf.DUMMYFUNCTION("""COMPUTED_VALUE"""),"Crear")</f>
        <v>Crear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IFERROR(__xludf.DUMMYFUNCTION("""COMPUTED_VALUE"""),"El estudiante crea una red empresarial funcional y segmentada utilizando simuladores de red y esándares de cableado estructurado, que cumpla con requisitos de comunicación, optimización de IP y alta desponibilidad. ")</f>
        <v>El estudiante crea una red empresarial funcional y segmentada utilizando simuladores de red y esándares de cableado estructurado, que cumpla con requisitos de comunicación, optimización de IP y alta desponibilidad.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IFERROR(__xludf.DUMMYFUNCTION("""COMPUTED_VALUE"""),"El estudiante aplica")</f>
        <v>El estudiante aplica</v>
      </c>
      <c r="K5" s="5" t="str">
        <f>IFERROR(__xludf.DUMMYFUNCTION("""COMPUTED_VALUE"""),"estrategias de subneteo fijo y variable")</f>
        <v>estrategias de subneteo fijo y variable</v>
      </c>
      <c r="L5" s="5"/>
      <c r="M5" s="5" t="str">
        <f>IFERROR(__xludf.DUMMYFUNCTION("""COMPUTED_VALUE"""),"mediante cálculos de rangos y asignación eficiente en direcciones IP")</f>
        <v>mediante cálculos de rangos y asignación eficiente en direcciones IP</v>
      </c>
      <c r="N5" s="5" t="str">
        <f>IFERROR(__xludf.DUMMYFUNCTION("""COMPUTED_VALUE"""),"para optimizar la cantidad de IP disponibles en la red")</f>
        <v>para optimizar la cantidad de IP disponibles en la red</v>
      </c>
      <c r="O5" s="5"/>
      <c r="P5" s="5" t="str">
        <f>IFERROR(__xludf.DUMMYFUNCTION("""COMPUTED_VALUE"""),"Aplicar")</f>
        <v>Aplicar</v>
      </c>
    </row>
    <row r="6" ht="15.75" customHeight="1">
      <c r="A6" s="5" t="str">
        <f>IFERROR(__xludf.DUMMYFUNCTION("""COMPUTED_VALUE"""),"6 - Idioma Tecnico 1")</f>
        <v>6 - Idioma Tecnico 1</v>
      </c>
      <c r="B6" s="5"/>
      <c r="C6" s="5"/>
      <c r="D6" s="5"/>
      <c r="E6" s="5"/>
      <c r="H6" s="5"/>
      <c r="I6" s="5" t="str">
        <f>IFERROR(__xludf.DUMMYFUNCTION("""COMPUTED_VALUE"""),"El estudiante aplica estrategias de subneteo fijo y variable mediante cálculos de rangos y asignación eficiente en direcciones IP para optimizar la cantidad de IP disponibles en la red ")</f>
        <v>El estudiante aplica estrategias de subneteo fijo y variable mediante cálculos de rangos y asignación eficiente en direcciones IP para optimizar la cantidad de IP disponibles en la red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IFERROR(__xludf.DUMMYFUNCTION("""COMPUTED_VALUE"""),"El estudiante aplica")</f>
        <v>El estudiante aplica</v>
      </c>
      <c r="K7" s="5" t="str">
        <f>IFERROR(__xludf.DUMMYFUNCTION("""COMPUTED_VALUE"""),"los principios de cableado estructurado")</f>
        <v>los principios de cableado estructurado</v>
      </c>
      <c r="L7" s="5"/>
      <c r="M7" s="5" t="str">
        <f>IFERROR(__xludf.DUMMYFUNCTION("""COMPUTED_VALUE"""),"utilizando normas y estándares internacionales")</f>
        <v>utilizando normas y estándares internacionales</v>
      </c>
      <c r="N7" s="5" t="str">
        <f>IFERROR(__xludf.DUMMYFUNCTION("""COMPUTED_VALUE"""),"para configurar dispositivos de capa 2 y 3 siguiendo los protocolos y conceptos generales de redes para asegurar una infraestructura eficiente")</f>
        <v>para configurar dispositivos de capa 2 y 3 siguiendo los protocolos y conceptos generales de redes para asegurar una infraestructura eficiente</v>
      </c>
      <c r="O7" s="5"/>
      <c r="P7" s="5" t="str">
        <f>IFERROR(__xludf.DUMMYFUNCTION("""COMPUTED_VALUE"""),"Aplicar")</f>
        <v>Aplicar</v>
      </c>
    </row>
    <row r="8" ht="15.75" customHeight="1">
      <c r="A8" s="5" t="str">
        <f>IFERROR(__xludf.DUMMYFUNCTION("""COMPUTED_VALUE"""),"103 - Área Matemática Básica 2")</f>
        <v>103 - Área Matemática Básica 2</v>
      </c>
      <c r="B8" s="5"/>
      <c r="C8" s="5"/>
      <c r="D8" s="5"/>
      <c r="E8" s="5"/>
      <c r="H8" s="5"/>
      <c r="I8" s="5" t="str">
        <f>IFERROR(__xludf.DUMMYFUNCTION("""COMPUTED_VALUE"""),"El estudiante aplica los principios de cableado estructurado utilizando normas y estándares internacionales para configurar dispositivos de capa 2 y 3 siguiendo los protocolos y conceptos generales de redes para asegurar una infraestructura eficiente ")</f>
        <v>El estudiante aplica los principios de cableado estructurado utilizando normas y estándares internacionales para configurar dispositivos de capa 2 y 3 siguiendo los protocolos y conceptos generales de redes para asegurar una infraestructura eficiente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IFERROR(__xludf.DUMMYFUNCTION("""COMPUTED_VALUE"""),"El estudiante es capaz de diseñar y configurar")</f>
        <v>El estudiante es capaz de diseñar y configurar</v>
      </c>
      <c r="K9" s="5" t="str">
        <f>IFERROR(__xludf.DUMMYFUNCTION("""COMPUTED_VALUE"""),"una topología de red")</f>
        <v>una topología de red</v>
      </c>
      <c r="L9" s="5"/>
      <c r="M9" s="5" t="str">
        <f>IFERROR(__xludf.DUMMYFUNCTION("""COMPUTED_VALUE"""),"con subredes y enrutamiento estático/dinámico")</f>
        <v>con subredes y enrutamiento estático/dinámico</v>
      </c>
      <c r="N9" s="5" t="str">
        <f>IFERROR(__xludf.DUMMYFUNCTION("""COMPUTED_VALUE"""),"que cumpla con requerimientos de eficiencia, redundancia y  seguridad.")</f>
        <v>que cumpla con requerimientos de eficiencia, redundancia y  seguridad.</v>
      </c>
      <c r="O9" s="5"/>
      <c r="P9" s="5" t="str">
        <f>IFERROR(__xludf.DUMMYFUNCTION("""COMPUTED_VALUE"""),"Crear")</f>
        <v>Crear</v>
      </c>
    </row>
    <row r="10" ht="15.75" customHeight="1">
      <c r="A10" s="5" t="str">
        <f>IFERROR(__xludf.DUMMYFUNCTION("""COMPUTED_VALUE"""),"147 - Física Básica")</f>
        <v>147 - Física Básica</v>
      </c>
      <c r="B10" s="5"/>
      <c r="C10" s="5"/>
      <c r="D10" s="5"/>
      <c r="E10" s="5"/>
      <c r="H10" s="5"/>
      <c r="I10" s="5" t="str">
        <f>IFERROR(__xludf.DUMMYFUNCTION("""COMPUTED_VALUE"""),"El estudiante es capaz de diseñar y configurar una topología de red con subredes y enrutamiento estático/dinámico que cumpla con requerimientos de eficiencia, redundancia y  seguridad. ")</f>
        <v>El estudiante es capaz de diseñar y configurar una topología de red con subredes y enrutamiento estático/dinámico que cumpla con requerimientos de eficiencia, redundancia y  seguridad.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IFERROR(__xludf.DUMMYFUNCTION("""COMPUTED_VALUE"""),"El estudiante será capaz de implementar y verificar ")</f>
        <v>El estudiante será capaz de implementar y verificar </v>
      </c>
      <c r="K11" s="5" t="str">
        <f>IFERROR(__xludf.DUMMYFUNCTION("""COMPUTED_VALUE"""),"segmentación y redundancia en redes")</f>
        <v>segmentación y redundancia en redes</v>
      </c>
      <c r="L11" s="5"/>
      <c r="M11" s="5" t="str">
        <f>IFERROR(__xludf.DUMMYFUNCTION("""COMPUTED_VALUE"""),"mediante la configuración de VLANs, VTP, STP y EtherChannel en switches Cisco,")</f>
        <v>mediante la configuración de VLANs, VTP, STP y EtherChannel en switches Cisco,</v>
      </c>
      <c r="N11" s="5" t="str">
        <f>IFERROR(__xludf.DUMMYFUNCTION("""COMPUTED_VALUE"""),"garantizando conectividad estable y evitando bucles en la topología.")</f>
        <v>garantizando conectividad estable y evitando bucles en la topología.</v>
      </c>
      <c r="O11" s="5"/>
      <c r="P11" s="5" t="str">
        <f>IFERROR(__xludf.DUMMYFUNCTION("""COMPUTED_VALUE"""),"Crear")</f>
        <v>Crear</v>
      </c>
    </row>
    <row r="12" ht="15.75" customHeight="1">
      <c r="A12" s="5" t="str">
        <f>IFERROR(__xludf.DUMMYFUNCTION("""COMPUTED_VALUE"""),"8 - Idioma Técnico 2")</f>
        <v>8 - Idioma Técnico 2</v>
      </c>
      <c r="B12" s="5"/>
      <c r="C12" s="5"/>
      <c r="D12" s="5"/>
      <c r="E12" s="5"/>
      <c r="H12" s="5"/>
      <c r="I12" s="5" t="str">
        <f>IFERROR(__xludf.DUMMYFUNCTION("""COMPUTED_VALUE"""),"El estudiante será capaz de implementar y verificar  segmentación y redundancia en redes mediante la configuración de VLANs, VTP, STP y EtherChannel en switches Cisco, garantizando conectividad estable y evitando bucles en la topología. ")</f>
        <v>El estudiante será capaz de implementar y verificar  segmentación y redundancia en redes mediante la configuración de VLANs, VTP, STP y EtherChannel en switches Cisco, garantizando conectividad estable y evitando bucles en la topología.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c r="K13" s="5"/>
      <c r="L13" s="5"/>
      <c r="M13" s="5"/>
      <c r="N13" s="5"/>
      <c r="O13" s="5"/>
      <c r="P13" s="5"/>
    </row>
    <row r="14" ht="15.75" customHeight="1">
      <c r="A14" s="5" t="str">
        <f>IFERROR(__xludf.DUMMYFUNCTION("""COMPUTED_VALUE"""),"962 - Matemática Para Computación 2")</f>
        <v>962 - Matemática Para Computación 2</v>
      </c>
      <c r="B14" s="5"/>
      <c r="C14" s="5"/>
      <c r="D14" s="5"/>
      <c r="E14" s="5"/>
      <c r="H14" s="5"/>
      <c r="I14" s="5" t="str">
        <f>IFERROR(__xludf.DUMMYFUNCTION("""COMPUTED_VALUE"""),"    ")</f>
        <v>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El estudiante será capaz de diseñar, implementar y evaluar redes de computadoras a nivel de las capas física, de enlace de datos y de red del modelo OSI aplicando conocimientos de cableado estructurado, direccionamiento IP, segmentación con VLANs y enrutamiento, para garantizar la conectividad, el rendimiento y la solución de problemas en entornos profesionales. </v>
      </c>
    </row>
    <row r="18" ht="15.75" customHeight="1">
      <c r="A18" s="5" t="str">
        <f>IFERROR(__xludf.DUMMYFUNCTION("""COMPUTED_VALUE"""),"1 - Ética Profesional")</f>
        <v>1 - Ética Profesional</v>
      </c>
      <c r="B18" s="5"/>
      <c r="C18" s="5"/>
      <c r="D18" s="5"/>
      <c r="E18" s="5"/>
      <c r="I18" s="5" t="str">
        <f>I4</f>
        <v>El estudiante crea una red empresarial funcional y segmentada utilizando simuladores de red y esándares de cableado estructurado, que cumpla con requisitos de comunicación, optimización de IP y alta desponibilidad. </v>
      </c>
    </row>
    <row r="19" ht="15.75" customHeight="1">
      <c r="A19" s="5" t="str">
        <f>IFERROR(__xludf.DUMMYFUNCTION("""COMPUTED_VALUE"""),"9 - Idioma Técnico 3")</f>
        <v>9 - Idioma Técnico 3</v>
      </c>
      <c r="B19" s="5"/>
      <c r="C19" s="5"/>
      <c r="D19" s="5"/>
      <c r="E19" s="5"/>
      <c r="I19" s="5" t="str">
        <f>I6</f>
        <v>El estudiante aplica estrategias de subneteo fijo y variable mediante cálculos de rangos y asignación eficiente en direcciones IP para optimizar la cantidad de IP disponibles en la red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El estudiante aplica los principios de cableado estructurado utilizando normas y estándares internacionales para configurar dispositivos de capa 2 y 3 siguiendo los protocolos y conceptos generales de redes para asegurar una infraestructura eficiente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El estudiante es capaz de diseñar y configurar una topología de red con subredes y enrutamiento estático/dinámico que cumpla con requerimientos de eficiencia, redundancia y  seguridad. </v>
      </c>
    </row>
    <row r="22" ht="15.75" customHeight="1">
      <c r="A22" s="5" t="str">
        <f>IFERROR(__xludf.DUMMYFUNCTION("""COMPUTED_VALUE"""),"112 - Área Matemática Intermedia 2")</f>
        <v>112 - Área Matemática Intermedia 2</v>
      </c>
      <c r="B22" s="5"/>
      <c r="C22" s="5"/>
      <c r="D22" s="5"/>
      <c r="E22" s="5"/>
      <c r="I22" s="5" t="str">
        <f>I12</f>
        <v>El estudiante será capaz de implementar y verificar  segmentación y redundancia en redes mediante la configuración de VLANs, VTP, STP y EtherChannel en switches Cisco, garantizando conectividad estable y evitando bucles en la topología. </v>
      </c>
    </row>
    <row r="23" ht="15.75" customHeight="1">
      <c r="A23" s="5" t="str">
        <f>IFERROR(__xludf.DUMMYFUNCTION("""COMPUTED_VALUE"""),"114 - Área Matemática Intermedia 3")</f>
        <v>114 - Área Matemática Intermedia 3</v>
      </c>
      <c r="B23" s="5"/>
      <c r="C23" s="5"/>
      <c r="D23" s="5"/>
      <c r="E23" s="5"/>
      <c r="I23" s="5" t="str">
        <f>I14</f>
        <v>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