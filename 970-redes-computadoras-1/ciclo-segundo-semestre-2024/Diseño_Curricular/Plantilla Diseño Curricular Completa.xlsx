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  <sheet state="visible" name="Ejemplo" sheetId="3" r:id="rId6"/>
    <sheet state="visible" name="S1" sheetId="4" r:id="rId7"/>
    <sheet state="visible" name="S2" sheetId="5" r:id="rId8"/>
    <sheet state="visible" name="S3" sheetId="6" r:id="rId9"/>
    <sheet state="visible" name="S4" sheetId="7" r:id="rId10"/>
    <sheet state="visible" name="S5" sheetId="8" r:id="rId11"/>
    <sheet state="visible" name="S6" sheetId="9" r:id="rId12"/>
    <sheet state="visible" name="S7" sheetId="10" r:id="rId13"/>
    <sheet state="visible" name="S8" sheetId="11" r:id="rId14"/>
    <sheet state="visible" name="S9" sheetId="12" r:id="rId15"/>
    <sheet state="visible" name="S10" sheetId="13" r:id="rId16"/>
    <sheet state="visible" name="S11" sheetId="14" r:id="rId17"/>
    <sheet state="visible" name="S12" sheetId="15" r:id="rId18"/>
    <sheet state="visible" name="S13" sheetId="16" r:id="rId19"/>
    <sheet state="visible" name="S14" sheetId="17" r:id="rId20"/>
    <sheet state="visible" name="S15" sheetId="18" r:id="rId21"/>
    <sheet state="visible" name="Videos de Ayuda" sheetId="19" r:id="rId22"/>
  </sheets>
  <definedNames/>
  <calcPr/>
  <extLst>
    <ext uri="GoogleSheetsCustomDataVersion2">
      <go:sheetsCustomData xmlns:go="http://customooxmlschemas.google.com/" r:id="rId23" roundtripDataChecksum="3xuF1iRlt39fmS6i8r99Xz1FQ7vUs6TeFc5p0y8JTSU="/>
    </ext>
  </extLst>
</workbook>
</file>

<file path=xl/sharedStrings.xml><?xml version="1.0" encoding="utf-8"?>
<sst xmlns="http://schemas.openxmlformats.org/spreadsheetml/2006/main" count="807" uniqueCount="223">
  <si>
    <t>Numero</t>
  </si>
  <si>
    <t>Nombre de la Meta</t>
  </si>
  <si>
    <t>Descripcion de la Meta</t>
  </si>
  <si>
    <t xml:space="preserve">Configurar Dispositivos de Red Básicos </t>
  </si>
  <si>
    <t>Aprender a configurar los dispositivos de red fundamentales, tanto localmente como de manera remota, para establecer una red básica utilizando conmutación, ARP, y acceso al medio.</t>
  </si>
  <si>
    <t>Implementar topologías de red</t>
  </si>
  <si>
    <t>Adquirir habilidades prácticas para implementar diferentes topologías de red y garantizar su correcto funcionamiento según las necesidades especificadas.</t>
  </si>
  <si>
    <t>Configurar VLANs y enrutamiento entre VLANs</t>
  </si>
  <si>
    <t>Aprender a crear y gestionar VLANs, configurar el enrutamiento entre VLANs, y asegurar la segmentación de la red y la gestión del tráfico.</t>
  </si>
  <si>
    <t>Comprender los Modelos de Referencia OSI y TCP/IP</t>
  </si>
  <si>
    <t>Estudiar los modelos que conformar una topologia de red (OSI y TCP/IP), sus funciones y cómo se relacionan con los protocolos de red para entender la comunicación entre dispositivos en una red.</t>
  </si>
  <si>
    <t>Implementar Protocolos de Ruteo Dinámico</t>
  </si>
  <si>
    <t>Estudiar y configurar los principales protocolos de ruteo dinámico para asegurar la comunicación entre diferentes redes, utilizando técnicas como VLSM y FLSM para optimizar el uso de direcciones IP.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</si>
  <si>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</si>
  <si>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</si>
  <si>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</si>
  <si>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</si>
  <si>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</si>
  <si>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</si>
  <si>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</si>
  <si>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Conceptos Generales y Configuraciones Básicas</t>
  </si>
  <si>
    <t>Conceptos Generales</t>
  </si>
  <si>
    <t xml:space="preserve">Redes de Comunicación
</t>
  </si>
  <si>
    <t>Diseño de Infraestructura de Red con Segmentación por Áreas y Niveles</t>
  </si>
  <si>
    <t>Tipos de redes</t>
  </si>
  <si>
    <t>Elementos de una Red</t>
  </si>
  <si>
    <t>Topologías</t>
  </si>
  <si>
    <t>Modelo de Referencia OSI</t>
  </si>
  <si>
    <t>Modelo de Referencia TCP/IP</t>
  </si>
  <si>
    <t xml:space="preserve">Protocolos
</t>
  </si>
  <si>
    <t>Cableado estructurado</t>
  </si>
  <si>
    <t>Elementos de un sistema de cableado estructurado</t>
  </si>
  <si>
    <t>Medios de Transmisión</t>
  </si>
  <si>
    <t>Normas y Estándares</t>
  </si>
  <si>
    <t>Cableado Vertical</t>
  </si>
  <si>
    <t>Cableado Horizontal</t>
  </si>
  <si>
    <t>Gestión de Cables y Organización</t>
  </si>
  <si>
    <t>Data Center</t>
  </si>
  <si>
    <t>Configuraciones Básicas, Hub, Switch</t>
  </si>
  <si>
    <t>Modos de Acceso Local</t>
  </si>
  <si>
    <t>Modos de Acceso Remoto</t>
  </si>
  <si>
    <t>Tipos de Acceso</t>
  </si>
  <si>
    <t>Acceso al Medio en Redes LAN</t>
  </si>
  <si>
    <t>Conmutación de Paquetes (Switching)</t>
  </si>
  <si>
    <t>Protocolo ARP (Address Resolution Protocol)</t>
  </si>
  <si>
    <t>Comparativa entre Hub y Switch</t>
  </si>
  <si>
    <t>Configuraciones Básicas Router, Firewall y Acces point</t>
  </si>
  <si>
    <t>Configuración de Interfaces en Router</t>
  </si>
  <si>
    <t xml:space="preserve">Redireccionamiento de Puertos en Router </t>
  </si>
  <si>
    <t>Políticas de Seguridad en Firewall</t>
  </si>
  <si>
    <t>Control de Acceso en Firewall</t>
  </si>
  <si>
    <t>Configuración de Access Points</t>
  </si>
  <si>
    <t>Configuración de Seguridad en Redes</t>
  </si>
  <si>
    <t>Modos de Operación en Access Points</t>
  </si>
  <si>
    <t>Tecnologías de Segmentación y Optimización de Redes en Capa 2</t>
  </si>
  <si>
    <t xml:space="preserve">VLAN’S </t>
  </si>
  <si>
    <t>Definición de VLAN</t>
  </si>
  <si>
    <t>Implementación de Red Local para "Empresa X.S.A"</t>
  </si>
  <si>
    <t>Tipos de VLANs</t>
  </si>
  <si>
    <t>Creación de VLANs en Switches</t>
  </si>
  <si>
    <t>Asignación de Puertos en Modo Acceso</t>
  </si>
  <si>
    <t>Modo Troncal (Trunk) en VLANs</t>
  </si>
  <si>
    <t>Beneficios y Desafíos del Uso de VLANs</t>
  </si>
  <si>
    <t>Etiquetado de VLANs</t>
  </si>
  <si>
    <t>VTP</t>
  </si>
  <si>
    <t>Modos de Operación de VTP</t>
  </si>
  <si>
    <t>Dominios VTP</t>
  </si>
  <si>
    <t>Revisión de Versiones VTP</t>
  </si>
  <si>
    <t>Propagación de VLANs mediante VTP</t>
  </si>
  <si>
    <t>Seguridad en VTP</t>
  </si>
  <si>
    <t>Problemas Comunes con VTP</t>
  </si>
  <si>
    <t>Simulación de VTP en Redes Virtuales</t>
  </si>
  <si>
    <t>STP</t>
  </si>
  <si>
    <t xml:space="preserve">Definición del protocolo de STP </t>
  </si>
  <si>
    <t xml:space="preserve">Funcionamiento de STP </t>
  </si>
  <si>
    <t>Propiedades del Protocolo STP</t>
  </si>
  <si>
    <t>Modos de Configuración</t>
  </si>
  <si>
    <t>Dominios de Colisión</t>
  </si>
  <si>
    <t>Dominios de Broadcast</t>
  </si>
  <si>
    <t>Configuración y Optimizacion de STP en Switches</t>
  </si>
  <si>
    <t>Port-Channel</t>
  </si>
  <si>
    <t>Modos de Operación de Port-Channel</t>
  </si>
  <si>
    <t>Ventajas de la Agregación de Enlaces</t>
  </si>
  <si>
    <t>Configuración de Port-Channel en Switches</t>
  </si>
  <si>
    <t>Detección y Solución de Problemas en Port-Channel</t>
  </si>
  <si>
    <t>Interacción entre Port-Channel y STP</t>
  </si>
  <si>
    <t>Monitorización del Rendimiento de Port-Channel</t>
  </si>
  <si>
    <t>Integración de Port-Channel con VLANs</t>
  </si>
  <si>
    <t xml:space="preserve">Gestión y Optimización del Ruteo </t>
  </si>
  <si>
    <t>Ruteo</t>
  </si>
  <si>
    <t>¿Que es enrutamiento?</t>
  </si>
  <si>
    <t>Diseño y Simulación de Red para pequeñas empresas</t>
  </si>
  <si>
    <t>Tipos de Ruteo</t>
  </si>
  <si>
    <t>Tablas de Enrutamiento</t>
  </si>
  <si>
    <t>Propiedades de los Protocolos de Ruteo</t>
  </si>
  <si>
    <t>Protocolos de Ruteo Dinámico</t>
  </si>
  <si>
    <t>Configuración de Rutas Estáticas en un Router</t>
  </si>
  <si>
    <t>Redistribución de Rutas entre Protocolos de Ruteo</t>
  </si>
  <si>
    <t>HSRP, VRRP y GLBP</t>
  </si>
  <si>
    <t>Configuración de Alta Disponibilidad con HSRP</t>
  </si>
  <si>
    <t>Comparativa entre HSRP, VRRP y GLBP</t>
  </si>
  <si>
    <t>Configuración de VRRP</t>
  </si>
  <si>
    <t>Configuración de GLBP</t>
  </si>
  <si>
    <t>Solución de Problemas en Redes con HSRP, VRRP y GLBP</t>
  </si>
  <si>
    <t>Configuración de Prioridades en HSRP, VRRP y GLBP</t>
  </si>
  <si>
    <t>Integración de HSRP, VRRP y GLBP con VLANs</t>
  </si>
  <si>
    <t>Ruteo InterVLAN</t>
  </si>
  <si>
    <t>Ruteo InterVLAN. ¿Qué es?</t>
  </si>
  <si>
    <t>Interconexión de Sedes Regionales con VLANs y Enrutamiento Dinámico para empresas en vías de desarrollo</t>
  </si>
  <si>
    <t>Propiedades del Ruteo InterVLAN</t>
  </si>
  <si>
    <t>Métodos de Implementación del Ruteo InterVLAN</t>
  </si>
  <si>
    <t>Router-on-a-Stick: Configuración</t>
  </si>
  <si>
    <t>Router-on-a-Stick: Funcionamiento</t>
  </si>
  <si>
    <t>Configuración de Ruteo InterVLAN en Switches Capa 3</t>
  </si>
  <si>
    <t>Resolución de Problemas en Ruteo InterVLAN</t>
  </si>
  <si>
    <t>VLSM y FLSM</t>
  </si>
  <si>
    <t>Configuración de Subneteo Fijo (FLSM)</t>
  </si>
  <si>
    <t>Implementación de Subneteo Variable (VLSM)</t>
  </si>
  <si>
    <t>Comparación entre FLSM y VLSM</t>
  </si>
  <si>
    <t>Cálculo de Rango de Direcciones en VLSM</t>
  </si>
  <si>
    <t>Optimización del Uso de Direcciones IP con VLSM</t>
  </si>
  <si>
    <t>Resolución de Problemas de Subneteo con FLSM y VLSM</t>
  </si>
  <si>
    <t>Asignación de Direcciones IP Eficiente con VLSM y FLSM</t>
  </si>
  <si>
    <t>Protocolos de Ruteo Dinámico en Redes IP</t>
  </si>
  <si>
    <t>Ruteo Dinámico RIP</t>
  </si>
  <si>
    <t xml:space="preserve">Definición de RIP </t>
  </si>
  <si>
    <t>Versiones de RIP (RIP v1, RIP v2 y RIPng)</t>
  </si>
  <si>
    <t>Métricas y Limitaciones en RIP</t>
  </si>
  <si>
    <t>Propagación de Rutas en RIP</t>
  </si>
  <si>
    <t>Configuración de RIP en Routers</t>
  </si>
  <si>
    <t>Autenticación en RIP v2</t>
  </si>
  <si>
    <t>Problemas Comunes y Soluciones en el ruteo RIP</t>
  </si>
  <si>
    <t>Ruteo Dinámico (OSPF, EIGRP Y BGP)</t>
  </si>
  <si>
    <t xml:space="preserve">Configuración Básica de OSPF </t>
  </si>
  <si>
    <t>Implementación de EIGRP</t>
  </si>
  <si>
    <t>Simulación de Ruteo Externo con BGP</t>
  </si>
  <si>
    <t>Ajuste de Métricas en OSPF y EIGRP</t>
  </si>
  <si>
    <t>Ruteo Multicast con OSPF y EIGRP</t>
  </si>
  <si>
    <t>Redistribución de Rutas entre OSPF, EIGRP y BGP</t>
  </si>
  <si>
    <t>Autenticación en Protocolos de Ruteo Dinámico</t>
  </si>
  <si>
    <t>Mes</t>
  </si>
  <si>
    <t>Enero</t>
  </si>
  <si>
    <t>Semana</t>
  </si>
  <si>
    <t>Habilidades de Resolución de Problemas y Lógicas</t>
  </si>
  <si>
    <t>Fundamentos de Algoritmos y Pensamiento Computacional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</si>
  <si>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</si>
  <si>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</si>
  <si>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</si>
  <si>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</si>
  <si>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</si>
  <si>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</si>
  <si>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</si>
  <si>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Tiempo aproximado</t>
  </si>
  <si>
    <t>Pensamiento Algorítmico para la Resolución de Problemas Complejos</t>
  </si>
  <si>
    <t>X</t>
  </si>
  <si>
    <t>Algoritmos Aplicados en Ciencias: Biología, Criptografía, Finanzas y Más</t>
  </si>
  <si>
    <t>Comprendiendo los Sistemas Numéricos</t>
  </si>
  <si>
    <t>x</t>
  </si>
  <si>
    <t>Creación de Algoritmos Interactivos con Scratch</t>
  </si>
  <si>
    <t>Taller Práctico: Resolución de Problemas y Aplicación de Algoritmos</t>
  </si>
  <si>
    <t>Evaluación de Conocimientos: Cuestionario de Algoritmos y Sistemas Numéricos</t>
  </si>
  <si>
    <t>Tiempo Total</t>
  </si>
  <si>
    <t>Total Ponderación</t>
  </si>
  <si>
    <t>Tiempo aproximado en minutos</t>
  </si>
  <si>
    <t>Ponderación</t>
  </si>
  <si>
    <t>Redes de Comunicación</t>
  </si>
  <si>
    <t>Modelo de Referencia OSI y TCP/IP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</si>
  <si>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</si>
  <si>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</si>
  <si>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</si>
  <si>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</si>
  <si>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</si>
  <si>
    <t>Cableado Vertical y Horizontal</t>
  </si>
  <si>
    <r>
      <rPr>
        <rFont val="Arial Rounded"/>
        <color rgb="FF1F1F1F"/>
        <sz val="10.0"/>
      </rPr>
      <t>Colocar X en la casilla del recurso que se utilizara</t>
    </r>
  </si>
  <si>
    <t xml:space="preserve">Configuraciones Básicas, Hub, Switch
</t>
  </si>
  <si>
    <t>Modos de Acceso Local y Remoto</t>
  </si>
  <si>
    <r>
      <rPr>
        <rFont val="Arial Rounded"/>
        <color rgb="FF1F1F1F"/>
        <sz val="10.0"/>
      </rPr>
      <t>Colocar X en la casilla del recurso que se utilizara</t>
    </r>
  </si>
  <si>
    <t xml:space="preserve">Configuraciones Básicas Router, Firewall y Acces point
</t>
  </si>
  <si>
    <t>Control de Acceso en Firewall y Access Points</t>
  </si>
  <si>
    <r>
      <rPr>
        <rFont val="Arial Rounded"/>
        <color rgb="FF1F1F1F"/>
        <sz val="10.0"/>
      </rPr>
      <t>Colocar X en la casilla del recurso que se utilizara</t>
    </r>
  </si>
  <si>
    <t xml:space="preserve">VLAN’S 
</t>
  </si>
  <si>
    <t>Definición y tipos de VLANs</t>
  </si>
  <si>
    <r>
      <rPr>
        <rFont val="Arial Rounded"/>
        <color rgb="FF1F1F1F"/>
        <sz val="10.0"/>
      </rPr>
      <t>Colocar X en la casilla del recurso que se utilizara</t>
    </r>
  </si>
  <si>
    <t xml:space="preserve">Tecnologías de Segmentación y Optimización de Redes en Capa 2
</t>
  </si>
  <si>
    <t xml:space="preserve">VTP
</t>
  </si>
  <si>
    <t>Dominios y versiones VTP</t>
  </si>
  <si>
    <t>Seguridad y problemas comunes en VTP</t>
  </si>
  <si>
    <r>
      <rPr>
        <rFont val="Arial Rounded"/>
        <color rgb="FF1F1F1F"/>
        <sz val="10.0"/>
      </rPr>
      <t>Colocar X en la casilla del recurso que se utilizara</t>
    </r>
  </si>
  <si>
    <t xml:space="preserve">Tecnologías de Segmentación y Optimización de Redes en Capa 2
</t>
  </si>
  <si>
    <t xml:space="preserve">STP
</t>
  </si>
  <si>
    <t xml:space="preserve">Definición y funcionamiento del protocolo de STP </t>
  </si>
  <si>
    <t>Dominios de Colisión y Broadcast</t>
  </si>
  <si>
    <r>
      <rPr>
        <rFont val="Arial Rounded"/>
        <color rgb="FF1F1F1F"/>
        <sz val="10.0"/>
      </rPr>
      <t>Colocar X en la casilla del recurso que se utilizara</t>
    </r>
  </si>
  <si>
    <t xml:space="preserve">Port-Channel
</t>
  </si>
  <si>
    <r>
      <rPr>
        <rFont val="Arial Rounded"/>
        <color rgb="FF1F1F1F"/>
        <sz val="10.0"/>
      </rPr>
      <t>Colocar X en la casilla del recurso que se utilizara</t>
    </r>
  </si>
  <si>
    <t xml:space="preserve">Gestión y Optimización del Ruteo 
</t>
  </si>
  <si>
    <t xml:space="preserve">Ruteo
</t>
  </si>
  <si>
    <t xml:space="preserve">¿Que es enrutamiento? Tipos de enrutamiento </t>
  </si>
  <si>
    <r>
      <rPr>
        <rFont val="Arial Rounded"/>
        <color rgb="FF1F1F1F"/>
        <sz val="10.0"/>
      </rPr>
      <t>Colocar X en la casilla del recurso que se utilizara</t>
    </r>
  </si>
  <si>
    <t xml:space="preserve">HSRP, VRRP y GLBP
</t>
  </si>
  <si>
    <t>Configuración de VRRP y GLBP</t>
  </si>
  <si>
    <r>
      <rPr>
        <rFont val="Arial Rounded"/>
        <color rgb="FF1F1F1F"/>
        <sz val="10.0"/>
      </rPr>
      <t>Colocar X en la casilla del recurso que se utilizara</t>
    </r>
  </si>
  <si>
    <t xml:space="preserve">Ruteo InterVLAN
</t>
  </si>
  <si>
    <t>Prioridades y Ruteo InterVLAN. ¿Qué es?</t>
  </si>
  <si>
    <r>
      <rPr>
        <rFont val="Arial Rounded"/>
        <color rgb="FF1F1F1F"/>
        <sz val="10.0"/>
      </rPr>
      <t>Colocar X en la casilla del recurso que se utilizara</t>
    </r>
  </si>
  <si>
    <t xml:space="preserve">VLSM y FLSM
</t>
  </si>
  <si>
    <r>
      <rPr>
        <rFont val="Arial Rounded"/>
        <color rgb="FF1F1F1F"/>
        <sz val="10.0"/>
      </rPr>
      <t>Colocar X en la casilla del recurso que se utilizara</t>
    </r>
  </si>
  <si>
    <t xml:space="preserve">Protocolos de Ruteo Dinámico en Redes IP
</t>
  </si>
  <si>
    <t xml:space="preserve">Ruteo Dinámico RIP
</t>
  </si>
  <si>
    <t>Métricas, Limitaciones y Propagacion de rutas en RIP</t>
  </si>
  <si>
    <r>
      <rPr>
        <rFont val="Arial Rounded"/>
        <color rgb="FF1F1F1F"/>
        <sz val="10.0"/>
      </rPr>
      <t>Colocar X en la casilla del recurso que se utilizara</t>
    </r>
  </si>
  <si>
    <t xml:space="preserve">Ruteo Dinámico (OSPF, EIGRP Y BGP)
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</si>
  <si>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</si>
  <si>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</si>
  <si>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>Hola</t>
  </si>
  <si>
    <t>Estos videos pueden ayudarte en esta fase.  No son los unicos pero te pueden orientar.</t>
  </si>
  <si>
    <t>https://www.youtube.com/watch?v=ScUjxQKew8w&amp;list=PL0hSg7EfpImPPBvCDcdKdWv8ghCTadoyi&amp;index=6</t>
  </si>
  <si>
    <t>https://www.youtube.com/watch?v=ZbqzVbZec34&amp;list=PL0hSg7EfpImPPBvCDcdKdWv8ghCTadoyi&amp;index=1</t>
  </si>
  <si>
    <t>Preguntale a chatgpt</t>
  </si>
  <si>
    <t>pasos para realizar una analisis de contexto para poder diseñar un curso de ..... en la carrera de ingenieria en ciencias y sistemas</t>
  </si>
  <si>
    <t>Que dudas tiene un estudiantes que desea aprender ....</t>
  </si>
  <si>
    <t>En el rol de catedratico universitario que imparte el curso de .....   realizar el diseño curricular</t>
  </si>
  <si>
    <t xml:space="preserve">Recuerda que la IA es una herramienta  y  tu eres el Ingeniero que crea IA's.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</si>
</sst>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5.0"/>
      <color rgb="FF0D0D0D"/>
      <name val="Arial"/>
    </font>
    <font/>
    <font>
      <sz val="16.0"/>
      <color theme="1"/>
      <name val="Arial"/>
    </font>
    <font>
      <sz val="16.0"/>
      <color rgb="FF0D0D0D"/>
      <name val="Arial"/>
    </font>
    <font>
      <color rgb="FF000000"/>
      <name val="Arial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b/>
      <sz val="12.0"/>
      <color rgb="FFFFFFFF"/>
      <name val="Arial"/>
    </font>
    <font>
      <sz val="11.0"/>
      <color rgb="FF1F1F1F"/>
      <name val="Arial"/>
    </font>
    <font>
      <sz val="11.0"/>
      <color theme="1"/>
      <name val="Arial"/>
    </font>
    <font>
      <color rgb="FFFFFFFF"/>
      <name val="Arial"/>
    </font>
    <font>
      <b/>
      <sz val="12.0"/>
      <color theme="1"/>
      <name val="Arial"/>
    </font>
    <font>
      <color theme="1"/>
      <name val="Arial Rounded"/>
    </font>
    <font>
      <sz val="10.0"/>
      <color theme="1"/>
      <name val="Arial"/>
    </font>
    <font>
      <sz val="12.0"/>
      <color rgb="FF000000"/>
      <name val="Arial"/>
    </font>
    <font>
      <sz val="10.0"/>
      <color theme="1"/>
      <name val="Arial Rounded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2" numFmtId="0" xfId="0" applyBorder="1" applyFont="1"/>
    <xf borderId="2" fillId="0" fontId="2" numFmtId="0" xfId="0" applyBorder="1" applyFont="1"/>
    <xf borderId="2" fillId="2" fontId="3" numFmtId="0" xfId="0" applyAlignment="1" applyBorder="1" applyFill="1" applyFont="1">
      <alignment horizontal="left" shrinkToFit="0" vertical="center" wrapText="1"/>
    </xf>
    <xf borderId="2" fillId="0" fontId="2" numFmtId="0" xfId="0" applyAlignment="1" applyBorder="1" applyFont="1">
      <alignment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shrinkToFit="0" wrapText="1"/>
    </xf>
    <xf borderId="2" fillId="0" fontId="5" numFmtId="0" xfId="0" applyAlignment="1" applyBorder="1" applyFont="1">
      <alignment shrinkToFit="0" wrapText="1"/>
    </xf>
    <xf borderId="2" fillId="0" fontId="2" numFmtId="0" xfId="0" applyAlignment="1" applyBorder="1" applyFont="1">
      <alignment vertical="center"/>
    </xf>
    <xf borderId="2" fillId="2" fontId="6" numFmtId="0" xfId="0" applyAlignment="1" applyBorder="1" applyFont="1">
      <alignment shrinkToFit="0" wrapText="1"/>
    </xf>
    <xf borderId="0" fillId="0" fontId="2" numFmtId="0" xfId="0" applyFont="1"/>
    <xf borderId="0" fillId="2" fontId="7" numFmtId="0" xfId="0" applyAlignment="1" applyFont="1">
      <alignment horizontal="left" shrinkToFit="0" wrapText="1"/>
    </xf>
    <xf borderId="5" fillId="3" fontId="8" numFmtId="0" xfId="0" applyBorder="1" applyFill="1" applyFont="1"/>
    <xf borderId="5" fillId="0" fontId="9" numFmtId="0" xfId="0" applyAlignment="1" applyBorder="1" applyFont="1">
      <alignment shrinkToFit="0" wrapText="1"/>
    </xf>
    <xf borderId="0" fillId="0" fontId="9" numFmtId="0" xfId="0" applyFont="1"/>
    <xf borderId="5" fillId="2" fontId="10" numFmtId="0" xfId="0" applyAlignment="1" applyBorder="1" applyFont="1">
      <alignment horizontal="left" shrinkToFit="0" wrapText="1"/>
    </xf>
    <xf borderId="5" fillId="2" fontId="10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6" fillId="4" fontId="8" numFmtId="0" xfId="0" applyBorder="1" applyFill="1" applyFont="1"/>
    <xf borderId="5" fillId="4" fontId="8" numFmtId="0" xfId="0" applyAlignment="1" applyBorder="1" applyFont="1">
      <alignment shrinkToFit="0" wrapText="1"/>
    </xf>
    <xf borderId="6" fillId="4" fontId="8" numFmtId="0" xfId="0" applyAlignment="1" applyBorder="1" applyFont="1">
      <alignment horizontal="center" shrinkToFit="0" wrapText="1"/>
    </xf>
    <xf borderId="5" fillId="4" fontId="8" numFmtId="0" xfId="0" applyAlignment="1" applyBorder="1" applyFont="1">
      <alignment horizontal="center"/>
    </xf>
    <xf borderId="7" fillId="4" fontId="8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9" fillId="4" fontId="8" numFmtId="0" xfId="0" applyAlignment="1" applyBorder="1" applyFont="1">
      <alignment horizontal="center" shrinkToFit="0" wrapText="1"/>
    </xf>
    <xf borderId="6" fillId="4" fontId="8" numFmtId="0" xfId="0" applyAlignment="1" applyBorder="1" applyFont="1">
      <alignment horizontal="center"/>
    </xf>
    <xf borderId="10" fillId="0" fontId="4" numFmtId="0" xfId="0" applyBorder="1" applyFont="1"/>
    <xf borderId="4" fillId="0" fontId="9" numFmtId="0" xfId="0" applyBorder="1" applyFont="1"/>
    <xf borderId="0" fillId="0" fontId="9" numFmtId="0" xfId="0" applyAlignment="1" applyFont="1">
      <alignment horizontal="left" shrinkToFit="0" wrapText="1"/>
    </xf>
    <xf borderId="1" fillId="0" fontId="9" numFmtId="0" xfId="0" applyBorder="1" applyFont="1"/>
    <xf borderId="1" fillId="0" fontId="9" numFmtId="0" xfId="0" applyAlignment="1" applyBorder="1" applyFont="1">
      <alignment shrinkToFit="0" wrapText="1"/>
    </xf>
    <xf borderId="0" fillId="3" fontId="11" numFmtId="0" xfId="0" applyFont="1"/>
    <xf borderId="5" fillId="3" fontId="8" numFmtId="0" xfId="0" applyAlignment="1" applyBorder="1" applyFont="1">
      <alignment vertical="bottom"/>
    </xf>
    <xf borderId="5" fillId="0" fontId="9" numFmtId="0" xfId="0" applyAlignment="1" applyBorder="1" applyFont="1">
      <alignment horizontal="left" shrinkToFit="0" vertical="bottom" wrapText="1"/>
    </xf>
    <xf borderId="0" fillId="0" fontId="2" numFmtId="0" xfId="0" applyAlignment="1" applyFont="1">
      <alignment vertical="bottom"/>
    </xf>
    <xf borderId="5" fillId="2" fontId="10" numFmtId="0" xfId="0" applyAlignment="1" applyBorder="1" applyFont="1">
      <alignment horizontal="left" shrinkToFit="0" vertical="bottom" wrapText="1"/>
    </xf>
    <xf borderId="5" fillId="2" fontId="12" numFmtId="0" xfId="0" applyAlignment="1" applyBorder="1" applyFont="1">
      <alignment shrinkToFit="0" vertical="bottom" wrapText="1"/>
    </xf>
    <xf borderId="0" fillId="2" fontId="13" numFmtId="0" xfId="0" applyAlignment="1" applyFont="1">
      <alignment vertical="bottom"/>
    </xf>
    <xf borderId="6" fillId="4" fontId="8" numFmtId="0" xfId="0" applyAlignment="1" applyBorder="1" applyFont="1">
      <alignment vertical="bottom"/>
    </xf>
    <xf borderId="5" fillId="4" fontId="8" numFmtId="0" xfId="0" applyAlignment="1" applyBorder="1" applyFont="1">
      <alignment vertical="bottom"/>
    </xf>
    <xf borderId="5" fillId="4" fontId="8" numFmtId="0" xfId="0" applyAlignment="1" applyBorder="1" applyFont="1">
      <alignment horizontal="center" vertical="bottom"/>
    </xf>
    <xf borderId="7" fillId="4" fontId="8" numFmtId="0" xfId="0" applyAlignment="1" applyBorder="1" applyFont="1">
      <alignment horizontal="center" vertical="bottom"/>
    </xf>
    <xf borderId="6" fillId="4" fontId="8" numFmtId="0" xfId="0" applyAlignment="1" applyBorder="1" applyFont="1">
      <alignment horizontal="center" shrinkToFit="0" vertical="bottom" wrapText="1"/>
    </xf>
    <xf borderId="1" fillId="5" fontId="2" numFmtId="0" xfId="0" applyAlignment="1" applyBorder="1" applyFill="1" applyFont="1">
      <alignment vertical="bottom"/>
    </xf>
    <xf borderId="1" fillId="5" fontId="9" numFmtId="0" xfId="0" applyAlignment="1" applyBorder="1" applyFont="1">
      <alignment vertical="bottom"/>
    </xf>
    <xf borderId="2" fillId="5" fontId="9" numFmtId="0" xfId="0" applyAlignment="1" applyBorder="1" applyFont="1">
      <alignment vertical="bottom"/>
    </xf>
    <xf borderId="6" fillId="4" fontId="8" numFmtId="0" xfId="0" applyAlignment="1" applyBorder="1" applyFont="1">
      <alignment horizontal="center" vertical="bottom"/>
    </xf>
    <xf borderId="6" fillId="4" fontId="14" numFmtId="0" xfId="0" applyAlignment="1" applyBorder="1" applyFont="1">
      <alignment horizontal="center" vertical="bottom"/>
    </xf>
    <xf borderId="2" fillId="5" fontId="2" numFmtId="0" xfId="0" applyAlignment="1" applyBorder="1" applyFont="1">
      <alignment vertical="bottom"/>
    </xf>
    <xf borderId="4" fillId="0" fontId="9" numFmtId="0" xfId="0" applyAlignment="1" applyBorder="1" applyFont="1">
      <alignment horizontal="right" vertical="bottom"/>
    </xf>
    <xf borderId="4" fillId="0" fontId="2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9" numFmtId="0" xfId="0" applyAlignment="1" applyBorder="1" applyFont="1">
      <alignment horizontal="right" vertical="bottom"/>
    </xf>
    <xf borderId="1" fillId="0" fontId="9" numFmtId="0" xfId="0" applyAlignment="1" applyBorder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5" numFmtId="0" xfId="0" applyAlignment="1" applyFont="1">
      <alignment horizontal="right" vertical="bottom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vertical="bottom"/>
    </xf>
    <xf borderId="5" fillId="2" fontId="12" numFmtId="0" xfId="0" applyAlignment="1" applyBorder="1" applyFont="1">
      <alignment readingOrder="0" shrinkToFit="0" vertical="bottom" wrapText="1"/>
    </xf>
    <xf borderId="0" fillId="0" fontId="13" numFmtId="0" xfId="0" applyAlignment="1" applyFont="1">
      <alignment shrinkToFit="0" vertical="bottom" wrapText="1"/>
    </xf>
    <xf borderId="1" fillId="0" fontId="2" numFmtId="0" xfId="0" applyAlignment="1" applyBorder="1" applyFont="1">
      <alignment horizontal="right" vertical="bottom"/>
    </xf>
    <xf borderId="1" fillId="0" fontId="17" numFmtId="0" xfId="0" applyAlignment="1" applyBorder="1" applyFont="1">
      <alignment horizontal="right" vertical="bottom"/>
    </xf>
    <xf borderId="5" fillId="0" fontId="9" numFmtId="0" xfId="0" applyAlignment="1" applyBorder="1" applyFont="1">
      <alignment horizontal="left" shrinkToFit="0" wrapText="1"/>
    </xf>
    <xf borderId="5" fillId="2" fontId="12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5" fillId="4" fontId="8" numFmtId="0" xfId="0" applyBorder="1" applyFont="1"/>
    <xf borderId="1" fillId="5" fontId="7" numFmtId="0" xfId="0" applyBorder="1" applyFont="1"/>
    <xf borderId="1" fillId="5" fontId="18" numFmtId="0" xfId="0" applyBorder="1" applyFont="1"/>
    <xf borderId="2" fillId="5" fontId="18" numFmtId="0" xfId="0" applyBorder="1" applyFont="1"/>
    <xf borderId="6" fillId="4" fontId="14" numFmtId="0" xfId="0" applyAlignment="1" applyBorder="1" applyFont="1">
      <alignment horizontal="center"/>
    </xf>
    <xf borderId="2" fillId="5" fontId="7" numFmtId="0" xfId="0" applyBorder="1" applyFont="1"/>
    <xf borderId="4" fillId="0" fontId="2" numFmtId="0" xfId="0" applyAlignment="1" applyBorder="1" applyFont="1">
      <alignment shrinkToFit="0" wrapText="1"/>
    </xf>
    <xf borderId="4" fillId="0" fontId="2" numFmtId="0" xfId="0" applyBorder="1" applyFont="1"/>
    <xf borderId="0" fillId="0" fontId="1" numFmtId="0" xfId="0" applyAlignment="1" applyFont="1">
      <alignment shrinkToFit="0" wrapText="1"/>
    </xf>
    <xf borderId="0" fillId="0" fontId="15" numFmtId="0" xfId="0" applyFont="1"/>
    <xf borderId="0" fillId="0" fontId="19" numFmtId="0" xfId="0" applyFont="1"/>
    <xf borderId="1" fillId="0" fontId="17" numFmtId="0" xfId="0" applyAlignment="1" applyBorder="1" applyFont="1">
      <alignment shrinkToFit="0" wrapText="1"/>
    </xf>
    <xf borderId="1" fillId="0" fontId="17" numFmtId="0" xfId="0" applyBorder="1" applyFont="1"/>
    <xf borderId="0" fillId="2" fontId="7" numFmtId="0" xfId="0" applyAlignment="1" applyFont="1">
      <alignment horizontal="left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ScUjxQKew8w&amp;list=PL0hSg7EfpImPPBvCDcdKdWv8ghCTadoyi&amp;index=6" TargetMode="External"/><Relationship Id="rId2" Type="http://schemas.openxmlformats.org/officeDocument/2006/relationships/hyperlink" Target="https://www.youtube.com/watch?v=ZbqzVbZec34&amp;list=PL0hSg7EfpImPPBvCDcdKdWv8ghCTadoyi&amp;index=1" TargetMode="External"/><Relationship Id="rId3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18.25"/>
    <col customWidth="1" min="3" max="3" width="53.75"/>
  </cols>
  <sheetData>
    <row r="1" ht="28.5" customHeight="1">
      <c r="A1" s="1" t="s">
        <v>0</v>
      </c>
      <c r="B1" s="1" t="s">
        <v>1</v>
      </c>
      <c r="C1" s="1" t="s">
        <v>2</v>
      </c>
    </row>
    <row r="2" ht="54.75" customHeight="1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6</v>
      </c>
    </row>
    <row r="4">
      <c r="A4" s="2">
        <v>3.0</v>
      </c>
      <c r="B4" s="2" t="s">
        <v>7</v>
      </c>
      <c r="C4" s="2" t="s">
        <v>8</v>
      </c>
    </row>
    <row r="5" ht="44.25" customHeight="1">
      <c r="A5" s="2">
        <v>4.0</v>
      </c>
      <c r="B5" s="2" t="s">
        <v>9</v>
      </c>
      <c r="C5" s="2" t="s">
        <v>10</v>
      </c>
    </row>
    <row r="6" ht="42.75" customHeight="1">
      <c r="A6" s="2">
        <v>5.0</v>
      </c>
      <c r="B6" s="2" t="s">
        <v>11</v>
      </c>
      <c r="C6" s="2" t="s">
        <v>12</v>
      </c>
    </row>
    <row r="7" ht="15.75" customHeight="1">
      <c r="A7" s="2">
        <v>6.0</v>
      </c>
      <c r="B7" s="2"/>
      <c r="C7" s="2"/>
    </row>
    <row r="8" ht="15.75" customHeight="1">
      <c r="A8" s="2">
        <v>7.0</v>
      </c>
      <c r="B8" s="2"/>
      <c r="C8" s="2"/>
    </row>
    <row r="9" ht="15.75" customHeight="1">
      <c r="A9" s="2">
        <v>8.0</v>
      </c>
      <c r="B9" s="2"/>
      <c r="C9" s="2"/>
    </row>
    <row r="10" ht="15.75" customHeight="1">
      <c r="A10" s="2">
        <v>9.0</v>
      </c>
      <c r="B10" s="2"/>
      <c r="C10" s="2"/>
    </row>
    <row r="11" ht="15.75" customHeight="1">
      <c r="A11" s="3"/>
      <c r="B11" s="3"/>
      <c r="C11" s="3"/>
    </row>
    <row r="12" ht="15.75" customHeight="1">
      <c r="A12" s="3"/>
      <c r="B12" s="3"/>
      <c r="C12" s="3"/>
    </row>
    <row r="13" ht="15.75" customHeight="1">
      <c r="A13" s="3"/>
      <c r="B13" s="3"/>
      <c r="C13" s="3"/>
    </row>
    <row r="14" ht="15.75" customHeight="1">
      <c r="A14" s="3"/>
      <c r="B14" s="3"/>
      <c r="C14" s="3"/>
    </row>
    <row r="15" ht="15.75" customHeight="1">
      <c r="A15" s="3"/>
      <c r="B15" s="3"/>
      <c r="C15" s="3"/>
    </row>
    <row r="16" ht="15.75" customHeight="1">
      <c r="A16" s="3"/>
      <c r="B16" s="3"/>
      <c r="C16" s="3"/>
    </row>
    <row r="17" ht="15.75" customHeight="1">
      <c r="A17" s="3"/>
      <c r="B17" s="3"/>
      <c r="C17" s="3"/>
    </row>
    <row r="18" ht="15.75" customHeight="1">
      <c r="A18" s="3"/>
      <c r="B18" s="3"/>
      <c r="C18" s="3"/>
    </row>
    <row r="19" ht="15.75" customHeight="1">
      <c r="A19" s="3"/>
      <c r="B19" s="3"/>
      <c r="C19" s="3"/>
    </row>
    <row r="20" ht="15.75" customHeight="1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43.63"/>
    <col customWidth="1" min="3" max="3" width="15.88"/>
    <col customWidth="1" min="4" max="4" width="17.88"/>
    <col customWidth="1" min="6" max="6" width="22.0"/>
    <col customWidth="1" min="7" max="7" width="44.25"/>
  </cols>
  <sheetData>
    <row r="1" ht="15.75" customHeight="1">
      <c r="A1" s="4" t="s">
        <v>13</v>
      </c>
      <c r="B1" s="2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</row>
    <row r="2" ht="29.25" customHeight="1">
      <c r="A2" s="5">
        <v>1.0</v>
      </c>
      <c r="B2" s="6" t="s">
        <v>20</v>
      </c>
      <c r="C2" s="5">
        <v>1.0</v>
      </c>
      <c r="D2" s="5" t="s">
        <v>21</v>
      </c>
      <c r="E2" s="4">
        <v>1.0</v>
      </c>
      <c r="F2" s="2" t="s">
        <v>22</v>
      </c>
      <c r="G2" s="7" t="s">
        <v>23</v>
      </c>
    </row>
    <row r="3" ht="15.75" customHeight="1">
      <c r="A3" s="8"/>
      <c r="B3" s="8"/>
      <c r="C3" s="8"/>
      <c r="D3" s="8"/>
      <c r="E3" s="4">
        <v>2.0</v>
      </c>
      <c r="F3" s="4" t="s">
        <v>24</v>
      </c>
      <c r="G3" s="8"/>
    </row>
    <row r="4" ht="27.75" customHeight="1">
      <c r="A4" s="8"/>
      <c r="B4" s="8"/>
      <c r="C4" s="8"/>
      <c r="D4" s="8"/>
      <c r="E4" s="4">
        <v>3.0</v>
      </c>
      <c r="F4" s="3" t="s">
        <v>25</v>
      </c>
      <c r="G4" s="8"/>
    </row>
    <row r="5" ht="15.75" customHeight="1">
      <c r="A5" s="8"/>
      <c r="B5" s="8"/>
      <c r="C5" s="8"/>
      <c r="D5" s="8"/>
      <c r="E5" s="4">
        <v>4.0</v>
      </c>
      <c r="F5" s="4" t="s">
        <v>26</v>
      </c>
      <c r="G5" s="8"/>
    </row>
    <row r="6" ht="24.75" customHeight="1">
      <c r="A6" s="8"/>
      <c r="B6" s="8"/>
      <c r="C6" s="8"/>
      <c r="D6" s="8"/>
      <c r="E6" s="4">
        <v>5.0</v>
      </c>
      <c r="F6" s="3" t="s">
        <v>27</v>
      </c>
      <c r="G6" s="8"/>
    </row>
    <row r="7" ht="30.0" customHeight="1">
      <c r="A7" s="8"/>
      <c r="B7" s="8"/>
      <c r="C7" s="8"/>
      <c r="D7" s="8"/>
      <c r="E7" s="4">
        <v>6.0</v>
      </c>
      <c r="F7" s="2" t="s">
        <v>28</v>
      </c>
      <c r="G7" s="8"/>
    </row>
    <row r="8" ht="15.75" customHeight="1">
      <c r="A8" s="8"/>
      <c r="B8" s="8"/>
      <c r="C8" s="9"/>
      <c r="D8" s="9"/>
      <c r="E8" s="4">
        <v>7.0</v>
      </c>
      <c r="F8" s="4" t="s">
        <v>29</v>
      </c>
      <c r="G8" s="8"/>
    </row>
    <row r="9">
      <c r="A9" s="8"/>
      <c r="B9" s="8"/>
      <c r="C9" s="5">
        <v>2.0</v>
      </c>
      <c r="D9" s="5" t="s">
        <v>30</v>
      </c>
      <c r="E9" s="4">
        <v>1.0</v>
      </c>
      <c r="F9" s="2" t="s">
        <v>31</v>
      </c>
      <c r="G9" s="8"/>
    </row>
    <row r="10">
      <c r="A10" s="8"/>
      <c r="B10" s="8"/>
      <c r="C10" s="8"/>
      <c r="D10" s="8"/>
      <c r="E10" s="4">
        <v>2.0</v>
      </c>
      <c r="F10" s="2" t="s">
        <v>32</v>
      </c>
      <c r="G10" s="8"/>
    </row>
    <row r="11">
      <c r="A11" s="8"/>
      <c r="B11" s="8"/>
      <c r="C11" s="8"/>
      <c r="D11" s="8"/>
      <c r="E11" s="4">
        <v>3.0</v>
      </c>
      <c r="F11" s="2" t="s">
        <v>33</v>
      </c>
      <c r="G11" s="8"/>
    </row>
    <row r="12">
      <c r="A12" s="8"/>
      <c r="B12" s="8"/>
      <c r="C12" s="8"/>
      <c r="D12" s="8"/>
      <c r="E12" s="4">
        <v>4.0</v>
      </c>
      <c r="F12" s="2" t="s">
        <v>34</v>
      </c>
      <c r="G12" s="8"/>
    </row>
    <row r="13">
      <c r="A13" s="8"/>
      <c r="B13" s="8"/>
      <c r="C13" s="8"/>
      <c r="D13" s="8"/>
      <c r="E13" s="4">
        <v>5.0</v>
      </c>
      <c r="F13" s="2" t="s">
        <v>35</v>
      </c>
      <c r="G13" s="8"/>
    </row>
    <row r="14">
      <c r="A14" s="8"/>
      <c r="B14" s="8"/>
      <c r="C14" s="8"/>
      <c r="D14" s="8"/>
      <c r="E14" s="4">
        <v>6.0</v>
      </c>
      <c r="F14" s="2" t="s">
        <v>36</v>
      </c>
      <c r="G14" s="8"/>
    </row>
    <row r="15" ht="15.75" customHeight="1">
      <c r="A15" s="8"/>
      <c r="B15" s="8"/>
      <c r="C15" s="9"/>
      <c r="D15" s="9"/>
      <c r="E15" s="4">
        <v>7.0</v>
      </c>
      <c r="F15" s="2" t="s">
        <v>37</v>
      </c>
      <c r="G15" s="8"/>
    </row>
    <row r="16" ht="27.75" customHeight="1">
      <c r="A16" s="8"/>
      <c r="B16" s="8"/>
      <c r="C16" s="5">
        <v>3.0</v>
      </c>
      <c r="D16" s="10" t="s">
        <v>38</v>
      </c>
      <c r="E16" s="4">
        <v>1.0</v>
      </c>
      <c r="F16" s="2" t="s">
        <v>39</v>
      </c>
      <c r="G16" s="8"/>
    </row>
    <row r="17" ht="29.25" customHeight="1">
      <c r="A17" s="8"/>
      <c r="B17" s="8"/>
      <c r="C17" s="8"/>
      <c r="D17" s="8"/>
      <c r="E17" s="4">
        <v>2.0</v>
      </c>
      <c r="F17" s="2" t="s">
        <v>40</v>
      </c>
      <c r="G17" s="8"/>
    </row>
    <row r="18" ht="15.75" customHeight="1">
      <c r="A18" s="8"/>
      <c r="B18" s="8"/>
      <c r="C18" s="8"/>
      <c r="D18" s="8"/>
      <c r="E18" s="4">
        <v>3.0</v>
      </c>
      <c r="F18" s="4" t="s">
        <v>41</v>
      </c>
      <c r="G18" s="8"/>
    </row>
    <row r="19" ht="29.25" customHeight="1">
      <c r="A19" s="8"/>
      <c r="B19" s="8"/>
      <c r="C19" s="8"/>
      <c r="D19" s="8"/>
      <c r="E19" s="4">
        <v>4.0</v>
      </c>
      <c r="F19" s="2" t="s">
        <v>42</v>
      </c>
      <c r="G19" s="8"/>
    </row>
    <row r="20" ht="39.0" customHeight="1">
      <c r="A20" s="8"/>
      <c r="B20" s="8"/>
      <c r="C20" s="8"/>
      <c r="D20" s="8"/>
      <c r="E20" s="4">
        <v>5.0</v>
      </c>
      <c r="F20" s="2" t="s">
        <v>43</v>
      </c>
      <c r="G20" s="8"/>
    </row>
    <row r="21" ht="44.25" customHeight="1">
      <c r="A21" s="8"/>
      <c r="B21" s="8"/>
      <c r="C21" s="8"/>
      <c r="D21" s="8"/>
      <c r="E21" s="4">
        <v>6.0</v>
      </c>
      <c r="F21" s="2" t="s">
        <v>44</v>
      </c>
      <c r="G21" s="8"/>
    </row>
    <row r="22" ht="29.25" customHeight="1">
      <c r="A22" s="8"/>
      <c r="B22" s="8"/>
      <c r="C22" s="9"/>
      <c r="D22" s="9"/>
      <c r="E22" s="4">
        <v>7.0</v>
      </c>
      <c r="F22" s="2" t="s">
        <v>45</v>
      </c>
      <c r="G22" s="8"/>
    </row>
    <row r="23">
      <c r="A23" s="8"/>
      <c r="B23" s="8"/>
      <c r="C23" s="5">
        <v>4.0</v>
      </c>
      <c r="D23" s="10" t="s">
        <v>46</v>
      </c>
      <c r="E23" s="4">
        <v>1.0</v>
      </c>
      <c r="F23" s="2" t="s">
        <v>47</v>
      </c>
      <c r="G23" s="8"/>
    </row>
    <row r="24">
      <c r="A24" s="8"/>
      <c r="B24" s="8"/>
      <c r="C24" s="8"/>
      <c r="D24" s="8"/>
      <c r="E24" s="4">
        <v>2.0</v>
      </c>
      <c r="F24" s="2" t="s">
        <v>48</v>
      </c>
      <c r="G24" s="8"/>
    </row>
    <row r="25">
      <c r="A25" s="8"/>
      <c r="B25" s="8"/>
      <c r="C25" s="8"/>
      <c r="D25" s="8"/>
      <c r="E25" s="4">
        <v>3.0</v>
      </c>
      <c r="F25" s="3" t="s">
        <v>49</v>
      </c>
      <c r="G25" s="8"/>
    </row>
    <row r="26">
      <c r="A26" s="8"/>
      <c r="B26" s="8"/>
      <c r="C26" s="8"/>
      <c r="D26" s="8"/>
      <c r="E26" s="4">
        <v>4.0</v>
      </c>
      <c r="F26" s="2" t="s">
        <v>50</v>
      </c>
      <c r="G26" s="8"/>
    </row>
    <row r="27" ht="31.5" customHeight="1">
      <c r="A27" s="8"/>
      <c r="B27" s="8"/>
      <c r="C27" s="8"/>
      <c r="D27" s="8"/>
      <c r="E27" s="4">
        <v>5.0</v>
      </c>
      <c r="F27" s="2" t="s">
        <v>51</v>
      </c>
      <c r="G27" s="8"/>
    </row>
    <row r="28">
      <c r="A28" s="8"/>
      <c r="B28" s="8"/>
      <c r="C28" s="8"/>
      <c r="D28" s="8"/>
      <c r="E28" s="4">
        <v>6.0</v>
      </c>
      <c r="F28" s="2" t="s">
        <v>52</v>
      </c>
      <c r="G28" s="8"/>
    </row>
    <row r="29" ht="25.5" customHeight="1">
      <c r="A29" s="9"/>
      <c r="B29" s="9"/>
      <c r="C29" s="9"/>
      <c r="D29" s="9"/>
      <c r="E29" s="4">
        <v>7.0</v>
      </c>
      <c r="F29" s="2" t="s">
        <v>53</v>
      </c>
      <c r="G29" s="9"/>
    </row>
    <row r="30" ht="15.75" customHeight="1">
      <c r="A30" s="5">
        <v>2.0</v>
      </c>
      <c r="B30" s="11" t="s">
        <v>54</v>
      </c>
      <c r="C30" s="5">
        <v>5.0</v>
      </c>
      <c r="D30" s="5" t="s">
        <v>55</v>
      </c>
      <c r="E30" s="4">
        <v>1.0</v>
      </c>
      <c r="F30" s="4" t="s">
        <v>56</v>
      </c>
      <c r="G30" s="12" t="s">
        <v>57</v>
      </c>
    </row>
    <row r="31" ht="15.75" customHeight="1">
      <c r="A31" s="8"/>
      <c r="B31" s="8"/>
      <c r="C31" s="8"/>
      <c r="D31" s="8"/>
      <c r="E31" s="4">
        <v>2.0</v>
      </c>
      <c r="F31" s="4" t="s">
        <v>58</v>
      </c>
      <c r="G31" s="8"/>
    </row>
    <row r="32" ht="30.75" customHeight="1">
      <c r="A32" s="8"/>
      <c r="B32" s="8"/>
      <c r="C32" s="8"/>
      <c r="D32" s="8"/>
      <c r="E32" s="4">
        <v>3.0</v>
      </c>
      <c r="F32" s="2" t="s">
        <v>59</v>
      </c>
      <c r="G32" s="8"/>
    </row>
    <row r="33" ht="35.25" customHeight="1">
      <c r="A33" s="8"/>
      <c r="B33" s="8"/>
      <c r="C33" s="8"/>
      <c r="D33" s="8"/>
      <c r="E33" s="4">
        <v>4.0</v>
      </c>
      <c r="F33" s="2" t="s">
        <v>60</v>
      </c>
      <c r="G33" s="8"/>
    </row>
    <row r="34" ht="29.25" customHeight="1">
      <c r="A34" s="8"/>
      <c r="B34" s="8"/>
      <c r="C34" s="8"/>
      <c r="D34" s="8"/>
      <c r="E34" s="4">
        <v>5.0</v>
      </c>
      <c r="F34" s="3" t="s">
        <v>61</v>
      </c>
      <c r="G34" s="8"/>
    </row>
    <row r="35" ht="26.25" customHeight="1">
      <c r="A35" s="8"/>
      <c r="B35" s="8"/>
      <c r="C35" s="8"/>
      <c r="D35" s="8"/>
      <c r="E35" s="4">
        <v>6.0</v>
      </c>
      <c r="F35" s="2" t="s">
        <v>62</v>
      </c>
      <c r="G35" s="8"/>
    </row>
    <row r="36" ht="15.75" customHeight="1">
      <c r="A36" s="8"/>
      <c r="B36" s="8"/>
      <c r="C36" s="9"/>
      <c r="D36" s="9"/>
      <c r="E36" s="4">
        <v>7.0</v>
      </c>
      <c r="F36" s="4" t="s">
        <v>63</v>
      </c>
      <c r="G36" s="8"/>
    </row>
    <row r="37">
      <c r="A37" s="8"/>
      <c r="B37" s="8"/>
      <c r="C37" s="5">
        <v>6.0</v>
      </c>
      <c r="D37" s="5" t="s">
        <v>64</v>
      </c>
      <c r="E37" s="4">
        <v>1.0</v>
      </c>
      <c r="F37" s="2" t="s">
        <v>65</v>
      </c>
      <c r="G37" s="8"/>
    </row>
    <row r="38">
      <c r="A38" s="8"/>
      <c r="B38" s="8"/>
      <c r="C38" s="8"/>
      <c r="D38" s="8"/>
      <c r="E38" s="4">
        <v>2.0</v>
      </c>
      <c r="F38" s="2" t="s">
        <v>66</v>
      </c>
      <c r="G38" s="8"/>
    </row>
    <row r="39">
      <c r="A39" s="8"/>
      <c r="B39" s="8"/>
      <c r="C39" s="8"/>
      <c r="D39" s="8"/>
      <c r="E39" s="4">
        <v>3.0</v>
      </c>
      <c r="F39" s="3" t="s">
        <v>67</v>
      </c>
      <c r="G39" s="8"/>
    </row>
    <row r="40">
      <c r="A40" s="8"/>
      <c r="B40" s="8"/>
      <c r="C40" s="8"/>
      <c r="D40" s="8"/>
      <c r="E40" s="4">
        <v>4.0</v>
      </c>
      <c r="F40" s="2" t="s">
        <v>68</v>
      </c>
      <c r="G40" s="8"/>
    </row>
    <row r="41">
      <c r="A41" s="8"/>
      <c r="B41" s="8"/>
      <c r="C41" s="8"/>
      <c r="D41" s="8"/>
      <c r="E41" s="4">
        <v>5.0</v>
      </c>
      <c r="F41" s="2" t="s">
        <v>69</v>
      </c>
      <c r="G41" s="8"/>
    </row>
    <row r="42">
      <c r="A42" s="8"/>
      <c r="B42" s="8"/>
      <c r="C42" s="8"/>
      <c r="D42" s="8"/>
      <c r="E42" s="4">
        <v>6.0</v>
      </c>
      <c r="F42" s="2" t="s">
        <v>70</v>
      </c>
      <c r="G42" s="8"/>
    </row>
    <row r="43">
      <c r="A43" s="8"/>
      <c r="B43" s="8"/>
      <c r="C43" s="9"/>
      <c r="D43" s="9"/>
      <c r="E43" s="4">
        <v>7.0</v>
      </c>
      <c r="F43" s="2" t="s">
        <v>71</v>
      </c>
      <c r="G43" s="8"/>
    </row>
    <row r="44" ht="27.0" customHeight="1">
      <c r="A44" s="8"/>
      <c r="B44" s="8"/>
      <c r="C44" s="5">
        <v>7.0</v>
      </c>
      <c r="D44" s="5" t="s">
        <v>72</v>
      </c>
      <c r="E44" s="4">
        <v>1.0</v>
      </c>
      <c r="F44" s="2" t="s">
        <v>73</v>
      </c>
      <c r="G44" s="8"/>
    </row>
    <row r="45" ht="24.0" customHeight="1">
      <c r="A45" s="8"/>
      <c r="B45" s="8"/>
      <c r="C45" s="8"/>
      <c r="D45" s="8"/>
      <c r="E45" s="4">
        <v>2.0</v>
      </c>
      <c r="F45" s="2" t="s">
        <v>74</v>
      </c>
      <c r="G45" s="8"/>
    </row>
    <row r="46" ht="28.5" customHeight="1">
      <c r="A46" s="8"/>
      <c r="B46" s="8"/>
      <c r="C46" s="8"/>
      <c r="D46" s="8"/>
      <c r="E46" s="4">
        <v>3.0</v>
      </c>
      <c r="F46" s="2" t="s">
        <v>75</v>
      </c>
      <c r="G46" s="8"/>
    </row>
    <row r="47" ht="29.25" customHeight="1">
      <c r="A47" s="8"/>
      <c r="B47" s="8"/>
      <c r="C47" s="8"/>
      <c r="D47" s="8"/>
      <c r="E47" s="4">
        <v>4.0</v>
      </c>
      <c r="F47" s="3" t="s">
        <v>76</v>
      </c>
      <c r="G47" s="8"/>
    </row>
    <row r="48" ht="15.75" customHeight="1">
      <c r="A48" s="8"/>
      <c r="B48" s="8"/>
      <c r="C48" s="8"/>
      <c r="D48" s="8"/>
      <c r="E48" s="4">
        <v>5.0</v>
      </c>
      <c r="F48" s="2" t="s">
        <v>77</v>
      </c>
      <c r="G48" s="8"/>
    </row>
    <row r="49" ht="27.0" customHeight="1">
      <c r="A49" s="8"/>
      <c r="B49" s="8"/>
      <c r="C49" s="8"/>
      <c r="D49" s="8"/>
      <c r="E49" s="4">
        <v>6.0</v>
      </c>
      <c r="F49" s="3" t="s">
        <v>78</v>
      </c>
      <c r="G49" s="8"/>
    </row>
    <row r="50" ht="45.0" customHeight="1">
      <c r="A50" s="8"/>
      <c r="B50" s="8"/>
      <c r="C50" s="9"/>
      <c r="D50" s="9"/>
      <c r="E50" s="4">
        <v>7.0</v>
      </c>
      <c r="F50" s="2" t="s">
        <v>79</v>
      </c>
      <c r="G50" s="8"/>
    </row>
    <row r="51">
      <c r="A51" s="8"/>
      <c r="B51" s="8"/>
      <c r="C51" s="5">
        <v>8.0</v>
      </c>
      <c r="D51" s="5" t="s">
        <v>80</v>
      </c>
      <c r="E51" s="4">
        <v>1.0</v>
      </c>
      <c r="F51" s="2" t="s">
        <v>81</v>
      </c>
      <c r="G51" s="8"/>
    </row>
    <row r="52">
      <c r="A52" s="8"/>
      <c r="B52" s="8"/>
      <c r="C52" s="8"/>
      <c r="D52" s="8"/>
      <c r="E52" s="4">
        <v>2.0</v>
      </c>
      <c r="F52" s="2" t="s">
        <v>82</v>
      </c>
      <c r="G52" s="8"/>
    </row>
    <row r="53">
      <c r="A53" s="8"/>
      <c r="B53" s="8"/>
      <c r="C53" s="8"/>
      <c r="D53" s="8"/>
      <c r="E53" s="4">
        <v>3.0</v>
      </c>
      <c r="F53" s="2" t="s">
        <v>83</v>
      </c>
      <c r="G53" s="8"/>
    </row>
    <row r="54">
      <c r="A54" s="8"/>
      <c r="B54" s="8"/>
      <c r="C54" s="8"/>
      <c r="D54" s="8"/>
      <c r="E54" s="4">
        <v>4.0</v>
      </c>
      <c r="F54" s="2" t="s">
        <v>84</v>
      </c>
      <c r="G54" s="8"/>
    </row>
    <row r="55">
      <c r="A55" s="8"/>
      <c r="B55" s="8"/>
      <c r="C55" s="8"/>
      <c r="D55" s="8"/>
      <c r="E55" s="4">
        <v>5.0</v>
      </c>
      <c r="F55" s="2" t="s">
        <v>85</v>
      </c>
      <c r="G55" s="8"/>
    </row>
    <row r="56">
      <c r="A56" s="8"/>
      <c r="B56" s="8"/>
      <c r="C56" s="8"/>
      <c r="D56" s="8"/>
      <c r="E56" s="4">
        <v>6.0</v>
      </c>
      <c r="F56" s="2" t="s">
        <v>86</v>
      </c>
      <c r="G56" s="8"/>
    </row>
    <row r="57">
      <c r="A57" s="9"/>
      <c r="B57" s="9"/>
      <c r="C57" s="9"/>
      <c r="D57" s="9"/>
      <c r="E57" s="4">
        <v>7.0</v>
      </c>
      <c r="F57" s="2" t="s">
        <v>87</v>
      </c>
      <c r="G57" s="9"/>
    </row>
    <row r="58" ht="15.75" customHeight="1">
      <c r="A58" s="5">
        <v>3.0</v>
      </c>
      <c r="B58" s="13" t="s">
        <v>88</v>
      </c>
      <c r="C58" s="5">
        <v>9.0</v>
      </c>
      <c r="D58" s="5" t="s">
        <v>89</v>
      </c>
      <c r="E58" s="4">
        <v>1.0</v>
      </c>
      <c r="F58" s="4" t="s">
        <v>90</v>
      </c>
      <c r="G58" s="12" t="s">
        <v>91</v>
      </c>
    </row>
    <row r="59" ht="15.75" customHeight="1">
      <c r="A59" s="8"/>
      <c r="B59" s="8"/>
      <c r="C59" s="8"/>
      <c r="D59" s="8"/>
      <c r="E59" s="4">
        <v>2.0</v>
      </c>
      <c r="F59" s="14" t="s">
        <v>92</v>
      </c>
      <c r="G59" s="8"/>
    </row>
    <row r="60" ht="15.75" customHeight="1">
      <c r="A60" s="8"/>
      <c r="B60" s="8"/>
      <c r="C60" s="8"/>
      <c r="D60" s="8"/>
      <c r="E60" s="4">
        <v>3.0</v>
      </c>
      <c r="F60" s="4" t="s">
        <v>93</v>
      </c>
      <c r="G60" s="8"/>
    </row>
    <row r="61" ht="29.25" customHeight="1">
      <c r="A61" s="8"/>
      <c r="B61" s="8"/>
      <c r="C61" s="8"/>
      <c r="D61" s="8"/>
      <c r="E61" s="4">
        <v>4.0</v>
      </c>
      <c r="F61" s="2" t="s">
        <v>94</v>
      </c>
      <c r="G61" s="8"/>
    </row>
    <row r="62" ht="25.5" customHeight="1">
      <c r="A62" s="8"/>
      <c r="B62" s="8"/>
      <c r="C62" s="8"/>
      <c r="D62" s="8"/>
      <c r="E62" s="4">
        <v>5.0</v>
      </c>
      <c r="F62" s="2" t="s">
        <v>95</v>
      </c>
      <c r="G62" s="8"/>
    </row>
    <row r="63" ht="30.0" customHeight="1">
      <c r="A63" s="8"/>
      <c r="B63" s="8"/>
      <c r="C63" s="8"/>
      <c r="D63" s="8"/>
      <c r="E63" s="4">
        <v>6.0</v>
      </c>
      <c r="F63" s="2" t="s">
        <v>96</v>
      </c>
      <c r="G63" s="8"/>
    </row>
    <row r="64" ht="32.25" customHeight="1">
      <c r="A64" s="8"/>
      <c r="B64" s="8"/>
      <c r="C64" s="9"/>
      <c r="D64" s="9"/>
      <c r="E64" s="4">
        <v>7.0</v>
      </c>
      <c r="F64" s="2" t="s">
        <v>97</v>
      </c>
      <c r="G64" s="8"/>
    </row>
    <row r="65">
      <c r="A65" s="8"/>
      <c r="B65" s="8"/>
      <c r="C65" s="5">
        <v>10.0</v>
      </c>
      <c r="D65" s="5" t="s">
        <v>98</v>
      </c>
      <c r="E65" s="4">
        <v>1.0</v>
      </c>
      <c r="F65" s="2" t="s">
        <v>99</v>
      </c>
      <c r="G65" s="8"/>
    </row>
    <row r="66">
      <c r="A66" s="8"/>
      <c r="B66" s="8"/>
      <c r="C66" s="8"/>
      <c r="D66" s="8"/>
      <c r="E66" s="4">
        <v>2.0</v>
      </c>
      <c r="F66" s="2" t="s">
        <v>100</v>
      </c>
      <c r="G66" s="8"/>
    </row>
    <row r="67">
      <c r="A67" s="8"/>
      <c r="B67" s="8"/>
      <c r="C67" s="8"/>
      <c r="D67" s="8"/>
      <c r="E67" s="4">
        <v>3.0</v>
      </c>
      <c r="F67" s="2" t="s">
        <v>101</v>
      </c>
      <c r="G67" s="8"/>
    </row>
    <row r="68">
      <c r="A68" s="8"/>
      <c r="B68" s="8"/>
      <c r="C68" s="8"/>
      <c r="D68" s="8"/>
      <c r="E68" s="4">
        <v>4.0</v>
      </c>
      <c r="F68" s="2" t="s">
        <v>102</v>
      </c>
      <c r="G68" s="8"/>
    </row>
    <row r="69">
      <c r="A69" s="8"/>
      <c r="B69" s="8"/>
      <c r="C69" s="8"/>
      <c r="D69" s="8"/>
      <c r="E69" s="4">
        <v>5.0</v>
      </c>
      <c r="F69" s="2" t="s">
        <v>103</v>
      </c>
      <c r="G69" s="8"/>
    </row>
    <row r="70">
      <c r="A70" s="8"/>
      <c r="B70" s="8"/>
      <c r="C70" s="8"/>
      <c r="D70" s="8"/>
      <c r="E70" s="4">
        <v>6.0</v>
      </c>
      <c r="F70" s="2" t="s">
        <v>104</v>
      </c>
      <c r="G70" s="8"/>
    </row>
    <row r="71">
      <c r="A71" s="8"/>
      <c r="B71" s="8"/>
      <c r="C71" s="9"/>
      <c r="D71" s="9"/>
      <c r="E71" s="4">
        <v>7.0</v>
      </c>
      <c r="F71" s="2" t="s">
        <v>105</v>
      </c>
      <c r="G71" s="9"/>
    </row>
    <row r="72" ht="30.75" customHeight="1">
      <c r="A72" s="8"/>
      <c r="B72" s="8"/>
      <c r="C72" s="5">
        <v>11.0</v>
      </c>
      <c r="D72" s="5" t="s">
        <v>106</v>
      </c>
      <c r="E72" s="4">
        <v>1.0</v>
      </c>
      <c r="F72" s="2" t="s">
        <v>107</v>
      </c>
      <c r="G72" s="7" t="s">
        <v>108</v>
      </c>
    </row>
    <row r="73" ht="28.5" customHeight="1">
      <c r="A73" s="8"/>
      <c r="B73" s="8"/>
      <c r="C73" s="8"/>
      <c r="D73" s="8"/>
      <c r="E73" s="4">
        <v>2.0</v>
      </c>
      <c r="F73" s="2" t="s">
        <v>109</v>
      </c>
      <c r="G73" s="8"/>
    </row>
    <row r="74" ht="40.5" customHeight="1">
      <c r="A74" s="8"/>
      <c r="B74" s="8"/>
      <c r="C74" s="8"/>
      <c r="D74" s="8"/>
      <c r="E74" s="4">
        <v>3.0</v>
      </c>
      <c r="F74" s="3" t="s">
        <v>110</v>
      </c>
      <c r="G74" s="8"/>
    </row>
    <row r="75" ht="29.25" customHeight="1">
      <c r="A75" s="8"/>
      <c r="B75" s="8"/>
      <c r="C75" s="8"/>
      <c r="D75" s="8"/>
      <c r="E75" s="4">
        <v>4.0</v>
      </c>
      <c r="F75" s="2" t="s">
        <v>111</v>
      </c>
      <c r="G75" s="8"/>
    </row>
    <row r="76" ht="34.5" customHeight="1">
      <c r="A76" s="8"/>
      <c r="B76" s="8"/>
      <c r="C76" s="8"/>
      <c r="D76" s="8"/>
      <c r="E76" s="4">
        <v>5.0</v>
      </c>
      <c r="F76" s="15" t="s">
        <v>112</v>
      </c>
      <c r="G76" s="8"/>
    </row>
    <row r="77" ht="40.5" customHeight="1">
      <c r="A77" s="8"/>
      <c r="B77" s="8"/>
      <c r="C77" s="8"/>
      <c r="D77" s="8"/>
      <c r="E77" s="4">
        <v>6.0</v>
      </c>
      <c r="F77" s="2" t="s">
        <v>113</v>
      </c>
      <c r="G77" s="8"/>
    </row>
    <row r="78" ht="30.75" customHeight="1">
      <c r="A78" s="8"/>
      <c r="B78" s="8"/>
      <c r="C78" s="9"/>
      <c r="D78" s="9"/>
      <c r="E78" s="4">
        <v>7.0</v>
      </c>
      <c r="F78" s="3" t="s">
        <v>114</v>
      </c>
      <c r="G78" s="8"/>
    </row>
    <row r="79">
      <c r="A79" s="8"/>
      <c r="B79" s="8"/>
      <c r="C79" s="5">
        <v>12.0</v>
      </c>
      <c r="D79" s="5" t="s">
        <v>115</v>
      </c>
      <c r="E79" s="4">
        <v>1.0</v>
      </c>
      <c r="F79" s="2" t="s">
        <v>116</v>
      </c>
      <c r="G79" s="8"/>
    </row>
    <row r="80">
      <c r="A80" s="8"/>
      <c r="B80" s="8"/>
      <c r="C80" s="8"/>
      <c r="D80" s="8"/>
      <c r="E80" s="4">
        <v>2.0</v>
      </c>
      <c r="F80" s="2" t="s">
        <v>117</v>
      </c>
      <c r="G80" s="8"/>
    </row>
    <row r="81">
      <c r="A81" s="8"/>
      <c r="B81" s="8"/>
      <c r="C81" s="8"/>
      <c r="D81" s="8"/>
      <c r="E81" s="4">
        <v>3.0</v>
      </c>
      <c r="F81" s="2" t="s">
        <v>118</v>
      </c>
      <c r="G81" s="8"/>
    </row>
    <row r="82">
      <c r="A82" s="8"/>
      <c r="B82" s="8"/>
      <c r="C82" s="8"/>
      <c r="D82" s="8"/>
      <c r="E82" s="4">
        <v>4.0</v>
      </c>
      <c r="F82" s="2" t="s">
        <v>119</v>
      </c>
      <c r="G82" s="8"/>
    </row>
    <row r="83">
      <c r="A83" s="8"/>
      <c r="B83" s="8"/>
      <c r="C83" s="8"/>
      <c r="D83" s="8"/>
      <c r="E83" s="4">
        <v>5.0</v>
      </c>
      <c r="F83" s="2" t="s">
        <v>120</v>
      </c>
      <c r="G83" s="8"/>
    </row>
    <row r="84">
      <c r="A84" s="8"/>
      <c r="B84" s="8"/>
      <c r="C84" s="8"/>
      <c r="D84" s="8"/>
      <c r="E84" s="4">
        <v>6.0</v>
      </c>
      <c r="F84" s="2" t="s">
        <v>121</v>
      </c>
      <c r="G84" s="8"/>
    </row>
    <row r="85">
      <c r="A85" s="9"/>
      <c r="B85" s="9"/>
      <c r="C85" s="9"/>
      <c r="D85" s="9"/>
      <c r="E85" s="4">
        <v>7.0</v>
      </c>
      <c r="F85" s="2" t="s">
        <v>122</v>
      </c>
      <c r="G85" s="8"/>
    </row>
    <row r="86" ht="15.75" customHeight="1">
      <c r="A86" s="5">
        <v>4.0</v>
      </c>
      <c r="B86" s="11" t="s">
        <v>123</v>
      </c>
      <c r="C86" s="5">
        <v>13.0</v>
      </c>
      <c r="D86" s="5" t="s">
        <v>124</v>
      </c>
      <c r="E86" s="4">
        <v>1.0</v>
      </c>
      <c r="F86" s="4" t="s">
        <v>125</v>
      </c>
      <c r="G86" s="8"/>
    </row>
    <row r="87" ht="29.25" customHeight="1">
      <c r="A87" s="8"/>
      <c r="B87" s="8"/>
      <c r="C87" s="8"/>
      <c r="D87" s="8"/>
      <c r="E87" s="4">
        <v>2.0</v>
      </c>
      <c r="F87" s="2" t="s">
        <v>126</v>
      </c>
      <c r="G87" s="8"/>
    </row>
    <row r="88" ht="28.5" customHeight="1">
      <c r="A88" s="8"/>
      <c r="B88" s="8"/>
      <c r="C88" s="8"/>
      <c r="D88" s="8"/>
      <c r="E88" s="4">
        <v>3.0</v>
      </c>
      <c r="F88" s="2" t="s">
        <v>127</v>
      </c>
      <c r="G88" s="8"/>
    </row>
    <row r="89" ht="23.25" customHeight="1">
      <c r="A89" s="8"/>
      <c r="B89" s="8"/>
      <c r="C89" s="8"/>
      <c r="D89" s="8"/>
      <c r="E89" s="4">
        <v>4.0</v>
      </c>
      <c r="F89" s="2" t="s">
        <v>128</v>
      </c>
      <c r="G89" s="8"/>
    </row>
    <row r="90" ht="27.75" customHeight="1">
      <c r="A90" s="8"/>
      <c r="B90" s="8"/>
      <c r="C90" s="8"/>
      <c r="D90" s="8"/>
      <c r="E90" s="4">
        <v>5.0</v>
      </c>
      <c r="F90" s="2" t="s">
        <v>129</v>
      </c>
      <c r="G90" s="8"/>
    </row>
    <row r="91" ht="15.75" customHeight="1">
      <c r="A91" s="8"/>
      <c r="B91" s="8"/>
      <c r="C91" s="8"/>
      <c r="D91" s="8"/>
      <c r="E91" s="4">
        <v>6.0</v>
      </c>
      <c r="F91" s="4" t="s">
        <v>130</v>
      </c>
      <c r="G91" s="8"/>
    </row>
    <row r="92" ht="33.0" customHeight="1">
      <c r="A92" s="8"/>
      <c r="B92" s="8"/>
      <c r="C92" s="9"/>
      <c r="D92" s="9"/>
      <c r="E92" s="4">
        <v>7.0</v>
      </c>
      <c r="F92" s="2" t="s">
        <v>131</v>
      </c>
      <c r="G92" s="8"/>
    </row>
    <row r="93">
      <c r="A93" s="8"/>
      <c r="B93" s="8"/>
      <c r="C93" s="5">
        <v>14.0</v>
      </c>
      <c r="D93" s="10" t="s">
        <v>132</v>
      </c>
      <c r="E93" s="4">
        <v>1.0</v>
      </c>
      <c r="F93" s="2" t="s">
        <v>133</v>
      </c>
      <c r="G93" s="8"/>
    </row>
    <row r="94">
      <c r="A94" s="8"/>
      <c r="B94" s="8"/>
      <c r="C94" s="8"/>
      <c r="D94" s="8"/>
      <c r="E94" s="4">
        <v>2.0</v>
      </c>
      <c r="F94" s="2" t="s">
        <v>134</v>
      </c>
      <c r="G94" s="8"/>
    </row>
    <row r="95">
      <c r="A95" s="8"/>
      <c r="B95" s="8"/>
      <c r="C95" s="8"/>
      <c r="D95" s="8"/>
      <c r="E95" s="4">
        <v>3.0</v>
      </c>
      <c r="F95" s="2" t="s">
        <v>135</v>
      </c>
      <c r="G95" s="8"/>
    </row>
    <row r="96">
      <c r="A96" s="8"/>
      <c r="B96" s="8"/>
      <c r="C96" s="8"/>
      <c r="D96" s="8"/>
      <c r="E96" s="4">
        <v>4.0</v>
      </c>
      <c r="F96" s="2" t="s">
        <v>136</v>
      </c>
      <c r="G96" s="8"/>
    </row>
    <row r="97">
      <c r="A97" s="8"/>
      <c r="B97" s="8"/>
      <c r="C97" s="8"/>
      <c r="D97" s="8"/>
      <c r="E97" s="4">
        <v>5.0</v>
      </c>
      <c r="F97" s="2" t="s">
        <v>137</v>
      </c>
      <c r="G97" s="8"/>
    </row>
    <row r="98">
      <c r="A98" s="8"/>
      <c r="B98" s="8"/>
      <c r="C98" s="8"/>
      <c r="D98" s="8"/>
      <c r="E98" s="4">
        <v>6.0</v>
      </c>
      <c r="F98" s="2" t="s">
        <v>138</v>
      </c>
      <c r="G98" s="8"/>
    </row>
    <row r="99">
      <c r="A99" s="9"/>
      <c r="B99" s="9"/>
      <c r="C99" s="9"/>
      <c r="D99" s="9"/>
      <c r="E99" s="4">
        <v>7.0</v>
      </c>
      <c r="F99" s="2" t="s">
        <v>139</v>
      </c>
      <c r="G99" s="9"/>
    </row>
    <row r="100" ht="15.75" customHeight="1">
      <c r="B100" s="3"/>
    </row>
    <row r="101" ht="15.75" customHeight="1">
      <c r="B101" s="3"/>
    </row>
    <row r="102" ht="15.75" customHeight="1">
      <c r="B102" s="3"/>
    </row>
    <row r="103" ht="15.75" customHeight="1">
      <c r="B103" s="3"/>
    </row>
    <row r="104" ht="15.75" customHeight="1">
      <c r="B104" s="3"/>
    </row>
    <row r="105" ht="15.75" customHeight="1">
      <c r="B105" s="3"/>
    </row>
    <row r="106" ht="15.75" customHeight="1">
      <c r="B106" s="3"/>
    </row>
    <row r="107" ht="15.75" customHeight="1">
      <c r="B107" s="3"/>
    </row>
    <row r="108" ht="15.75" customHeight="1">
      <c r="B108" s="3"/>
    </row>
    <row r="109" ht="15.75" customHeight="1">
      <c r="B109" s="3"/>
    </row>
    <row r="110" ht="15.75" customHeight="1">
      <c r="B110" s="3"/>
    </row>
    <row r="111" ht="15.75" customHeight="1">
      <c r="B111" s="3"/>
    </row>
    <row r="112" ht="15.75" customHeight="1">
      <c r="B112" s="3"/>
    </row>
    <row r="113" ht="15.75" customHeight="1">
      <c r="B113" s="3"/>
    </row>
    <row r="114" ht="15.75" customHeight="1">
      <c r="B114" s="3"/>
    </row>
    <row r="115" ht="15.75" customHeight="1">
      <c r="B115" s="3"/>
    </row>
    <row r="116" ht="15.75" customHeight="1">
      <c r="B116" s="3"/>
    </row>
    <row r="117" ht="15.75" customHeight="1">
      <c r="B117" s="3"/>
    </row>
    <row r="118" ht="15.75" customHeight="1">
      <c r="B118" s="3"/>
    </row>
    <row r="119" ht="15.75" customHeight="1">
      <c r="B119" s="3"/>
    </row>
    <row r="120" ht="15.75" customHeight="1">
      <c r="B120" s="3"/>
    </row>
    <row r="121" ht="15.75" customHeight="1">
      <c r="B121" s="3"/>
    </row>
    <row r="122" ht="15.75" customHeight="1">
      <c r="B122" s="3"/>
    </row>
    <row r="123" ht="15.75" customHeight="1">
      <c r="B123" s="3"/>
    </row>
    <row r="124" ht="15.75" customHeight="1">
      <c r="B124" s="3"/>
    </row>
    <row r="125" ht="15.75" customHeight="1">
      <c r="B125" s="3"/>
    </row>
    <row r="126" ht="15.75" customHeight="1">
      <c r="B126" s="3"/>
    </row>
    <row r="127" ht="15.75" customHeight="1">
      <c r="B127" s="3"/>
    </row>
    <row r="128" ht="15.75" customHeight="1">
      <c r="B128" s="3"/>
    </row>
    <row r="129" ht="15.75" customHeight="1">
      <c r="B129" s="3"/>
    </row>
    <row r="130" ht="15.75" customHeight="1">
      <c r="B130" s="3"/>
    </row>
    <row r="131" ht="15.75" customHeight="1">
      <c r="B131" s="3"/>
    </row>
    <row r="132" ht="15.75" customHeight="1">
      <c r="B132" s="3"/>
    </row>
    <row r="133" ht="15.75" customHeight="1">
      <c r="B133" s="3"/>
    </row>
    <row r="134" ht="15.75" customHeight="1">
      <c r="B134" s="3"/>
    </row>
    <row r="135" ht="15.75" customHeight="1">
      <c r="B135" s="3"/>
    </row>
    <row r="136" ht="15.75" customHeight="1">
      <c r="B136" s="3"/>
    </row>
    <row r="137" ht="15.75" customHeight="1">
      <c r="B137" s="3"/>
    </row>
    <row r="138" ht="15.75" customHeight="1">
      <c r="B138" s="3"/>
    </row>
    <row r="139" ht="15.75" customHeight="1">
      <c r="B139" s="3"/>
    </row>
    <row r="140" ht="15.75" customHeight="1">
      <c r="B140" s="3"/>
    </row>
    <row r="141" ht="15.75" customHeight="1">
      <c r="B141" s="3"/>
    </row>
    <row r="142" ht="15.75" customHeight="1">
      <c r="B142" s="3"/>
    </row>
    <row r="143" ht="15.75" customHeight="1">
      <c r="B143" s="3"/>
    </row>
    <row r="144" ht="15.75" customHeight="1">
      <c r="B144" s="3"/>
    </row>
    <row r="145" ht="15.75" customHeight="1">
      <c r="B145" s="3"/>
    </row>
    <row r="146" ht="15.75" customHeight="1">
      <c r="B146" s="3"/>
    </row>
    <row r="147" ht="15.75" customHeight="1">
      <c r="B147" s="3"/>
    </row>
    <row r="148" ht="15.75" customHeight="1">
      <c r="B148" s="3"/>
    </row>
    <row r="149" ht="15.75" customHeight="1">
      <c r="B149" s="3"/>
    </row>
    <row r="150" ht="15.75" customHeight="1">
      <c r="B150" s="3"/>
    </row>
    <row r="151" ht="15.75" customHeight="1">
      <c r="B151" s="3"/>
    </row>
    <row r="152" ht="15.75" customHeight="1">
      <c r="B152" s="3"/>
    </row>
    <row r="153" ht="15.75" customHeight="1">
      <c r="B153" s="3"/>
    </row>
    <row r="154" ht="15.75" customHeight="1">
      <c r="B154" s="3"/>
    </row>
    <row r="155" ht="15.75" customHeight="1">
      <c r="B155" s="3"/>
    </row>
    <row r="156" ht="15.75" customHeight="1">
      <c r="B156" s="3"/>
    </row>
    <row r="157" ht="15.75" customHeight="1">
      <c r="B157" s="3"/>
    </row>
    <row r="158" ht="15.75" customHeight="1">
      <c r="B158" s="3"/>
    </row>
    <row r="159" ht="15.75" customHeight="1">
      <c r="B159" s="3"/>
    </row>
    <row r="160" ht="15.75" customHeight="1">
      <c r="B160" s="3"/>
    </row>
    <row r="161" ht="15.75" customHeight="1">
      <c r="B161" s="3"/>
    </row>
    <row r="162" ht="15.75" customHeight="1">
      <c r="B162" s="3"/>
    </row>
    <row r="163" ht="15.75" customHeight="1">
      <c r="B163" s="3"/>
    </row>
    <row r="164" ht="15.75" customHeight="1">
      <c r="B164" s="3"/>
    </row>
    <row r="165" ht="15.75" customHeight="1">
      <c r="B165" s="3"/>
    </row>
    <row r="166" ht="15.75" customHeight="1">
      <c r="B166" s="3"/>
    </row>
    <row r="167" ht="15.75" customHeight="1">
      <c r="B167" s="3"/>
    </row>
    <row r="168" ht="15.75" customHeight="1">
      <c r="B168" s="3"/>
    </row>
    <row r="169" ht="15.75" customHeight="1">
      <c r="B169" s="3"/>
    </row>
    <row r="170" ht="15.75" customHeight="1">
      <c r="B170" s="3"/>
    </row>
    <row r="171" ht="15.75" customHeight="1">
      <c r="B171" s="3"/>
    </row>
    <row r="172" ht="15.75" customHeight="1">
      <c r="B172" s="3"/>
    </row>
    <row r="173" ht="15.75" customHeight="1">
      <c r="B173" s="3"/>
    </row>
    <row r="174" ht="15.75" customHeight="1">
      <c r="B174" s="3"/>
    </row>
    <row r="175" ht="15.75" customHeight="1">
      <c r="B175" s="3"/>
    </row>
    <row r="176" ht="15.75" customHeight="1">
      <c r="B176" s="3"/>
    </row>
    <row r="177" ht="15.75" customHeight="1">
      <c r="B177" s="3"/>
    </row>
    <row r="178" ht="15.75" customHeight="1">
      <c r="B178" s="3"/>
    </row>
    <row r="179" ht="15.75" customHeight="1">
      <c r="B179" s="3"/>
    </row>
    <row r="180" ht="15.75" customHeight="1">
      <c r="B180" s="3"/>
    </row>
    <row r="181" ht="15.75" customHeight="1">
      <c r="B181" s="3"/>
    </row>
    <row r="182" ht="15.75" customHeight="1">
      <c r="B182" s="3"/>
    </row>
    <row r="183" ht="15.75" customHeight="1">
      <c r="B183" s="3"/>
    </row>
    <row r="184" ht="15.75" customHeight="1">
      <c r="B184" s="3"/>
    </row>
    <row r="185" ht="15.75" customHeight="1">
      <c r="B185" s="3"/>
    </row>
    <row r="186" ht="15.75" customHeight="1">
      <c r="B186" s="3"/>
    </row>
    <row r="187" ht="15.75" customHeight="1">
      <c r="B187" s="3"/>
    </row>
    <row r="188" ht="15.75" customHeight="1">
      <c r="B188" s="3"/>
    </row>
    <row r="189" ht="15.75" customHeight="1">
      <c r="B189" s="3"/>
    </row>
    <row r="190" ht="15.75" customHeight="1">
      <c r="B190" s="3"/>
    </row>
    <row r="191" ht="15.75" customHeight="1">
      <c r="B191" s="3"/>
    </row>
    <row r="192" ht="15.75" customHeight="1">
      <c r="B192" s="3"/>
    </row>
    <row r="193" ht="15.75" customHeight="1">
      <c r="B193" s="3"/>
    </row>
    <row r="194" ht="15.75" customHeight="1">
      <c r="B194" s="3"/>
    </row>
    <row r="195" ht="15.75" customHeight="1">
      <c r="B195" s="3"/>
    </row>
    <row r="196" ht="15.75" customHeight="1">
      <c r="B196" s="3"/>
    </row>
    <row r="197" ht="15.75" customHeight="1">
      <c r="B197" s="3"/>
    </row>
    <row r="198" ht="15.75" customHeight="1">
      <c r="B198" s="3"/>
    </row>
    <row r="199" ht="15.75" customHeight="1">
      <c r="B199" s="3"/>
    </row>
    <row r="200" ht="15.75" customHeight="1">
      <c r="B200" s="3"/>
    </row>
    <row r="201" ht="15.75" customHeight="1">
      <c r="B201" s="3"/>
    </row>
    <row r="202" ht="15.75" customHeight="1">
      <c r="B202" s="3"/>
    </row>
    <row r="203" ht="15.75" customHeight="1">
      <c r="B203" s="3"/>
    </row>
    <row r="204" ht="15.75" customHeight="1">
      <c r="B204" s="3"/>
    </row>
    <row r="205" ht="15.75" customHeight="1">
      <c r="B205" s="3"/>
    </row>
    <row r="206" ht="15.75" customHeight="1">
      <c r="B206" s="3"/>
    </row>
    <row r="207" ht="15.75" customHeight="1">
      <c r="B207" s="3"/>
    </row>
    <row r="208" ht="15.75" customHeight="1">
      <c r="B208" s="3"/>
    </row>
    <row r="209" ht="15.75" customHeight="1">
      <c r="B209" s="3"/>
    </row>
    <row r="210" ht="15.75" customHeight="1">
      <c r="B210" s="3"/>
    </row>
    <row r="211" ht="15.75" customHeight="1">
      <c r="B211" s="3"/>
    </row>
    <row r="212" ht="15.75" customHeight="1">
      <c r="B212" s="3"/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>
      <c r="B247" s="3"/>
    </row>
    <row r="248" ht="15.75" customHeight="1">
      <c r="B248" s="3"/>
    </row>
    <row r="249" ht="15.75" customHeight="1">
      <c r="B249" s="3"/>
    </row>
    <row r="250" ht="15.75" customHeight="1">
      <c r="B250" s="3"/>
    </row>
    <row r="251" ht="15.75" customHeight="1">
      <c r="B251" s="3"/>
    </row>
    <row r="252" ht="15.75" customHeight="1">
      <c r="B252" s="3"/>
    </row>
    <row r="253" ht="15.75" customHeight="1">
      <c r="B253" s="3"/>
    </row>
    <row r="254" ht="15.75" customHeight="1">
      <c r="B254" s="3"/>
    </row>
    <row r="255" ht="15.75" customHeight="1">
      <c r="B255" s="3"/>
    </row>
    <row r="256" ht="15.75" customHeight="1">
      <c r="B256" s="3"/>
    </row>
    <row r="257" ht="15.75" customHeight="1">
      <c r="B257" s="3"/>
    </row>
    <row r="258" ht="15.75" customHeight="1">
      <c r="B258" s="3"/>
    </row>
    <row r="259" ht="15.75" customHeight="1">
      <c r="B259" s="3"/>
    </row>
    <row r="260" ht="15.75" customHeight="1">
      <c r="B260" s="3"/>
    </row>
    <row r="261" ht="15.75" customHeight="1">
      <c r="B261" s="3"/>
    </row>
    <row r="262" ht="15.75" customHeight="1">
      <c r="B262" s="3"/>
    </row>
    <row r="263" ht="15.75" customHeight="1">
      <c r="B263" s="3"/>
    </row>
    <row r="264" ht="15.75" customHeight="1">
      <c r="B264" s="3"/>
    </row>
    <row r="265" ht="15.75" customHeight="1">
      <c r="B265" s="3"/>
    </row>
    <row r="266" ht="15.75" customHeight="1">
      <c r="B266" s="3"/>
    </row>
    <row r="267" ht="15.75" customHeight="1">
      <c r="B267" s="3"/>
    </row>
    <row r="268" ht="15.75" customHeight="1">
      <c r="B268" s="3"/>
    </row>
    <row r="269" ht="15.75" customHeight="1">
      <c r="B269" s="3"/>
    </row>
    <row r="270" ht="15.75" customHeight="1">
      <c r="B270" s="3"/>
    </row>
    <row r="271" ht="15.75" customHeight="1">
      <c r="B271" s="3"/>
    </row>
    <row r="272" ht="15.75" customHeight="1">
      <c r="B272" s="3"/>
    </row>
    <row r="273" ht="15.75" customHeight="1">
      <c r="B273" s="3"/>
    </row>
    <row r="274" ht="15.75" customHeight="1">
      <c r="B274" s="3"/>
    </row>
    <row r="275" ht="15.75" customHeight="1">
      <c r="B275" s="3"/>
    </row>
    <row r="276" ht="15.75" customHeight="1">
      <c r="B276" s="3"/>
    </row>
    <row r="277" ht="15.75" customHeight="1">
      <c r="B277" s="3"/>
    </row>
    <row r="278" ht="15.75" customHeight="1">
      <c r="B278" s="3"/>
    </row>
    <row r="279" ht="15.75" customHeight="1">
      <c r="B279" s="3"/>
    </row>
    <row r="280" ht="15.75" customHeight="1">
      <c r="B280" s="3"/>
    </row>
    <row r="281" ht="15.75" customHeight="1">
      <c r="B281" s="3"/>
    </row>
    <row r="282" ht="15.75" customHeight="1">
      <c r="B282" s="3"/>
    </row>
    <row r="283" ht="15.75" customHeight="1">
      <c r="B283" s="3"/>
    </row>
    <row r="284" ht="15.75" customHeight="1">
      <c r="B284" s="3"/>
    </row>
    <row r="285" ht="15.75" customHeight="1">
      <c r="B285" s="3"/>
    </row>
    <row r="286" ht="15.75" customHeight="1">
      <c r="B286" s="3"/>
    </row>
    <row r="287" ht="15.75" customHeight="1">
      <c r="B287" s="3"/>
    </row>
    <row r="288" ht="15.75" customHeight="1">
      <c r="B288" s="3"/>
    </row>
    <row r="289" ht="15.75" customHeight="1">
      <c r="B289" s="3"/>
    </row>
    <row r="290" ht="15.75" customHeight="1">
      <c r="B290" s="3"/>
    </row>
    <row r="291" ht="15.75" customHeight="1">
      <c r="B291" s="3"/>
    </row>
    <row r="292" ht="15.75" customHeight="1">
      <c r="B292" s="3"/>
    </row>
    <row r="293" ht="15.75" customHeight="1">
      <c r="B293" s="3"/>
    </row>
    <row r="294" ht="15.75" customHeight="1">
      <c r="B294" s="3"/>
    </row>
    <row r="295" ht="15.75" customHeight="1">
      <c r="B295" s="3"/>
    </row>
    <row r="296" ht="15.75" customHeight="1">
      <c r="B296" s="3"/>
    </row>
    <row r="297" ht="15.75" customHeight="1">
      <c r="B297" s="3"/>
    </row>
    <row r="298" ht="15.75" customHeight="1">
      <c r="B298" s="3"/>
    </row>
    <row r="299" ht="15.75" customHeight="1">
      <c r="B299" s="3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C51:C57"/>
    <mergeCell ref="D51:D57"/>
    <mergeCell ref="B58:B85"/>
    <mergeCell ref="C58:C64"/>
    <mergeCell ref="D58:D64"/>
    <mergeCell ref="D65:D71"/>
    <mergeCell ref="D72:D78"/>
    <mergeCell ref="C65:C71"/>
    <mergeCell ref="C72:C78"/>
    <mergeCell ref="G72:G99"/>
    <mergeCell ref="C79:C85"/>
    <mergeCell ref="D79:D85"/>
    <mergeCell ref="B86:B99"/>
    <mergeCell ref="D86:D92"/>
    <mergeCell ref="D93:D99"/>
    <mergeCell ref="C16:C22"/>
    <mergeCell ref="D16:D22"/>
    <mergeCell ref="A2:A29"/>
    <mergeCell ref="B2:B29"/>
    <mergeCell ref="C2:C8"/>
    <mergeCell ref="D2:D8"/>
    <mergeCell ref="G2:G29"/>
    <mergeCell ref="C9:C15"/>
    <mergeCell ref="D9:D15"/>
    <mergeCell ref="C37:C43"/>
    <mergeCell ref="D37:D43"/>
    <mergeCell ref="C44:C50"/>
    <mergeCell ref="D44:D50"/>
    <mergeCell ref="C23:C29"/>
    <mergeCell ref="D23:D29"/>
    <mergeCell ref="A30:A57"/>
    <mergeCell ref="B30:B57"/>
    <mergeCell ref="C30:C36"/>
    <mergeCell ref="D30:D36"/>
    <mergeCell ref="G30:G57"/>
    <mergeCell ref="G58:G71"/>
    <mergeCell ref="A58:A85"/>
    <mergeCell ref="A86:A99"/>
    <mergeCell ref="C86:C92"/>
    <mergeCell ref="C93:C9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16" t="s">
        <v>140</v>
      </c>
      <c r="B1" s="17" t="s">
        <v>141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ht="15.75" customHeight="1">
      <c r="A2" s="16" t="s">
        <v>142</v>
      </c>
      <c r="B2" s="19">
        <v>1.0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ht="15.75" customHeight="1">
      <c r="A3" s="16" t="s">
        <v>14</v>
      </c>
      <c r="B3" s="20" t="s">
        <v>143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ht="15.75" customHeight="1">
      <c r="A4" s="16" t="s">
        <v>16</v>
      </c>
      <c r="B4" s="21" t="s">
        <v>144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ht="15.75" customHeight="1">
      <c r="A5" s="18"/>
      <c r="B5" s="21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ht="15.75" customHeight="1">
      <c r="A6" s="22" t="s">
        <v>17</v>
      </c>
      <c r="B6" s="23" t="s">
        <v>145</v>
      </c>
      <c r="C6" s="24" t="s">
        <v>146</v>
      </c>
      <c r="D6" s="25" t="s">
        <v>147</v>
      </c>
      <c r="E6" s="25" t="s">
        <v>148</v>
      </c>
      <c r="F6" s="26" t="s">
        <v>149</v>
      </c>
      <c r="G6" s="27"/>
      <c r="H6" s="26" t="s">
        <v>150</v>
      </c>
      <c r="I6" s="27"/>
      <c r="J6" s="24" t="s">
        <v>151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ht="15.75" customHeight="1">
      <c r="A7" s="28"/>
      <c r="B7" s="23" t="s">
        <v>152</v>
      </c>
      <c r="C7" s="29">
        <v>15.0</v>
      </c>
      <c r="D7" s="30">
        <v>10.0</v>
      </c>
      <c r="E7" s="30">
        <v>10.0</v>
      </c>
      <c r="F7" s="30">
        <v>15.0</v>
      </c>
      <c r="G7" s="30">
        <v>5.0</v>
      </c>
      <c r="H7" s="30">
        <v>5.0</v>
      </c>
      <c r="I7" s="30">
        <v>15.0</v>
      </c>
      <c r="J7" s="2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ht="15.75" customHeight="1">
      <c r="A8" s="31"/>
      <c r="B8" s="23" t="s">
        <v>16</v>
      </c>
      <c r="C8" s="31"/>
      <c r="D8" s="31"/>
      <c r="E8" s="31"/>
      <c r="F8" s="31"/>
      <c r="G8" s="31"/>
      <c r="H8" s="31"/>
      <c r="I8" s="31"/>
      <c r="J8" s="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ht="15.75" customHeight="1">
      <c r="A9" s="32">
        <v>1.0</v>
      </c>
      <c r="B9" s="33" t="s">
        <v>153</v>
      </c>
      <c r="C9" s="18"/>
      <c r="D9" s="32" t="s">
        <v>154</v>
      </c>
      <c r="E9" s="32" t="s">
        <v>154</v>
      </c>
      <c r="F9" s="32"/>
      <c r="G9" s="32"/>
      <c r="H9" s="32" t="s">
        <v>154</v>
      </c>
      <c r="I9" s="32"/>
      <c r="J9" s="32">
        <f t="shared" ref="J9:J14" si="1">if(D9="X",$D$7,0)+if(E9="X",$E$7,0)+if(F9="X",$F$7,0)+if(G9="X",$G$7,0)+if(H9="X",$H$7,0)+if(I9="X",$I$7,0)</f>
        <v>25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ht="15.75" customHeight="1">
      <c r="A10" s="34">
        <v>2.0</v>
      </c>
      <c r="B10" s="35" t="s">
        <v>155</v>
      </c>
      <c r="C10" s="34"/>
      <c r="D10" s="34" t="s">
        <v>154</v>
      </c>
      <c r="E10" s="34"/>
      <c r="F10" s="34" t="s">
        <v>154</v>
      </c>
      <c r="G10" s="34"/>
      <c r="H10" s="34"/>
      <c r="I10" s="34"/>
      <c r="J10" s="32">
        <f t="shared" si="1"/>
        <v>25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ht="15.75" customHeight="1">
      <c r="A11" s="34">
        <v>3.0</v>
      </c>
      <c r="B11" s="21" t="s">
        <v>156</v>
      </c>
      <c r="C11" s="18"/>
      <c r="D11" s="34" t="s">
        <v>157</v>
      </c>
      <c r="E11" s="34" t="s">
        <v>157</v>
      </c>
      <c r="F11" s="34"/>
      <c r="G11" s="34"/>
      <c r="H11" s="34" t="s">
        <v>157</v>
      </c>
      <c r="I11" s="34"/>
      <c r="J11" s="32">
        <f t="shared" si="1"/>
        <v>25</v>
      </c>
      <c r="K11" s="18"/>
      <c r="L11" s="21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ht="15.75" customHeight="1">
      <c r="A12" s="34">
        <v>4.0</v>
      </c>
      <c r="B12" s="35" t="s">
        <v>158</v>
      </c>
      <c r="C12" s="34"/>
      <c r="D12" s="34" t="s">
        <v>157</v>
      </c>
      <c r="E12" s="34"/>
      <c r="F12" s="34" t="s">
        <v>157</v>
      </c>
      <c r="G12" s="34"/>
      <c r="H12" s="34"/>
      <c r="I12" s="34"/>
      <c r="J12" s="32">
        <f t="shared" si="1"/>
        <v>25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ht="15.75" customHeight="1">
      <c r="A13" s="34">
        <v>5.0</v>
      </c>
      <c r="B13" s="35" t="s">
        <v>159</v>
      </c>
      <c r="C13" s="34"/>
      <c r="D13" s="34"/>
      <c r="E13" s="34" t="s">
        <v>157</v>
      </c>
      <c r="F13" s="34" t="s">
        <v>157</v>
      </c>
      <c r="G13" s="34"/>
      <c r="H13" s="34"/>
      <c r="I13" s="34"/>
      <c r="J13" s="32">
        <f t="shared" si="1"/>
        <v>25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ht="15.75" customHeight="1">
      <c r="A14" s="34">
        <v>6.0</v>
      </c>
      <c r="B14" s="35" t="s">
        <v>160</v>
      </c>
      <c r="C14" s="34"/>
      <c r="D14" s="34"/>
      <c r="E14" s="34"/>
      <c r="F14" s="34"/>
      <c r="G14" s="34" t="s">
        <v>157</v>
      </c>
      <c r="H14" s="34"/>
      <c r="I14" s="34" t="s">
        <v>157</v>
      </c>
      <c r="J14" s="32">
        <f t="shared" si="1"/>
        <v>20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ht="15.75" customHeight="1">
      <c r="A15" s="18"/>
      <c r="B15" s="21"/>
      <c r="C15" s="18"/>
      <c r="D15" s="18"/>
      <c r="E15" s="18"/>
      <c r="F15" s="18"/>
      <c r="G15" s="18"/>
      <c r="H15" s="36" t="s">
        <v>161</v>
      </c>
      <c r="J15" s="36">
        <f>SUM(J7:J14)</f>
        <v>145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ht="15.75" customHeight="1">
      <c r="A16" s="18"/>
      <c r="B16" s="21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ht="15.75" customHeight="1">
      <c r="A17" s="18"/>
      <c r="B17" s="21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ht="15.75" customHeight="1">
      <c r="A18" s="18"/>
      <c r="B18" s="21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ht="15.75" customHeight="1">
      <c r="A19" s="18"/>
      <c r="B19" s="21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ht="15.75" customHeight="1">
      <c r="A20" s="18"/>
      <c r="B20" s="21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ht="15.75" customHeight="1">
      <c r="A21" s="18"/>
      <c r="B21" s="21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ht="15.75" customHeight="1">
      <c r="A22" s="18"/>
      <c r="B22" s="21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ht="15.75" customHeight="1">
      <c r="A23" s="18"/>
      <c r="B23" s="21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ht="15.75" customHeight="1">
      <c r="A24" s="18"/>
      <c r="B24" s="21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 ht="15.75" customHeight="1">
      <c r="A25" s="18"/>
      <c r="B25" s="21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 ht="15.75" customHeight="1">
      <c r="A26" s="18"/>
      <c r="B26" s="21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ht="15.75" customHeight="1">
      <c r="A27" s="18"/>
      <c r="B27" s="21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ht="15.75" customHeight="1">
      <c r="A28" s="18"/>
      <c r="B28" s="21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ht="15.75" customHeight="1">
      <c r="A29" s="18"/>
      <c r="B29" s="21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ht="15.75" customHeight="1">
      <c r="A30" s="18"/>
      <c r="B30" s="21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ht="15.75" customHeight="1">
      <c r="A31" s="18"/>
      <c r="B31" s="21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ht="15.75" customHeight="1">
      <c r="A32" s="18"/>
      <c r="B32" s="21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 ht="15.75" customHeight="1">
      <c r="A33" s="18"/>
      <c r="B33" s="21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ht="15.75" customHeight="1">
      <c r="A34" s="18"/>
      <c r="B34" s="21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ht="15.75" customHeight="1">
      <c r="A35" s="18"/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 ht="15.75" customHeight="1">
      <c r="A36" s="18"/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ht="15.75" customHeight="1">
      <c r="A37" s="18"/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ht="15.75" customHeight="1">
      <c r="A38" s="18"/>
      <c r="B38" s="21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ht="15.75" customHeight="1">
      <c r="A39" s="18"/>
      <c r="B39" s="21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ht="15.75" customHeight="1">
      <c r="A40" s="18"/>
      <c r="B40" s="21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ht="15.75" customHeight="1">
      <c r="A41" s="18"/>
      <c r="B41" s="21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ht="15.75" customHeight="1">
      <c r="A42" s="18"/>
      <c r="B42" s="21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ht="15.75" customHeight="1">
      <c r="A43" s="18"/>
      <c r="B43" s="21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ht="15.75" customHeight="1">
      <c r="A44" s="18"/>
      <c r="B44" s="21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ht="15.75" customHeight="1">
      <c r="A45" s="18"/>
      <c r="B45" s="21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ht="15.75" customHeight="1">
      <c r="A46" s="18"/>
      <c r="B46" s="21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ht="15.75" customHeight="1">
      <c r="A47" s="18"/>
      <c r="B47" s="21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ht="15.75" customHeight="1">
      <c r="A48" s="18"/>
      <c r="B48" s="21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ht="15.75" customHeight="1">
      <c r="A49" s="18"/>
      <c r="B49" s="21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ht="15.75" customHeight="1">
      <c r="A50" s="18"/>
      <c r="B50" s="21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ht="15.75" customHeight="1">
      <c r="A51" s="18"/>
      <c r="B51" s="21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ht="15.75" customHeight="1">
      <c r="A52" s="18"/>
      <c r="B52" s="21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ht="15.75" customHeight="1">
      <c r="A53" s="18"/>
      <c r="B53" s="21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ht="15.75" customHeight="1">
      <c r="A54" s="18"/>
      <c r="B54" s="21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ht="15.75" customHeight="1">
      <c r="A55" s="18"/>
      <c r="B55" s="21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ht="15.75" customHeight="1">
      <c r="A56" s="18"/>
      <c r="B56" s="21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ht="15.75" customHeight="1">
      <c r="A57" s="18"/>
      <c r="B57" s="21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ht="15.75" customHeight="1">
      <c r="A58" s="18"/>
      <c r="B58" s="21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ht="15.75" customHeight="1">
      <c r="A59" s="18"/>
      <c r="B59" s="21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ht="15.75" customHeight="1">
      <c r="A60" s="18"/>
      <c r="B60" s="21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ht="15.75" customHeight="1">
      <c r="A61" s="18"/>
      <c r="B61" s="21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ht="15.75" customHeight="1">
      <c r="A62" s="18"/>
      <c r="B62" s="21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ht="15.75" customHeight="1">
      <c r="A63" s="18"/>
      <c r="B63" s="21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ht="15.75" customHeight="1">
      <c r="A64" s="18"/>
      <c r="B64" s="21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ht="15.75" customHeight="1">
      <c r="A65" s="18"/>
      <c r="B65" s="21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ht="15.75" customHeight="1">
      <c r="A66" s="18"/>
      <c r="B66" s="21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ht="15.75" customHeight="1">
      <c r="A67" s="18"/>
      <c r="B67" s="21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ht="15.75" customHeight="1">
      <c r="A68" s="18"/>
      <c r="B68" s="21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ht="15.75" customHeight="1">
      <c r="A69" s="18"/>
      <c r="B69" s="21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ht="15.75" customHeight="1">
      <c r="A70" s="18"/>
      <c r="B70" s="21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ht="15.75" customHeight="1">
      <c r="A71" s="18"/>
      <c r="B71" s="21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ht="15.75" customHeight="1">
      <c r="A72" s="18"/>
      <c r="B72" s="21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ht="15.75" customHeight="1">
      <c r="A73" s="18"/>
      <c r="B73" s="21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ht="15.75" customHeight="1">
      <c r="A74" s="18"/>
      <c r="B74" s="21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ht="15.75" customHeight="1">
      <c r="A75" s="18"/>
      <c r="B75" s="21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ht="15.75" customHeight="1">
      <c r="A76" s="18"/>
      <c r="B76" s="21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ht="15.75" customHeight="1">
      <c r="A77" s="18"/>
      <c r="B77" s="21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ht="15.75" customHeight="1">
      <c r="A78" s="18"/>
      <c r="B78" s="21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ht="15.75" customHeight="1">
      <c r="A79" s="18"/>
      <c r="B79" s="21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ht="15.75" customHeight="1">
      <c r="A80" s="18"/>
      <c r="B80" s="21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ht="15.75" customHeight="1">
      <c r="A81" s="18"/>
      <c r="B81" s="21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ht="15.75" customHeight="1">
      <c r="A82" s="18"/>
      <c r="B82" s="21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ht="15.75" customHeight="1">
      <c r="A83" s="18"/>
      <c r="B83" s="21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ht="15.75" customHeight="1">
      <c r="A84" s="18"/>
      <c r="B84" s="21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ht="15.75" customHeight="1">
      <c r="A85" s="18"/>
      <c r="B85" s="21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ht="15.75" customHeight="1">
      <c r="A86" s="18"/>
      <c r="B86" s="21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ht="15.75" customHeight="1">
      <c r="A87" s="18"/>
      <c r="B87" s="21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ht="15.75" customHeight="1">
      <c r="A88" s="18"/>
      <c r="B88" s="21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ht="15.75" customHeight="1">
      <c r="A89" s="18"/>
      <c r="B89" s="21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ht="15.75" customHeight="1">
      <c r="A90" s="18"/>
      <c r="B90" s="21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ht="15.75" customHeight="1">
      <c r="A91" s="18"/>
      <c r="B91" s="21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ht="15.75" customHeight="1">
      <c r="A92" s="18"/>
      <c r="B92" s="21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ht="15.75" customHeight="1">
      <c r="A93" s="18"/>
      <c r="B93" s="21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ht="15.75" customHeight="1">
      <c r="A94" s="18"/>
      <c r="B94" s="21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ht="15.75" customHeight="1">
      <c r="A95" s="18"/>
      <c r="B95" s="21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ht="15.75" customHeight="1">
      <c r="A96" s="18"/>
      <c r="B96" s="21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ht="15.75" customHeight="1">
      <c r="A97" s="18"/>
      <c r="B97" s="21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ht="15.75" customHeight="1">
      <c r="A98" s="18"/>
      <c r="B98" s="21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ht="15.75" customHeight="1">
      <c r="A99" s="18"/>
      <c r="B99" s="21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ht="15.75" customHeight="1">
      <c r="A100" s="18"/>
      <c r="B100" s="21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ht="15.75" customHeight="1">
      <c r="A101" s="18"/>
      <c r="B101" s="21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ht="15.75" customHeight="1">
      <c r="A102" s="18"/>
      <c r="B102" s="21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ht="15.75" customHeight="1">
      <c r="A103" s="18"/>
      <c r="B103" s="21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ht="15.75" customHeight="1">
      <c r="A104" s="18"/>
      <c r="B104" s="21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ht="15.75" customHeight="1">
      <c r="A105" s="18"/>
      <c r="B105" s="21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ht="15.75" customHeight="1">
      <c r="A106" s="18"/>
      <c r="B106" s="21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ht="15.75" customHeight="1">
      <c r="A107" s="18"/>
      <c r="B107" s="21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ht="15.75" customHeight="1">
      <c r="A108" s="18"/>
      <c r="B108" s="21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ht="15.75" customHeight="1">
      <c r="A109" s="18"/>
      <c r="B109" s="21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ht="15.75" customHeight="1">
      <c r="A110" s="18"/>
      <c r="B110" s="21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ht="15.75" customHeight="1">
      <c r="A111" s="18"/>
      <c r="B111" s="21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ht="15.75" customHeight="1">
      <c r="A112" s="18"/>
      <c r="B112" s="21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ht="15.75" customHeight="1">
      <c r="A113" s="18"/>
      <c r="B113" s="21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ht="15.75" customHeight="1">
      <c r="A114" s="18"/>
      <c r="B114" s="21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ht="15.75" customHeight="1">
      <c r="A115" s="18"/>
      <c r="B115" s="21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ht="15.75" customHeight="1">
      <c r="A116" s="18"/>
      <c r="B116" s="21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ht="15.75" customHeight="1">
      <c r="A117" s="18"/>
      <c r="B117" s="21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ht="15.75" customHeight="1">
      <c r="A118" s="18"/>
      <c r="B118" s="21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ht="15.75" customHeight="1">
      <c r="A119" s="18"/>
      <c r="B119" s="21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ht="15.75" customHeight="1">
      <c r="A120" s="18"/>
      <c r="B120" s="21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ht="15.75" customHeight="1">
      <c r="A121" s="18"/>
      <c r="B121" s="21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ht="15.75" customHeight="1">
      <c r="A122" s="18"/>
      <c r="B122" s="21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ht="15.75" customHeight="1">
      <c r="A123" s="18"/>
      <c r="B123" s="21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ht="15.75" customHeight="1">
      <c r="A124" s="18"/>
      <c r="B124" s="21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ht="15.75" customHeight="1">
      <c r="A125" s="18"/>
      <c r="B125" s="21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ht="15.75" customHeight="1">
      <c r="A126" s="18"/>
      <c r="B126" s="21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ht="15.75" customHeight="1">
      <c r="A127" s="18"/>
      <c r="B127" s="21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ht="15.75" customHeight="1">
      <c r="A128" s="18"/>
      <c r="B128" s="21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ht="15.75" customHeight="1">
      <c r="A129" s="18"/>
      <c r="B129" s="21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ht="15.75" customHeight="1">
      <c r="A130" s="18"/>
      <c r="B130" s="21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ht="15.75" customHeight="1">
      <c r="A131" s="18"/>
      <c r="B131" s="21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ht="15.75" customHeight="1">
      <c r="A132" s="18"/>
      <c r="B132" s="21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ht="15.75" customHeight="1">
      <c r="A133" s="18"/>
      <c r="B133" s="21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ht="15.75" customHeight="1">
      <c r="A134" s="18"/>
      <c r="B134" s="21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ht="15.75" customHeight="1">
      <c r="A135" s="18"/>
      <c r="B135" s="21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ht="15.75" customHeight="1">
      <c r="A136" s="18"/>
      <c r="B136" s="21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ht="15.75" customHeight="1">
      <c r="A137" s="18"/>
      <c r="B137" s="21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ht="15.75" customHeight="1">
      <c r="A138" s="18"/>
      <c r="B138" s="21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ht="15.75" customHeight="1">
      <c r="A139" s="18"/>
      <c r="B139" s="21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ht="15.75" customHeight="1">
      <c r="A140" s="18"/>
      <c r="B140" s="21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ht="15.75" customHeight="1">
      <c r="A141" s="18"/>
      <c r="B141" s="21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ht="15.75" customHeight="1">
      <c r="A142" s="18"/>
      <c r="B142" s="21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ht="15.75" customHeight="1">
      <c r="A143" s="18"/>
      <c r="B143" s="21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ht="15.75" customHeight="1">
      <c r="A144" s="18"/>
      <c r="B144" s="21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ht="15.75" customHeight="1">
      <c r="A145" s="18"/>
      <c r="B145" s="21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ht="15.75" customHeight="1">
      <c r="A146" s="18"/>
      <c r="B146" s="21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ht="15.75" customHeight="1">
      <c r="A147" s="18"/>
      <c r="B147" s="21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ht="15.75" customHeight="1">
      <c r="A148" s="18"/>
      <c r="B148" s="21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ht="15.75" customHeight="1">
      <c r="A149" s="18"/>
      <c r="B149" s="21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ht="15.75" customHeight="1">
      <c r="A150" s="18"/>
      <c r="B150" s="21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ht="15.75" customHeight="1">
      <c r="A151" s="18"/>
      <c r="B151" s="21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ht="15.75" customHeight="1">
      <c r="A152" s="18"/>
      <c r="B152" s="21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ht="15.75" customHeight="1">
      <c r="A153" s="18"/>
      <c r="B153" s="21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ht="15.75" customHeight="1">
      <c r="A154" s="18"/>
      <c r="B154" s="21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ht="15.75" customHeight="1">
      <c r="A155" s="18"/>
      <c r="B155" s="21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ht="15.75" customHeight="1">
      <c r="A156" s="18"/>
      <c r="B156" s="21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ht="15.75" customHeight="1">
      <c r="A157" s="18"/>
      <c r="B157" s="21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ht="15.75" customHeight="1">
      <c r="A158" s="18"/>
      <c r="B158" s="21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ht="15.75" customHeight="1">
      <c r="A159" s="18"/>
      <c r="B159" s="21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ht="15.75" customHeight="1">
      <c r="A160" s="18"/>
      <c r="B160" s="21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ht="15.75" customHeight="1">
      <c r="A161" s="18"/>
      <c r="B161" s="21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ht="15.75" customHeight="1">
      <c r="A162" s="18"/>
      <c r="B162" s="21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ht="15.75" customHeight="1">
      <c r="A163" s="18"/>
      <c r="B163" s="21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ht="15.75" customHeight="1">
      <c r="A164" s="18"/>
      <c r="B164" s="21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ht="15.75" customHeight="1">
      <c r="A165" s="18"/>
      <c r="B165" s="21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ht="15.75" customHeight="1">
      <c r="A166" s="18"/>
      <c r="B166" s="21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ht="15.75" customHeight="1">
      <c r="A167" s="18"/>
      <c r="B167" s="21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ht="15.75" customHeight="1">
      <c r="A168" s="18"/>
      <c r="B168" s="21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ht="15.75" customHeight="1">
      <c r="A169" s="18"/>
      <c r="B169" s="21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ht="15.75" customHeight="1">
      <c r="A170" s="18"/>
      <c r="B170" s="21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ht="15.75" customHeight="1">
      <c r="A171" s="18"/>
      <c r="B171" s="21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ht="15.75" customHeight="1">
      <c r="A172" s="18"/>
      <c r="B172" s="21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ht="15.75" customHeight="1">
      <c r="A173" s="18"/>
      <c r="B173" s="21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ht="15.75" customHeight="1">
      <c r="A174" s="18"/>
      <c r="B174" s="21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ht="15.75" customHeight="1">
      <c r="A175" s="18"/>
      <c r="B175" s="21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ht="15.75" customHeight="1">
      <c r="A176" s="18"/>
      <c r="B176" s="21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ht="15.75" customHeight="1">
      <c r="A177" s="18"/>
      <c r="B177" s="21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ht="15.75" customHeight="1">
      <c r="A178" s="18"/>
      <c r="B178" s="21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ht="15.75" customHeight="1">
      <c r="A179" s="18"/>
      <c r="B179" s="21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ht="15.75" customHeight="1">
      <c r="A180" s="18"/>
      <c r="B180" s="21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ht="15.75" customHeight="1">
      <c r="A181" s="18"/>
      <c r="B181" s="21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ht="15.75" customHeight="1">
      <c r="A182" s="18"/>
      <c r="B182" s="21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ht="15.75" customHeight="1">
      <c r="A183" s="18"/>
      <c r="B183" s="21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ht="15.75" customHeight="1">
      <c r="A184" s="18"/>
      <c r="B184" s="21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ht="15.75" customHeight="1">
      <c r="A185" s="18"/>
      <c r="B185" s="21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ht="15.75" customHeight="1">
      <c r="A186" s="18"/>
      <c r="B186" s="21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ht="15.75" customHeight="1">
      <c r="A187" s="18"/>
      <c r="B187" s="21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ht="15.75" customHeight="1">
      <c r="A188" s="18"/>
      <c r="B188" s="21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ht="15.75" customHeight="1">
      <c r="A189" s="18"/>
      <c r="B189" s="21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ht="15.75" customHeight="1">
      <c r="A190" s="18"/>
      <c r="B190" s="21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ht="15.75" customHeight="1">
      <c r="A191" s="18"/>
      <c r="B191" s="21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ht="15.75" customHeight="1">
      <c r="A192" s="18"/>
      <c r="B192" s="21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ht="15.75" customHeight="1">
      <c r="A193" s="18"/>
      <c r="B193" s="21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ht="15.75" customHeight="1">
      <c r="A194" s="18"/>
      <c r="B194" s="21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ht="15.75" customHeight="1">
      <c r="A195" s="18"/>
      <c r="B195" s="21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ht="15.75" customHeight="1">
      <c r="A196" s="18"/>
      <c r="B196" s="21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ht="15.75" customHeight="1">
      <c r="A197" s="18"/>
      <c r="B197" s="21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ht="15.75" customHeight="1">
      <c r="A198" s="18"/>
      <c r="B198" s="21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ht="15.75" customHeight="1">
      <c r="A199" s="18"/>
      <c r="B199" s="21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ht="15.75" customHeight="1">
      <c r="A200" s="18"/>
      <c r="B200" s="21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ht="15.75" customHeight="1">
      <c r="A201" s="18"/>
      <c r="B201" s="21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ht="15.75" customHeight="1">
      <c r="A202" s="18"/>
      <c r="B202" s="21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ht="15.75" customHeight="1">
      <c r="A203" s="18"/>
      <c r="B203" s="21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ht="15.75" customHeight="1">
      <c r="A204" s="18"/>
      <c r="B204" s="21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ht="15.75" customHeight="1">
      <c r="A205" s="18"/>
      <c r="B205" s="21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ht="15.75" customHeight="1">
      <c r="A206" s="18"/>
      <c r="B206" s="21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ht="15.75" customHeight="1">
      <c r="A207" s="18"/>
      <c r="B207" s="21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ht="15.75" customHeight="1">
      <c r="A208" s="18"/>
      <c r="B208" s="21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ht="15.75" customHeight="1">
      <c r="A209" s="18"/>
      <c r="B209" s="21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ht="15.75" customHeight="1">
      <c r="A210" s="18"/>
      <c r="B210" s="21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ht="15.75" customHeight="1">
      <c r="A211" s="18"/>
      <c r="B211" s="21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ht="15.75" customHeight="1">
      <c r="A212" s="18"/>
      <c r="B212" s="21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ht="15.75" customHeight="1">
      <c r="A213" s="18"/>
      <c r="B213" s="21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ht="15.75" customHeight="1">
      <c r="A214" s="18"/>
      <c r="B214" s="21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ht="15.75" customHeight="1">
      <c r="A215" s="18"/>
      <c r="B215" s="21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ht="15.75" customHeight="1">
      <c r="A216" s="18"/>
      <c r="B216" s="21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ht="15.75" customHeight="1">
      <c r="A217" s="18"/>
      <c r="B217" s="21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ht="15.75" customHeight="1">
      <c r="A218" s="18"/>
      <c r="B218" s="21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ht="15.75" customHeight="1">
      <c r="A219" s="18"/>
      <c r="B219" s="21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ht="15.75" customHeight="1">
      <c r="A220" s="18"/>
      <c r="B220" s="21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5:I15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7" t="s">
        <v>140</v>
      </c>
      <c r="B1" s="38">
        <v>1.0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37" t="s">
        <v>142</v>
      </c>
      <c r="B2" s="40">
        <v>1.0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37" t="s">
        <v>14</v>
      </c>
      <c r="B3" s="41" t="s">
        <v>20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37" t="s">
        <v>16</v>
      </c>
      <c r="B4" s="42" t="s">
        <v>21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43" t="s">
        <v>17</v>
      </c>
      <c r="B6" s="44" t="s">
        <v>145</v>
      </c>
      <c r="C6" s="45" t="s">
        <v>146</v>
      </c>
      <c r="D6" s="45" t="s">
        <v>147</v>
      </c>
      <c r="E6" s="45" t="s">
        <v>148</v>
      </c>
      <c r="F6" s="46" t="s">
        <v>149</v>
      </c>
      <c r="G6" s="27"/>
      <c r="H6" s="46" t="s">
        <v>150</v>
      </c>
      <c r="I6" s="27"/>
      <c r="J6" s="47" t="s">
        <v>151</v>
      </c>
      <c r="K6" s="48" t="s">
        <v>149</v>
      </c>
      <c r="L6" s="49" t="s">
        <v>150</v>
      </c>
      <c r="M6" s="50" t="s">
        <v>162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5.75" customHeight="1">
      <c r="A7" s="28"/>
      <c r="B7" s="44" t="s">
        <v>163</v>
      </c>
      <c r="C7" s="51">
        <v>15.0</v>
      </c>
      <c r="D7" s="51">
        <v>10.0</v>
      </c>
      <c r="E7" s="52">
        <v>10.0</v>
      </c>
      <c r="F7" s="51">
        <v>15.0</v>
      </c>
      <c r="G7" s="51">
        <v>5.0</v>
      </c>
      <c r="H7" s="51">
        <v>5.0</v>
      </c>
      <c r="I7" s="51">
        <v>15.0</v>
      </c>
      <c r="J7" s="28"/>
      <c r="K7" s="53" t="s">
        <v>164</v>
      </c>
      <c r="L7" s="53" t="s">
        <v>164</v>
      </c>
      <c r="M7" s="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31"/>
      <c r="B8" s="43" t="s">
        <v>18</v>
      </c>
      <c r="C8" s="31"/>
      <c r="D8" s="31"/>
      <c r="E8" s="31"/>
      <c r="F8" s="31"/>
      <c r="G8" s="31"/>
      <c r="H8" s="31"/>
      <c r="I8" s="31"/>
      <c r="J8" s="31"/>
      <c r="K8" s="9"/>
      <c r="L8" s="9"/>
      <c r="M8" s="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7.0" customHeight="1">
      <c r="A9" s="54">
        <v>1.0</v>
      </c>
      <c r="B9" s="55" t="s">
        <v>165</v>
      </c>
      <c r="C9" s="56" t="s">
        <v>157</v>
      </c>
      <c r="D9" s="56"/>
      <c r="E9" s="56"/>
      <c r="F9" s="56"/>
      <c r="G9" s="56"/>
      <c r="H9" s="56"/>
      <c r="I9" s="56"/>
      <c r="J9" s="57">
        <f>if(C9="X",$C$7,0)+if(D9="X",$D$7,0)+if(E9="X",$E$7,0)+if(F9="X",$F$7,0)+if(G9="X",$G$7,0)+if(H9="X",$H$7,0)+if(I9="X",$I$7,0)</f>
        <v>15</v>
      </c>
      <c r="K9" s="58"/>
      <c r="L9" s="58"/>
      <c r="M9" s="59">
        <f t="shared" ref="M9:M14" si="1">sum(K9:L9)</f>
        <v>0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5.75" customHeight="1">
      <c r="A10" s="59">
        <v>2.0</v>
      </c>
      <c r="B10" s="58" t="s">
        <v>24</v>
      </c>
      <c r="C10" s="58"/>
      <c r="D10" s="60" t="s">
        <v>157</v>
      </c>
      <c r="E10" s="58"/>
      <c r="F10" s="58"/>
      <c r="G10" s="58"/>
      <c r="H10" s="58"/>
      <c r="I10" s="58"/>
      <c r="J10" s="57">
        <f t="shared" ref="J10:J14" si="2">IF(D10="X",$D$7,0)+IF(E10="X",$E$7,0)+IF(F10="X",$F$7,0)+IF(G10="X",$G$7,0)+IF(H10="X",$H$7,0)+IF(I10="X",$I$7,0)+IF(C10="X",$C$7,0)</f>
        <v>10</v>
      </c>
      <c r="K10" s="58"/>
      <c r="L10" s="58"/>
      <c r="M10" s="59">
        <f t="shared" si="1"/>
        <v>0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59">
        <v>3.0</v>
      </c>
      <c r="B11" s="61" t="s">
        <v>25</v>
      </c>
      <c r="C11" s="58"/>
      <c r="D11" s="58"/>
      <c r="E11" s="58"/>
      <c r="F11" s="58"/>
      <c r="G11" s="60" t="s">
        <v>157</v>
      </c>
      <c r="H11" s="58"/>
      <c r="I11" s="58"/>
      <c r="J11" s="57">
        <f t="shared" si="2"/>
        <v>5</v>
      </c>
      <c r="K11" s="59">
        <v>1.0</v>
      </c>
      <c r="L11" s="58"/>
      <c r="M11" s="59">
        <f t="shared" si="1"/>
        <v>1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59">
        <v>4.0</v>
      </c>
      <c r="B12" s="58" t="s">
        <v>26</v>
      </c>
      <c r="C12" s="58"/>
      <c r="D12" s="58"/>
      <c r="E12" s="60" t="s">
        <v>157</v>
      </c>
      <c r="F12" s="60" t="s">
        <v>157</v>
      </c>
      <c r="G12" s="58"/>
      <c r="H12" s="58"/>
      <c r="I12" s="58"/>
      <c r="J12" s="57">
        <f t="shared" si="2"/>
        <v>25</v>
      </c>
      <c r="K12" s="58"/>
      <c r="L12" s="58"/>
      <c r="M12" s="59">
        <f t="shared" si="1"/>
        <v>0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59">
        <v>5.0</v>
      </c>
      <c r="B13" s="61" t="s">
        <v>166</v>
      </c>
      <c r="C13" s="60" t="s">
        <v>157</v>
      </c>
      <c r="D13" s="58"/>
      <c r="E13" s="58"/>
      <c r="F13" s="58"/>
      <c r="G13" s="58"/>
      <c r="H13" s="58"/>
      <c r="I13" s="58"/>
      <c r="J13" s="57">
        <f t="shared" si="2"/>
        <v>15</v>
      </c>
      <c r="K13" s="58"/>
      <c r="L13" s="58"/>
      <c r="M13" s="59">
        <f t="shared" si="1"/>
        <v>0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59">
        <v>6.0</v>
      </c>
      <c r="B14" s="58" t="s">
        <v>29</v>
      </c>
      <c r="C14" s="60" t="s">
        <v>157</v>
      </c>
      <c r="D14" s="58"/>
      <c r="E14" s="58"/>
      <c r="F14" s="58"/>
      <c r="G14" s="58"/>
      <c r="H14" s="58"/>
      <c r="I14" s="60" t="s">
        <v>157</v>
      </c>
      <c r="J14" s="57">
        <f t="shared" si="2"/>
        <v>30</v>
      </c>
      <c r="K14" s="58"/>
      <c r="L14" s="59">
        <v>3.0</v>
      </c>
      <c r="M14" s="59">
        <f t="shared" si="1"/>
        <v>3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39"/>
      <c r="B15" s="39"/>
      <c r="C15" s="39"/>
      <c r="D15" s="39"/>
      <c r="E15" s="39"/>
      <c r="F15" s="39"/>
      <c r="G15" s="39"/>
      <c r="H15" s="39"/>
      <c r="I15" s="62" t="s">
        <v>167</v>
      </c>
      <c r="J15" s="63">
        <f>SUM(J7:J14)</f>
        <v>100</v>
      </c>
      <c r="K15" s="39"/>
      <c r="L15" s="64" t="s">
        <v>168</v>
      </c>
      <c r="M15" s="65">
        <f>sum(M9:M14)</f>
        <v>4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66" t="s">
        <v>169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66" t="s">
        <v>170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66" t="s">
        <v>171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7" t="s">
        <v>140</v>
      </c>
      <c r="B1" s="38">
        <v>1.0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37" t="s">
        <v>142</v>
      </c>
      <c r="B2" s="40">
        <v>2.0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37" t="s">
        <v>14</v>
      </c>
      <c r="B3" s="41" t="s">
        <v>20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37" t="s">
        <v>16</v>
      </c>
      <c r="B4" s="42" t="s">
        <v>30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43" t="s">
        <v>17</v>
      </c>
      <c r="B6" s="44" t="s">
        <v>145</v>
      </c>
      <c r="C6" s="45" t="s">
        <v>146</v>
      </c>
      <c r="D6" s="45" t="s">
        <v>147</v>
      </c>
      <c r="E6" s="45" t="s">
        <v>148</v>
      </c>
      <c r="F6" s="46" t="s">
        <v>149</v>
      </c>
      <c r="G6" s="27"/>
      <c r="H6" s="46" t="s">
        <v>150</v>
      </c>
      <c r="I6" s="27"/>
      <c r="J6" s="47" t="s">
        <v>151</v>
      </c>
      <c r="K6" s="48" t="s">
        <v>149</v>
      </c>
      <c r="L6" s="49" t="s">
        <v>150</v>
      </c>
      <c r="M6" s="50" t="s">
        <v>162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5.75" customHeight="1">
      <c r="A7" s="28"/>
      <c r="B7" s="44" t="s">
        <v>163</v>
      </c>
      <c r="C7" s="51">
        <v>15.0</v>
      </c>
      <c r="D7" s="51">
        <v>10.0</v>
      </c>
      <c r="E7" s="52">
        <v>10.0</v>
      </c>
      <c r="F7" s="51">
        <v>15.0</v>
      </c>
      <c r="G7" s="51">
        <v>5.0</v>
      </c>
      <c r="H7" s="51">
        <v>5.0</v>
      </c>
      <c r="I7" s="51">
        <v>15.0</v>
      </c>
      <c r="J7" s="28"/>
      <c r="K7" s="53" t="s">
        <v>164</v>
      </c>
      <c r="L7" s="53" t="s">
        <v>164</v>
      </c>
      <c r="M7" s="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31"/>
      <c r="B8" s="43" t="s">
        <v>18</v>
      </c>
      <c r="C8" s="31"/>
      <c r="D8" s="31"/>
      <c r="E8" s="31"/>
      <c r="F8" s="31"/>
      <c r="G8" s="31"/>
      <c r="H8" s="31"/>
      <c r="I8" s="31"/>
      <c r="J8" s="31"/>
      <c r="K8" s="9"/>
      <c r="L8" s="9"/>
      <c r="M8" s="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7.0" customHeight="1">
      <c r="A9" s="54">
        <v>1.0</v>
      </c>
      <c r="B9" s="67" t="s">
        <v>31</v>
      </c>
      <c r="C9" s="56" t="s">
        <v>157</v>
      </c>
      <c r="D9" s="56" t="s">
        <v>157</v>
      </c>
      <c r="E9" s="56" t="s">
        <v>157</v>
      </c>
      <c r="F9" s="56"/>
      <c r="G9" s="56"/>
      <c r="H9" s="56"/>
      <c r="I9" s="56"/>
      <c r="J9" s="57">
        <f>if(C9="X",$C$7,0)+if(D9="X",$D$7,0)+if(E9="X",$E$7,0)+if(F9="X",$F$7,0)+if(G9="X",$G$7,0)+if(H9="X",$H$7,0)+if(I9="X",$I$7,0)</f>
        <v>35</v>
      </c>
      <c r="K9" s="58"/>
      <c r="L9" s="58"/>
      <c r="M9" s="59">
        <f t="shared" ref="M9:M14" si="1">sum(K9:L9)</f>
        <v>0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5.75" customHeight="1">
      <c r="A10" s="59">
        <v>2.0</v>
      </c>
      <c r="B10" s="67" t="s">
        <v>32</v>
      </c>
      <c r="C10" s="58"/>
      <c r="D10" s="58"/>
      <c r="E10" s="60" t="s">
        <v>157</v>
      </c>
      <c r="F10" s="58"/>
      <c r="G10" s="58"/>
      <c r="H10" s="58"/>
      <c r="I10" s="58"/>
      <c r="J10" s="57">
        <f t="shared" ref="J10:J14" si="2">IF(D10="X",$D$7,0)+IF(E10="X",$E$7,0)+IF(F10="X",$F$7,0)+IF(G10="X",$G$7,0)+IF(H10="X",$H$7,0)+IF(I10="X",$I$7,0)+IF(C10="X",$C$7,0)</f>
        <v>10</v>
      </c>
      <c r="K10" s="58"/>
      <c r="L10" s="58"/>
      <c r="M10" s="59">
        <f t="shared" si="1"/>
        <v>0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59">
        <v>3.0</v>
      </c>
      <c r="B11" s="67" t="s">
        <v>33</v>
      </c>
      <c r="C11" s="60" t="s">
        <v>157</v>
      </c>
      <c r="D11" s="58"/>
      <c r="E11" s="58"/>
      <c r="F11" s="58"/>
      <c r="G11" s="60" t="s">
        <v>157</v>
      </c>
      <c r="H11" s="58"/>
      <c r="I11" s="58"/>
      <c r="J11" s="57">
        <f t="shared" si="2"/>
        <v>20</v>
      </c>
      <c r="K11" s="59">
        <v>0.5</v>
      </c>
      <c r="L11" s="58"/>
      <c r="M11" s="59">
        <f t="shared" si="1"/>
        <v>0.5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59">
        <v>4.0</v>
      </c>
      <c r="B12" s="67" t="s">
        <v>172</v>
      </c>
      <c r="C12" s="58"/>
      <c r="D12" s="58"/>
      <c r="E12" s="60" t="s">
        <v>157</v>
      </c>
      <c r="F12" s="58"/>
      <c r="G12" s="58"/>
      <c r="H12" s="58"/>
      <c r="I12" s="58"/>
      <c r="J12" s="57">
        <f t="shared" si="2"/>
        <v>10</v>
      </c>
      <c r="K12" s="58"/>
      <c r="L12" s="58"/>
      <c r="M12" s="59">
        <f t="shared" si="1"/>
        <v>0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59">
        <v>5.0</v>
      </c>
      <c r="B13" s="67" t="s">
        <v>37</v>
      </c>
      <c r="C13" s="60" t="s">
        <v>157</v>
      </c>
      <c r="D13" s="58"/>
      <c r="E13" s="58"/>
      <c r="F13" s="58"/>
      <c r="G13" s="58"/>
      <c r="H13" s="60" t="s">
        <v>157</v>
      </c>
      <c r="I13" s="58"/>
      <c r="J13" s="57">
        <f t="shared" si="2"/>
        <v>20</v>
      </c>
      <c r="K13" s="58"/>
      <c r="L13" s="59">
        <v>0.5</v>
      </c>
      <c r="M13" s="59">
        <f t="shared" si="1"/>
        <v>0.5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59">
        <v>6.0</v>
      </c>
      <c r="B14" s="58"/>
      <c r="C14" s="58"/>
      <c r="D14" s="58"/>
      <c r="E14" s="58"/>
      <c r="F14" s="58"/>
      <c r="G14" s="58"/>
      <c r="H14" s="58"/>
      <c r="I14" s="58"/>
      <c r="J14" s="57">
        <f t="shared" si="2"/>
        <v>0</v>
      </c>
      <c r="K14" s="58"/>
      <c r="L14" s="58"/>
      <c r="M14" s="59">
        <f t="shared" si="1"/>
        <v>0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ht="15.75" customHeight="1">
      <c r="A15" s="39"/>
      <c r="B15" s="39"/>
      <c r="C15" s="39"/>
      <c r="D15" s="39"/>
      <c r="E15" s="39"/>
      <c r="F15" s="39"/>
      <c r="G15" s="39"/>
      <c r="H15" s="39"/>
      <c r="I15" s="62" t="s">
        <v>167</v>
      </c>
      <c r="J15" s="63">
        <f>SUM(J7:J14)</f>
        <v>95</v>
      </c>
      <c r="K15" s="39"/>
      <c r="L15" s="64" t="s">
        <v>168</v>
      </c>
      <c r="M15" s="65">
        <f>sum(M9:M14)</f>
        <v>1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66" t="s">
        <v>169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66" t="s">
        <v>173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66" t="s">
        <v>171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7" t="s">
        <v>140</v>
      </c>
      <c r="B1" s="38">
        <v>1.0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37" t="s">
        <v>142</v>
      </c>
      <c r="B2" s="40">
        <v>3.0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37" t="s">
        <v>14</v>
      </c>
      <c r="B3" s="41" t="s">
        <v>20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37" t="s">
        <v>16</v>
      </c>
      <c r="B4" s="42" t="s">
        <v>174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43" t="s">
        <v>17</v>
      </c>
      <c r="B6" s="44" t="s">
        <v>145</v>
      </c>
      <c r="C6" s="45" t="s">
        <v>146</v>
      </c>
      <c r="D6" s="45" t="s">
        <v>147</v>
      </c>
      <c r="E6" s="45" t="s">
        <v>148</v>
      </c>
      <c r="F6" s="46" t="s">
        <v>149</v>
      </c>
      <c r="G6" s="27"/>
      <c r="H6" s="46" t="s">
        <v>150</v>
      </c>
      <c r="I6" s="27"/>
      <c r="J6" s="47" t="s">
        <v>151</v>
      </c>
      <c r="K6" s="48" t="s">
        <v>149</v>
      </c>
      <c r="L6" s="49" t="s">
        <v>150</v>
      </c>
      <c r="M6" s="50" t="s">
        <v>162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5.75" customHeight="1">
      <c r="A7" s="28"/>
      <c r="B7" s="44" t="s">
        <v>163</v>
      </c>
      <c r="C7" s="51">
        <v>15.0</v>
      </c>
      <c r="D7" s="51">
        <v>10.0</v>
      </c>
      <c r="E7" s="52">
        <v>10.0</v>
      </c>
      <c r="F7" s="51">
        <v>15.0</v>
      </c>
      <c r="G7" s="51">
        <v>5.0</v>
      </c>
      <c r="H7" s="51">
        <v>5.0</v>
      </c>
      <c r="I7" s="51">
        <v>15.0</v>
      </c>
      <c r="J7" s="28"/>
      <c r="K7" s="53" t="s">
        <v>164</v>
      </c>
      <c r="L7" s="53" t="s">
        <v>164</v>
      </c>
      <c r="M7" s="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31"/>
      <c r="B8" s="43" t="s">
        <v>18</v>
      </c>
      <c r="C8" s="31"/>
      <c r="D8" s="31"/>
      <c r="E8" s="31"/>
      <c r="F8" s="31"/>
      <c r="G8" s="31"/>
      <c r="H8" s="31"/>
      <c r="I8" s="31"/>
      <c r="J8" s="31"/>
      <c r="K8" s="9"/>
      <c r="L8" s="9"/>
      <c r="M8" s="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7.0" customHeight="1">
      <c r="A9" s="54">
        <v>1.0</v>
      </c>
      <c r="B9" s="67" t="s">
        <v>175</v>
      </c>
      <c r="C9" s="56" t="s">
        <v>157</v>
      </c>
      <c r="D9" s="56"/>
      <c r="E9" s="56" t="s">
        <v>157</v>
      </c>
      <c r="F9" s="56"/>
      <c r="G9" s="56"/>
      <c r="H9" s="56"/>
      <c r="I9" s="56"/>
      <c r="J9" s="57">
        <f>if(C9="X",$C$7,0)+if(D9="X",$D$7,0)+if(E9="X",$E$7,0)+if(F9="X",$F$7,0)+if(G9="X",$G$7,0)+if(H9="X",$H$7,0)+if(I9="X",$I$7,0)</f>
        <v>25</v>
      </c>
      <c r="K9" s="58"/>
      <c r="L9" s="58"/>
      <c r="M9" s="59">
        <f t="shared" ref="M9:M14" si="1">sum(K9:L9)</f>
        <v>0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5.75" customHeight="1">
      <c r="A10" s="59">
        <v>2.0</v>
      </c>
      <c r="B10" s="58" t="s">
        <v>41</v>
      </c>
      <c r="C10" s="58"/>
      <c r="D10" s="58"/>
      <c r="E10" s="60" t="s">
        <v>157</v>
      </c>
      <c r="F10" s="58"/>
      <c r="G10" s="60" t="s">
        <v>157</v>
      </c>
      <c r="H10" s="58"/>
      <c r="I10" s="58"/>
      <c r="J10" s="57">
        <f t="shared" ref="J10:J14" si="2">IF(D10="X",$D$7,0)+IF(E10="X",$E$7,0)+IF(F10="X",$F$7,0)+IF(G10="X",$G$7,0)+IF(H10="X",$H$7,0)+IF(I10="X",$I$7,0)+IF(C10="X",$C$7,0)</f>
        <v>15</v>
      </c>
      <c r="K10" s="59">
        <v>1.0</v>
      </c>
      <c r="L10" s="58"/>
      <c r="M10" s="59">
        <f t="shared" si="1"/>
        <v>1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59">
        <v>3.0</v>
      </c>
      <c r="B11" s="67" t="s">
        <v>42</v>
      </c>
      <c r="C11" s="58"/>
      <c r="D11" s="58"/>
      <c r="E11" s="60" t="s">
        <v>157</v>
      </c>
      <c r="F11" s="58"/>
      <c r="G11" s="58"/>
      <c r="H11" s="58"/>
      <c r="I11" s="58"/>
      <c r="J11" s="57">
        <f t="shared" si="2"/>
        <v>10</v>
      </c>
      <c r="K11" s="58"/>
      <c r="L11" s="58"/>
      <c r="M11" s="59">
        <f t="shared" si="1"/>
        <v>0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59">
        <v>4.0</v>
      </c>
      <c r="B12" s="67" t="s">
        <v>43</v>
      </c>
      <c r="C12" s="60" t="s">
        <v>157</v>
      </c>
      <c r="D12" s="58"/>
      <c r="E12" s="58"/>
      <c r="F12" s="58"/>
      <c r="G12" s="58"/>
      <c r="H12" s="58"/>
      <c r="I12" s="58"/>
      <c r="J12" s="57">
        <f t="shared" si="2"/>
        <v>15</v>
      </c>
      <c r="K12" s="58"/>
      <c r="L12" s="58"/>
      <c r="M12" s="59">
        <f t="shared" si="1"/>
        <v>0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59">
        <v>5.0</v>
      </c>
      <c r="B13" s="67" t="s">
        <v>44</v>
      </c>
      <c r="C13" s="60" t="s">
        <v>157</v>
      </c>
      <c r="D13" s="58"/>
      <c r="E13" s="58"/>
      <c r="F13" s="58"/>
      <c r="G13" s="58"/>
      <c r="H13" s="58"/>
      <c r="I13" s="58"/>
      <c r="J13" s="57">
        <f t="shared" si="2"/>
        <v>15</v>
      </c>
      <c r="K13" s="58"/>
      <c r="L13" s="58"/>
      <c r="M13" s="59">
        <f t="shared" si="1"/>
        <v>0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59">
        <v>6.0</v>
      </c>
      <c r="B14" s="67" t="s">
        <v>45</v>
      </c>
      <c r="C14" s="58"/>
      <c r="D14" s="60" t="s">
        <v>157</v>
      </c>
      <c r="E14" s="58"/>
      <c r="F14" s="58"/>
      <c r="G14" s="58"/>
      <c r="H14" s="58"/>
      <c r="I14" s="58"/>
      <c r="J14" s="57">
        <f t="shared" si="2"/>
        <v>10</v>
      </c>
      <c r="K14" s="58"/>
      <c r="L14" s="58"/>
      <c r="M14" s="59">
        <f t="shared" si="1"/>
        <v>0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ht="15.75" customHeight="1">
      <c r="A15" s="39"/>
      <c r="B15" s="39"/>
      <c r="C15" s="39"/>
      <c r="D15" s="39"/>
      <c r="E15" s="39"/>
      <c r="F15" s="39"/>
      <c r="G15" s="39"/>
      <c r="H15" s="39"/>
      <c r="I15" s="62" t="s">
        <v>167</v>
      </c>
      <c r="J15" s="63">
        <f>SUM(J7:J14)</f>
        <v>90</v>
      </c>
      <c r="K15" s="39"/>
      <c r="L15" s="64" t="s">
        <v>168</v>
      </c>
      <c r="M15" s="65">
        <f>sum(M9:M14)</f>
        <v>1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66" t="s">
        <v>169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66" t="s">
        <v>176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66" t="s">
        <v>171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7" t="s">
        <v>140</v>
      </c>
      <c r="B1" s="38">
        <v>1.0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37" t="s">
        <v>142</v>
      </c>
      <c r="B2" s="40">
        <v>4.0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37" t="s">
        <v>14</v>
      </c>
      <c r="B3" s="41" t="s">
        <v>20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37" t="s">
        <v>16</v>
      </c>
      <c r="B4" s="42" t="s">
        <v>177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43" t="s">
        <v>17</v>
      </c>
      <c r="B6" s="44" t="s">
        <v>145</v>
      </c>
      <c r="C6" s="45" t="s">
        <v>146</v>
      </c>
      <c r="D6" s="45" t="s">
        <v>147</v>
      </c>
      <c r="E6" s="45" t="s">
        <v>148</v>
      </c>
      <c r="F6" s="46" t="s">
        <v>149</v>
      </c>
      <c r="G6" s="27"/>
      <c r="H6" s="46" t="s">
        <v>150</v>
      </c>
      <c r="I6" s="27"/>
      <c r="J6" s="47" t="s">
        <v>151</v>
      </c>
      <c r="K6" s="48" t="s">
        <v>149</v>
      </c>
      <c r="L6" s="49" t="s">
        <v>150</v>
      </c>
      <c r="M6" s="50" t="s">
        <v>162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5.75" customHeight="1">
      <c r="A7" s="28"/>
      <c r="B7" s="44" t="s">
        <v>163</v>
      </c>
      <c r="C7" s="51">
        <v>15.0</v>
      </c>
      <c r="D7" s="51">
        <v>10.0</v>
      </c>
      <c r="E7" s="52">
        <v>10.0</v>
      </c>
      <c r="F7" s="51">
        <v>15.0</v>
      </c>
      <c r="G7" s="51">
        <v>5.0</v>
      </c>
      <c r="H7" s="51">
        <v>5.0</v>
      </c>
      <c r="I7" s="51">
        <v>15.0</v>
      </c>
      <c r="J7" s="28"/>
      <c r="K7" s="53" t="s">
        <v>164</v>
      </c>
      <c r="L7" s="53" t="s">
        <v>164</v>
      </c>
      <c r="M7" s="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31"/>
      <c r="B8" s="43" t="s">
        <v>18</v>
      </c>
      <c r="C8" s="31"/>
      <c r="D8" s="31"/>
      <c r="E8" s="31"/>
      <c r="F8" s="31"/>
      <c r="G8" s="31"/>
      <c r="H8" s="31"/>
      <c r="I8" s="31"/>
      <c r="J8" s="31"/>
      <c r="K8" s="9"/>
      <c r="L8" s="9"/>
      <c r="M8" s="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7.0" customHeight="1">
      <c r="A9" s="54">
        <v>1.0</v>
      </c>
      <c r="B9" s="67" t="s">
        <v>47</v>
      </c>
      <c r="C9" s="56" t="s">
        <v>157</v>
      </c>
      <c r="D9" s="56" t="s">
        <v>157</v>
      </c>
      <c r="E9" s="56"/>
      <c r="F9" s="56"/>
      <c r="G9" s="56"/>
      <c r="H9" s="56"/>
      <c r="I9" s="56"/>
      <c r="J9" s="57">
        <f>if(C9="X",$C$7,0)+if(D9="X",$D$7,0)+if(E9="X",$E$7,0)+if(F9="X",$F$7,0)+if(G9="X",$G$7,0)+if(H9="X",$H$7,0)+if(I9="X",$I$7,0)</f>
        <v>25</v>
      </c>
      <c r="K9" s="58"/>
      <c r="L9" s="58"/>
      <c r="M9" s="59">
        <f t="shared" ref="M9:M14" si="1">sum(K9:L9)</f>
        <v>0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5.75" customHeight="1">
      <c r="A10" s="59">
        <v>2.0</v>
      </c>
      <c r="B10" s="67" t="s">
        <v>48</v>
      </c>
      <c r="C10" s="58"/>
      <c r="D10" s="58"/>
      <c r="E10" s="60" t="s">
        <v>157</v>
      </c>
      <c r="F10" s="58"/>
      <c r="G10" s="58"/>
      <c r="H10" s="58"/>
      <c r="I10" s="58"/>
      <c r="J10" s="57">
        <f t="shared" ref="J10:J14" si="2">IF(D10="X",$D$7,0)+IF(E10="X",$E$7,0)+IF(F10="X",$F$7,0)+IF(G10="X",$G$7,0)+IF(H10="X",$H$7,0)+IF(I10="X",$I$7,0)+IF(C10="X",$C$7,0)</f>
        <v>10</v>
      </c>
      <c r="K10" s="58"/>
      <c r="L10" s="58"/>
      <c r="M10" s="59">
        <f t="shared" si="1"/>
        <v>0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59">
        <v>3.0</v>
      </c>
      <c r="B11" s="61" t="s">
        <v>49</v>
      </c>
      <c r="C11" s="60" t="s">
        <v>157</v>
      </c>
      <c r="D11" s="58"/>
      <c r="E11" s="58"/>
      <c r="F11" s="58"/>
      <c r="G11" s="58"/>
      <c r="H11" s="58"/>
      <c r="I11" s="58"/>
      <c r="J11" s="57">
        <f t="shared" si="2"/>
        <v>15</v>
      </c>
      <c r="K11" s="58"/>
      <c r="L11" s="58"/>
      <c r="M11" s="59">
        <f t="shared" si="1"/>
        <v>0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59">
        <v>4.0</v>
      </c>
      <c r="B12" s="67" t="s">
        <v>178</v>
      </c>
      <c r="C12" s="58"/>
      <c r="D12" s="60" t="s">
        <v>157</v>
      </c>
      <c r="E12" s="58"/>
      <c r="F12" s="58"/>
      <c r="G12" s="58"/>
      <c r="H12" s="58"/>
      <c r="I12" s="58"/>
      <c r="J12" s="57">
        <f t="shared" si="2"/>
        <v>10</v>
      </c>
      <c r="K12" s="58"/>
      <c r="L12" s="58"/>
      <c r="M12" s="59">
        <f t="shared" si="1"/>
        <v>0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59">
        <v>5.0</v>
      </c>
      <c r="B13" s="67" t="s">
        <v>52</v>
      </c>
      <c r="C13" s="60" t="s">
        <v>157</v>
      </c>
      <c r="D13" s="58"/>
      <c r="E13" s="58"/>
      <c r="F13" s="58"/>
      <c r="G13" s="58"/>
      <c r="H13" s="58"/>
      <c r="I13" s="68" t="s">
        <v>157</v>
      </c>
      <c r="J13" s="57">
        <f t="shared" si="2"/>
        <v>30</v>
      </c>
      <c r="K13" s="58"/>
      <c r="L13" s="58"/>
      <c r="M13" s="59">
        <f t="shared" si="1"/>
        <v>0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59">
        <v>6.0</v>
      </c>
      <c r="B14" s="67" t="s">
        <v>53</v>
      </c>
      <c r="C14" s="58"/>
      <c r="D14" s="58"/>
      <c r="E14" s="60" t="s">
        <v>157</v>
      </c>
      <c r="F14" s="58"/>
      <c r="G14" s="58"/>
      <c r="H14" s="58"/>
      <c r="I14" s="58"/>
      <c r="J14" s="57">
        <f t="shared" si="2"/>
        <v>10</v>
      </c>
      <c r="K14" s="58"/>
      <c r="L14" s="58"/>
      <c r="M14" s="59">
        <f t="shared" si="1"/>
        <v>0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ht="15.75" customHeight="1">
      <c r="A15" s="39"/>
      <c r="B15" s="39"/>
      <c r="C15" s="39"/>
      <c r="D15" s="39"/>
      <c r="E15" s="39"/>
      <c r="F15" s="39"/>
      <c r="G15" s="39"/>
      <c r="H15" s="39"/>
      <c r="I15" s="62" t="s">
        <v>167</v>
      </c>
      <c r="J15" s="63">
        <f>SUM(J7:J14)</f>
        <v>100</v>
      </c>
      <c r="K15" s="39"/>
      <c r="L15" s="64" t="s">
        <v>168</v>
      </c>
      <c r="M15" s="65">
        <f>sum(M9:M14)</f>
        <v>0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66" t="s">
        <v>169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66" t="s">
        <v>179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66" t="s">
        <v>171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7.38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7" t="s">
        <v>140</v>
      </c>
      <c r="B1" s="38">
        <v>2.0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37" t="s">
        <v>142</v>
      </c>
      <c r="B2" s="40">
        <v>5.0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33.0" customHeight="1">
      <c r="A3" s="37" t="s">
        <v>14</v>
      </c>
      <c r="B3" s="69" t="s">
        <v>54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37" t="s">
        <v>16</v>
      </c>
      <c r="B4" s="70" t="s">
        <v>180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43" t="s">
        <v>17</v>
      </c>
      <c r="B6" s="44" t="s">
        <v>145</v>
      </c>
      <c r="C6" s="45" t="s">
        <v>146</v>
      </c>
      <c r="D6" s="45" t="s">
        <v>147</v>
      </c>
      <c r="E6" s="45" t="s">
        <v>148</v>
      </c>
      <c r="F6" s="46" t="s">
        <v>149</v>
      </c>
      <c r="G6" s="27"/>
      <c r="H6" s="46" t="s">
        <v>150</v>
      </c>
      <c r="I6" s="27"/>
      <c r="J6" s="47" t="s">
        <v>151</v>
      </c>
      <c r="K6" s="48" t="s">
        <v>149</v>
      </c>
      <c r="L6" s="49" t="s">
        <v>150</v>
      </c>
      <c r="M6" s="50" t="s">
        <v>162</v>
      </c>
      <c r="N6" s="39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5.75" customHeight="1">
      <c r="A7" s="28"/>
      <c r="B7" s="44" t="s">
        <v>163</v>
      </c>
      <c r="C7" s="51">
        <v>15.0</v>
      </c>
      <c r="D7" s="51">
        <v>10.0</v>
      </c>
      <c r="E7" s="52">
        <v>10.0</v>
      </c>
      <c r="F7" s="51">
        <v>15.0</v>
      </c>
      <c r="G7" s="51">
        <v>5.0</v>
      </c>
      <c r="H7" s="51">
        <v>5.0</v>
      </c>
      <c r="I7" s="51">
        <v>15.0</v>
      </c>
      <c r="J7" s="28"/>
      <c r="K7" s="53" t="s">
        <v>164</v>
      </c>
      <c r="L7" s="53" t="s">
        <v>164</v>
      </c>
      <c r="M7" s="8"/>
      <c r="N7" s="39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31"/>
      <c r="B8" s="43" t="s">
        <v>18</v>
      </c>
      <c r="C8" s="31"/>
      <c r="D8" s="31"/>
      <c r="E8" s="31"/>
      <c r="F8" s="31"/>
      <c r="G8" s="31"/>
      <c r="H8" s="31"/>
      <c r="I8" s="31"/>
      <c r="J8" s="31"/>
      <c r="K8" s="9"/>
      <c r="L8" s="9"/>
      <c r="M8" s="9"/>
      <c r="N8" s="39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7.0" customHeight="1">
      <c r="A9" s="54">
        <v>1.0</v>
      </c>
      <c r="B9" s="58" t="s">
        <v>181</v>
      </c>
      <c r="C9" s="56" t="s">
        <v>157</v>
      </c>
      <c r="D9" s="56"/>
      <c r="E9" s="56" t="s">
        <v>157</v>
      </c>
      <c r="F9" s="56"/>
      <c r="G9" s="56"/>
      <c r="H9" s="56"/>
      <c r="I9" s="56"/>
      <c r="J9" s="57">
        <f>if(C9="X",$C$7,0)+if(D9="X",$D$7,0)+if(E9="X",$E$7,0)+if(F9="X",$F$7,0)+if(G9="X",$G$7,0)+if(H9="X",$H$7,0)+if(I9="X",$I$7,0)</f>
        <v>25</v>
      </c>
      <c r="K9" s="58"/>
      <c r="L9" s="58"/>
      <c r="M9" s="59">
        <f t="shared" ref="M9:M14" si="1">sum(K9:L9)</f>
        <v>0</v>
      </c>
      <c r="N9" s="39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5.75" customHeight="1">
      <c r="A10" s="59">
        <v>2.0</v>
      </c>
      <c r="B10" s="67" t="s">
        <v>59</v>
      </c>
      <c r="C10" s="58"/>
      <c r="D10" s="58" t="s">
        <v>157</v>
      </c>
      <c r="E10" s="58"/>
      <c r="F10" s="58"/>
      <c r="G10" s="58" t="s">
        <v>157</v>
      </c>
      <c r="H10" s="58"/>
      <c r="I10" s="58"/>
      <c r="J10" s="57">
        <f t="shared" ref="J10:J14" si="2">IF(D10="X",$D$7,0)+IF(E10="X",$E$7,0)+IF(F10="X",$F$7,0)+IF(G10="X",$G$7,0)+IF(H10="X",$H$7,0)+IF(I10="X",$I$7,0)+IF(C10="X",$C$7,0)</f>
        <v>15</v>
      </c>
      <c r="K10" s="58"/>
      <c r="L10" s="58"/>
      <c r="M10" s="59">
        <f t="shared" si="1"/>
        <v>0</v>
      </c>
      <c r="N10" s="39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59">
        <v>3.0</v>
      </c>
      <c r="B11" s="67" t="s">
        <v>60</v>
      </c>
      <c r="C11" s="60" t="s">
        <v>157</v>
      </c>
      <c r="D11" s="58"/>
      <c r="E11" s="58"/>
      <c r="F11" s="58"/>
      <c r="G11" s="58"/>
      <c r="H11" s="58"/>
      <c r="I11" s="58"/>
      <c r="J11" s="57">
        <f t="shared" si="2"/>
        <v>15</v>
      </c>
      <c r="K11" s="59">
        <v>1.0</v>
      </c>
      <c r="L11" s="58"/>
      <c r="M11" s="59">
        <f t="shared" si="1"/>
        <v>1</v>
      </c>
      <c r="N11" s="39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59">
        <v>4.0</v>
      </c>
      <c r="B12" s="61" t="s">
        <v>61</v>
      </c>
      <c r="C12" s="58" t="s">
        <v>157</v>
      </c>
      <c r="D12" s="58"/>
      <c r="E12" s="60" t="s">
        <v>157</v>
      </c>
      <c r="F12" s="58"/>
      <c r="G12" s="58"/>
      <c r="H12" s="58"/>
      <c r="I12" s="58"/>
      <c r="J12" s="57">
        <f t="shared" si="2"/>
        <v>25</v>
      </c>
      <c r="K12" s="58"/>
      <c r="L12" s="58"/>
      <c r="M12" s="59">
        <f t="shared" si="1"/>
        <v>0</v>
      </c>
      <c r="N12" s="39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59">
        <v>5.0</v>
      </c>
      <c r="B13" s="67" t="s">
        <v>62</v>
      </c>
      <c r="C13" s="58"/>
      <c r="D13" s="58" t="s">
        <v>157</v>
      </c>
      <c r="E13" s="58"/>
      <c r="F13" s="58"/>
      <c r="G13" s="58"/>
      <c r="H13" s="60" t="s">
        <v>157</v>
      </c>
      <c r="I13" s="58"/>
      <c r="J13" s="57">
        <f t="shared" si="2"/>
        <v>15</v>
      </c>
      <c r="K13" s="58"/>
      <c r="L13" s="58"/>
      <c r="M13" s="59">
        <f t="shared" si="1"/>
        <v>0</v>
      </c>
      <c r="N13" s="39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59">
        <v>6.0</v>
      </c>
      <c r="B14" s="58" t="s">
        <v>63</v>
      </c>
      <c r="C14" s="58"/>
      <c r="D14" s="58"/>
      <c r="E14" s="58" t="s">
        <v>157</v>
      </c>
      <c r="F14" s="58"/>
      <c r="G14" s="58"/>
      <c r="H14" s="58"/>
      <c r="I14" s="58"/>
      <c r="J14" s="57">
        <f t="shared" si="2"/>
        <v>10</v>
      </c>
      <c r="K14" s="58"/>
      <c r="L14" s="59">
        <v>3.0</v>
      </c>
      <c r="M14" s="59">
        <f t="shared" si="1"/>
        <v>3</v>
      </c>
      <c r="N14" s="39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ht="15.75" customHeight="1">
      <c r="A15" s="39"/>
      <c r="B15" s="39"/>
      <c r="C15" s="39"/>
      <c r="D15" s="39"/>
      <c r="E15" s="39"/>
      <c r="F15" s="39"/>
      <c r="G15" s="39"/>
      <c r="H15" s="39"/>
      <c r="I15" s="62" t="s">
        <v>167</v>
      </c>
      <c r="J15" s="63">
        <f>SUM(J7:J14)</f>
        <v>105</v>
      </c>
      <c r="K15" s="39"/>
      <c r="L15" s="64" t="s">
        <v>168</v>
      </c>
      <c r="M15" s="65">
        <f>sum(M9:M14)</f>
        <v>4</v>
      </c>
      <c r="N15" s="39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66" t="s">
        <v>169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66" t="s">
        <v>182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66" t="s">
        <v>171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7" t="s">
        <v>140</v>
      </c>
      <c r="B1" s="38">
        <v>2.0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37" t="s">
        <v>142</v>
      </c>
      <c r="B2" s="40">
        <v>6.0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30.0" customHeight="1">
      <c r="A3" s="37" t="s">
        <v>14</v>
      </c>
      <c r="B3" s="69" t="s">
        <v>183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37" t="s">
        <v>16</v>
      </c>
      <c r="B4" s="70" t="s">
        <v>184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43" t="s">
        <v>17</v>
      </c>
      <c r="B6" s="44" t="s">
        <v>145</v>
      </c>
      <c r="C6" s="45" t="s">
        <v>146</v>
      </c>
      <c r="D6" s="45" t="s">
        <v>147</v>
      </c>
      <c r="E6" s="45" t="s">
        <v>148</v>
      </c>
      <c r="F6" s="46" t="s">
        <v>149</v>
      </c>
      <c r="G6" s="27"/>
      <c r="H6" s="46" t="s">
        <v>150</v>
      </c>
      <c r="I6" s="27"/>
      <c r="J6" s="47" t="s">
        <v>151</v>
      </c>
      <c r="K6" s="48" t="s">
        <v>149</v>
      </c>
      <c r="L6" s="49" t="s">
        <v>150</v>
      </c>
      <c r="M6" s="50" t="s">
        <v>162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5.75" customHeight="1">
      <c r="A7" s="28"/>
      <c r="B7" s="44" t="s">
        <v>163</v>
      </c>
      <c r="C7" s="51">
        <v>15.0</v>
      </c>
      <c r="D7" s="51">
        <v>10.0</v>
      </c>
      <c r="E7" s="52">
        <v>10.0</v>
      </c>
      <c r="F7" s="51">
        <v>15.0</v>
      </c>
      <c r="G7" s="51">
        <v>5.0</v>
      </c>
      <c r="H7" s="51">
        <v>5.0</v>
      </c>
      <c r="I7" s="51">
        <v>15.0</v>
      </c>
      <c r="J7" s="28"/>
      <c r="K7" s="53" t="s">
        <v>164</v>
      </c>
      <c r="L7" s="53" t="s">
        <v>164</v>
      </c>
      <c r="M7" s="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31"/>
      <c r="B8" s="43" t="s">
        <v>18</v>
      </c>
      <c r="C8" s="31"/>
      <c r="D8" s="31"/>
      <c r="E8" s="31"/>
      <c r="F8" s="31"/>
      <c r="G8" s="31"/>
      <c r="H8" s="31"/>
      <c r="I8" s="31"/>
      <c r="J8" s="31"/>
      <c r="K8" s="9"/>
      <c r="L8" s="9"/>
      <c r="M8" s="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7.0" customHeight="1">
      <c r="A9" s="54">
        <v>1.0</v>
      </c>
      <c r="B9" s="67" t="s">
        <v>65</v>
      </c>
      <c r="C9" s="56"/>
      <c r="D9" s="56"/>
      <c r="E9" s="56" t="s">
        <v>157</v>
      </c>
      <c r="F9" s="56"/>
      <c r="G9" s="56"/>
      <c r="H9" s="56"/>
      <c r="I9" s="56"/>
      <c r="J9" s="57">
        <f>if(C9="X",$C$7,0)+if(D9="X",$D$7,0)+if(E9="X",$E$7,0)+if(F9="X",$F$7,0)+if(G9="X",$G$7,0)+if(H9="X",$H$7,0)+if(I9="X",$I$7,0)</f>
        <v>10</v>
      </c>
      <c r="K9" s="58"/>
      <c r="L9" s="58"/>
      <c r="M9" s="59">
        <f t="shared" ref="M9:M14" si="1">sum(K9:L9)</f>
        <v>0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5.75" customHeight="1">
      <c r="A10" s="59">
        <v>2.0</v>
      </c>
      <c r="B10" s="67" t="s">
        <v>185</v>
      </c>
      <c r="C10" s="58" t="s">
        <v>157</v>
      </c>
      <c r="D10" s="58"/>
      <c r="E10" s="60" t="s">
        <v>157</v>
      </c>
      <c r="F10" s="58"/>
      <c r="G10" s="58" t="s">
        <v>157</v>
      </c>
      <c r="H10" s="58"/>
      <c r="I10" s="58"/>
      <c r="J10" s="57">
        <f t="shared" ref="J10:J14" si="2">IF(D10="X",$D$7,0)+IF(E10="X",$E$7,0)+IF(F10="X",$F$7,0)+IF(G10="X",$G$7,0)+IF(H10="X",$H$7,0)+IF(I10="X",$I$7,0)+IF(C10="X",$C$7,0)</f>
        <v>30</v>
      </c>
      <c r="K10" s="58"/>
      <c r="L10" s="58"/>
      <c r="M10" s="59">
        <f t="shared" si="1"/>
        <v>0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59">
        <v>3.0</v>
      </c>
      <c r="B11" s="67" t="s">
        <v>68</v>
      </c>
      <c r="C11" s="60" t="s">
        <v>157</v>
      </c>
      <c r="D11" s="58"/>
      <c r="E11" s="58"/>
      <c r="F11" s="58"/>
      <c r="G11" s="58"/>
      <c r="H11" s="58"/>
      <c r="I11" s="58" t="s">
        <v>157</v>
      </c>
      <c r="J11" s="57">
        <f t="shared" si="2"/>
        <v>30</v>
      </c>
      <c r="K11" s="58"/>
      <c r="L11" s="71">
        <v>3.0</v>
      </c>
      <c r="M11" s="59">
        <f t="shared" si="1"/>
        <v>3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59">
        <v>4.0</v>
      </c>
      <c r="B12" s="67" t="s">
        <v>186</v>
      </c>
      <c r="C12" s="58"/>
      <c r="D12" s="58"/>
      <c r="E12" s="60" t="s">
        <v>157</v>
      </c>
      <c r="F12" s="58"/>
      <c r="G12" s="58"/>
      <c r="H12" s="58"/>
      <c r="I12" s="58"/>
      <c r="J12" s="57">
        <f t="shared" si="2"/>
        <v>10</v>
      </c>
      <c r="K12" s="58"/>
      <c r="L12" s="58"/>
      <c r="M12" s="59">
        <f t="shared" si="1"/>
        <v>0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59">
        <v>5.0</v>
      </c>
      <c r="B13" s="67" t="s">
        <v>71</v>
      </c>
      <c r="C13" s="60" t="s">
        <v>157</v>
      </c>
      <c r="D13" s="58" t="s">
        <v>157</v>
      </c>
      <c r="E13" s="58"/>
      <c r="F13" s="58"/>
      <c r="G13" s="58" t="s">
        <v>157</v>
      </c>
      <c r="H13" s="58"/>
      <c r="I13" s="58"/>
      <c r="J13" s="57">
        <f t="shared" si="2"/>
        <v>30</v>
      </c>
      <c r="K13" s="71">
        <v>0.0</v>
      </c>
      <c r="L13" s="58"/>
      <c r="M13" s="59">
        <f t="shared" si="1"/>
        <v>0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59">
        <v>6.0</v>
      </c>
      <c r="B14" s="58"/>
      <c r="C14" s="58"/>
      <c r="D14" s="58"/>
      <c r="E14" s="58"/>
      <c r="F14" s="58"/>
      <c r="G14" s="58"/>
      <c r="H14" s="58"/>
      <c r="I14" s="58"/>
      <c r="J14" s="57">
        <f t="shared" si="2"/>
        <v>0</v>
      </c>
      <c r="K14" s="58"/>
      <c r="L14" s="58"/>
      <c r="M14" s="59">
        <f t="shared" si="1"/>
        <v>0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ht="15.75" customHeight="1">
      <c r="A15" s="39"/>
      <c r="B15" s="39"/>
      <c r="C15" s="39"/>
      <c r="D15" s="39"/>
      <c r="E15" s="39"/>
      <c r="F15" s="39"/>
      <c r="G15" s="39"/>
      <c r="H15" s="39"/>
      <c r="I15" s="62" t="s">
        <v>167</v>
      </c>
      <c r="J15" s="63">
        <f>SUM(J7:J14)</f>
        <v>110</v>
      </c>
      <c r="K15" s="39"/>
      <c r="L15" s="64" t="s">
        <v>168</v>
      </c>
      <c r="M15" s="65">
        <f>sum(M9:M14)</f>
        <v>3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66" t="s">
        <v>169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66" t="s">
        <v>187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66" t="s">
        <v>171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7" t="s">
        <v>140</v>
      </c>
      <c r="B1" s="38">
        <v>2.0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37" t="s">
        <v>142</v>
      </c>
      <c r="B2" s="40">
        <v>7.0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32.25" customHeight="1">
      <c r="A3" s="37" t="s">
        <v>14</v>
      </c>
      <c r="B3" s="41" t="s">
        <v>188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37" t="s">
        <v>16</v>
      </c>
      <c r="B4" s="70" t="s">
        <v>189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43" t="s">
        <v>17</v>
      </c>
      <c r="B6" s="44" t="s">
        <v>145</v>
      </c>
      <c r="C6" s="45" t="s">
        <v>146</v>
      </c>
      <c r="D6" s="45" t="s">
        <v>147</v>
      </c>
      <c r="E6" s="45" t="s">
        <v>148</v>
      </c>
      <c r="F6" s="46" t="s">
        <v>149</v>
      </c>
      <c r="G6" s="27"/>
      <c r="H6" s="46" t="s">
        <v>150</v>
      </c>
      <c r="I6" s="27"/>
      <c r="J6" s="47" t="s">
        <v>151</v>
      </c>
      <c r="K6" s="48" t="s">
        <v>149</v>
      </c>
      <c r="L6" s="49" t="s">
        <v>150</v>
      </c>
      <c r="M6" s="50" t="s">
        <v>162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5.75" customHeight="1">
      <c r="A7" s="28"/>
      <c r="B7" s="44" t="s">
        <v>163</v>
      </c>
      <c r="C7" s="51">
        <v>15.0</v>
      </c>
      <c r="D7" s="51">
        <v>10.0</v>
      </c>
      <c r="E7" s="52">
        <v>10.0</v>
      </c>
      <c r="F7" s="51">
        <v>15.0</v>
      </c>
      <c r="G7" s="51">
        <v>5.0</v>
      </c>
      <c r="H7" s="51">
        <v>5.0</v>
      </c>
      <c r="I7" s="51">
        <v>15.0</v>
      </c>
      <c r="J7" s="28"/>
      <c r="K7" s="53" t="s">
        <v>164</v>
      </c>
      <c r="L7" s="53" t="s">
        <v>164</v>
      </c>
      <c r="M7" s="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31"/>
      <c r="B8" s="43" t="s">
        <v>18</v>
      </c>
      <c r="C8" s="31"/>
      <c r="D8" s="31"/>
      <c r="E8" s="31"/>
      <c r="F8" s="31"/>
      <c r="G8" s="31"/>
      <c r="H8" s="31"/>
      <c r="I8" s="31"/>
      <c r="J8" s="31"/>
      <c r="K8" s="9"/>
      <c r="L8" s="9"/>
      <c r="M8" s="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7.0" customHeight="1">
      <c r="A9" s="54">
        <v>1.0</v>
      </c>
      <c r="B9" s="67" t="s">
        <v>190</v>
      </c>
      <c r="C9" s="56" t="s">
        <v>157</v>
      </c>
      <c r="D9" s="56" t="s">
        <v>157</v>
      </c>
      <c r="E9" s="56" t="s">
        <v>157</v>
      </c>
      <c r="F9" s="56"/>
      <c r="G9" s="56"/>
      <c r="H9" s="56"/>
      <c r="I9" s="56"/>
      <c r="J9" s="57">
        <f>if(C9="X",$C$7,0)+if(D9="X",$D$7,0)+if(E9="X",$E$7,0)+if(F9="X",$F$7,0)+if(G9="X",$G$7,0)+if(H9="X",$H$7,0)+if(I9="X",$I$7,0)</f>
        <v>35</v>
      </c>
      <c r="K9" s="58"/>
      <c r="L9" s="58"/>
      <c r="M9" s="59">
        <f t="shared" ref="M9:M14" si="1">sum(K9:L9)</f>
        <v>0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5.75" customHeight="1">
      <c r="A10" s="59">
        <v>2.0</v>
      </c>
      <c r="B10" s="67" t="s">
        <v>75</v>
      </c>
      <c r="C10" s="58"/>
      <c r="D10" s="58"/>
      <c r="E10" s="60" t="s">
        <v>157</v>
      </c>
      <c r="F10" s="58"/>
      <c r="G10" s="58"/>
      <c r="H10" s="58"/>
      <c r="I10" s="58"/>
      <c r="J10" s="57">
        <f t="shared" ref="J10:J14" si="2">IF(D10="X",$D$7,0)+IF(E10="X",$E$7,0)+IF(F10="X",$F$7,0)+IF(G10="X",$G$7,0)+IF(H10="X",$H$7,0)+IF(I10="X",$I$7,0)+IF(C10="X",$C$7,0)</f>
        <v>10</v>
      </c>
      <c r="K10" s="58"/>
      <c r="L10" s="58"/>
      <c r="M10" s="59">
        <f t="shared" si="1"/>
        <v>0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59">
        <v>3.0</v>
      </c>
      <c r="B11" s="61" t="s">
        <v>76</v>
      </c>
      <c r="C11" s="60" t="s">
        <v>157</v>
      </c>
      <c r="D11" s="58"/>
      <c r="E11" s="58"/>
      <c r="F11" s="58"/>
      <c r="G11" s="60" t="s">
        <v>157</v>
      </c>
      <c r="H11" s="58"/>
      <c r="I11" s="58"/>
      <c r="J11" s="57">
        <f t="shared" si="2"/>
        <v>20</v>
      </c>
      <c r="K11" s="72">
        <v>0.5</v>
      </c>
      <c r="L11" s="58"/>
      <c r="M11" s="59">
        <f t="shared" si="1"/>
        <v>0.5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59">
        <v>4.0</v>
      </c>
      <c r="B12" s="67" t="s">
        <v>191</v>
      </c>
      <c r="C12" s="58"/>
      <c r="D12" s="58"/>
      <c r="E12" s="60" t="s">
        <v>157</v>
      </c>
      <c r="F12" s="58"/>
      <c r="G12" s="58"/>
      <c r="H12" s="58"/>
      <c r="I12" s="58"/>
      <c r="J12" s="57">
        <f t="shared" si="2"/>
        <v>10</v>
      </c>
      <c r="K12" s="58"/>
      <c r="L12" s="58"/>
      <c r="M12" s="59">
        <f t="shared" si="1"/>
        <v>0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59">
        <v>5.0</v>
      </c>
      <c r="B13" s="67" t="s">
        <v>79</v>
      </c>
      <c r="C13" s="60" t="s">
        <v>157</v>
      </c>
      <c r="D13" s="58"/>
      <c r="E13" s="58"/>
      <c r="F13" s="58"/>
      <c r="G13" s="58"/>
      <c r="H13" s="60" t="s">
        <v>157</v>
      </c>
      <c r="I13" s="58"/>
      <c r="J13" s="57">
        <f t="shared" si="2"/>
        <v>20</v>
      </c>
      <c r="K13" s="58"/>
      <c r="L13" s="71">
        <v>0.5</v>
      </c>
      <c r="M13" s="59">
        <f t="shared" si="1"/>
        <v>0.5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59">
        <v>6.0</v>
      </c>
      <c r="B14" s="58"/>
      <c r="C14" s="58"/>
      <c r="D14" s="58"/>
      <c r="E14" s="58"/>
      <c r="F14" s="58"/>
      <c r="G14" s="58"/>
      <c r="H14" s="58"/>
      <c r="I14" s="58"/>
      <c r="J14" s="57">
        <f t="shared" si="2"/>
        <v>0</v>
      </c>
      <c r="K14" s="58"/>
      <c r="L14" s="58"/>
      <c r="M14" s="59">
        <f t="shared" si="1"/>
        <v>0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ht="15.75" customHeight="1">
      <c r="A15" s="39"/>
      <c r="B15" s="39"/>
      <c r="C15" s="39"/>
      <c r="D15" s="39"/>
      <c r="E15" s="39"/>
      <c r="F15" s="39"/>
      <c r="G15" s="39"/>
      <c r="H15" s="39"/>
      <c r="I15" s="62" t="s">
        <v>167</v>
      </c>
      <c r="J15" s="63">
        <f>SUM(J7:J14)</f>
        <v>95</v>
      </c>
      <c r="K15" s="39"/>
      <c r="L15" s="64" t="s">
        <v>168</v>
      </c>
      <c r="M15" s="65">
        <f>sum(M9:M14)</f>
        <v>1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66" t="s">
        <v>169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66" t="s">
        <v>192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66" t="s">
        <v>171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6" t="s">
        <v>140</v>
      </c>
      <c r="B1" s="73">
        <v>2.0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142</v>
      </c>
      <c r="B2" s="19">
        <v>8.0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32.25" customHeight="1">
      <c r="A3" s="16" t="s">
        <v>14</v>
      </c>
      <c r="B3" s="74" t="s">
        <v>188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16</v>
      </c>
      <c r="B4" s="75" t="s">
        <v>193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17</v>
      </c>
      <c r="B6" s="76" t="s">
        <v>145</v>
      </c>
      <c r="C6" s="25" t="s">
        <v>146</v>
      </c>
      <c r="D6" s="25" t="s">
        <v>147</v>
      </c>
      <c r="E6" s="25" t="s">
        <v>148</v>
      </c>
      <c r="F6" s="26" t="s">
        <v>149</v>
      </c>
      <c r="G6" s="27"/>
      <c r="H6" s="26" t="s">
        <v>150</v>
      </c>
      <c r="I6" s="27"/>
      <c r="J6" s="24" t="s">
        <v>151</v>
      </c>
      <c r="K6" s="77" t="s">
        <v>149</v>
      </c>
      <c r="L6" s="78" t="s">
        <v>150</v>
      </c>
      <c r="M6" s="79" t="s">
        <v>162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5.75" customHeight="1">
      <c r="A7" s="28"/>
      <c r="B7" s="76" t="s">
        <v>163</v>
      </c>
      <c r="C7" s="30">
        <v>15.0</v>
      </c>
      <c r="D7" s="30">
        <v>10.0</v>
      </c>
      <c r="E7" s="80">
        <v>10.0</v>
      </c>
      <c r="F7" s="30">
        <v>15.0</v>
      </c>
      <c r="G7" s="30">
        <v>5.0</v>
      </c>
      <c r="H7" s="30">
        <v>5.0</v>
      </c>
      <c r="I7" s="30">
        <v>15.0</v>
      </c>
      <c r="J7" s="28"/>
      <c r="K7" s="81" t="s">
        <v>164</v>
      </c>
      <c r="L7" s="81" t="s">
        <v>164</v>
      </c>
      <c r="M7" s="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31"/>
      <c r="B8" s="22" t="s">
        <v>18</v>
      </c>
      <c r="C8" s="31"/>
      <c r="D8" s="31"/>
      <c r="E8" s="31"/>
      <c r="F8" s="31"/>
      <c r="G8" s="31"/>
      <c r="H8" s="31"/>
      <c r="I8" s="31"/>
      <c r="J8" s="31"/>
      <c r="K8" s="9"/>
      <c r="L8" s="9"/>
      <c r="M8" s="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7.0" customHeight="1">
      <c r="A9" s="32">
        <v>1.0</v>
      </c>
      <c r="B9" s="82" t="s">
        <v>81</v>
      </c>
      <c r="C9" s="83" t="s">
        <v>157</v>
      </c>
      <c r="D9" s="83"/>
      <c r="E9" s="83"/>
      <c r="F9" s="83"/>
      <c r="G9" s="83"/>
      <c r="H9" s="83"/>
      <c r="I9" s="83" t="s">
        <v>157</v>
      </c>
      <c r="J9" s="83">
        <f>if(C9="X",$C$7,0)+if(D9="X",$D$7,0)+if(E9="X",$E$7,0)+if(F9="X",$F$7,0)+if(G9="X",$G$7,0)+if(H9="X",$H$7,0)+if(I9="X",$I$7,0)</f>
        <v>30</v>
      </c>
      <c r="K9" s="4"/>
      <c r="L9" s="34">
        <v>1.0</v>
      </c>
      <c r="M9" s="34">
        <f t="shared" ref="M9:M14" si="1">sum(K9:L9)</f>
        <v>1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5.75" customHeight="1">
      <c r="A10" s="34">
        <v>2.0</v>
      </c>
      <c r="B10" s="2" t="s">
        <v>83</v>
      </c>
      <c r="C10" s="34"/>
      <c r="D10" s="34" t="s">
        <v>157</v>
      </c>
      <c r="E10" s="34" t="s">
        <v>157</v>
      </c>
      <c r="F10" s="34"/>
      <c r="G10" s="34"/>
      <c r="H10" s="34"/>
      <c r="I10" s="34"/>
      <c r="J10" s="83">
        <f t="shared" ref="J10:J14" si="2">if(D10="X",$D$7,0)+if(E10="X",$E$7,0)+if(F10="X",$F$7,0)+if(G10="X",$G$7,0)+if(H10="X",$H$7,0)+if(I10="X",$I$7,0)</f>
        <v>20</v>
      </c>
      <c r="K10" s="34"/>
      <c r="L10" s="34"/>
      <c r="M10" s="34">
        <f t="shared" si="1"/>
        <v>0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34">
        <v>3.0</v>
      </c>
      <c r="B11" s="2" t="s">
        <v>84</v>
      </c>
      <c r="C11" s="34" t="s">
        <v>157</v>
      </c>
      <c r="D11" s="34"/>
      <c r="E11" s="34" t="s">
        <v>157</v>
      </c>
      <c r="F11" s="34"/>
      <c r="G11" s="34" t="s">
        <v>157</v>
      </c>
      <c r="H11" s="34"/>
      <c r="I11" s="34"/>
      <c r="J11" s="83">
        <f t="shared" si="2"/>
        <v>15</v>
      </c>
      <c r="K11" s="34"/>
      <c r="L11" s="34"/>
      <c r="M11" s="34">
        <f t="shared" si="1"/>
        <v>0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34">
        <v>4.0</v>
      </c>
      <c r="B12" s="2" t="s">
        <v>85</v>
      </c>
      <c r="C12" s="34"/>
      <c r="D12" s="34"/>
      <c r="E12" s="34" t="s">
        <v>157</v>
      </c>
      <c r="F12" s="34"/>
      <c r="G12" s="34" t="s">
        <v>157</v>
      </c>
      <c r="H12" s="34"/>
      <c r="I12" s="34"/>
      <c r="J12" s="83">
        <f t="shared" si="2"/>
        <v>15</v>
      </c>
      <c r="K12" s="34"/>
      <c r="L12" s="34"/>
      <c r="M12" s="34">
        <f t="shared" si="1"/>
        <v>0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34">
        <v>5.0</v>
      </c>
      <c r="B13" s="2" t="s">
        <v>86</v>
      </c>
      <c r="C13" s="34" t="s">
        <v>157</v>
      </c>
      <c r="D13" s="34"/>
      <c r="E13" s="34"/>
      <c r="F13" s="34"/>
      <c r="G13" s="34"/>
      <c r="H13" s="34"/>
      <c r="I13" s="34" t="s">
        <v>157</v>
      </c>
      <c r="J13" s="83">
        <f t="shared" si="2"/>
        <v>15</v>
      </c>
      <c r="K13" s="34"/>
      <c r="L13" s="34"/>
      <c r="M13" s="34">
        <f t="shared" si="1"/>
        <v>0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34">
        <v>6.0</v>
      </c>
      <c r="B14" s="2" t="s">
        <v>87</v>
      </c>
      <c r="C14" s="34" t="s">
        <v>157</v>
      </c>
      <c r="D14" s="34"/>
      <c r="E14" s="34"/>
      <c r="F14" s="34" t="s">
        <v>157</v>
      </c>
      <c r="G14" s="34"/>
      <c r="H14" s="34"/>
      <c r="I14" s="34"/>
      <c r="J14" s="83">
        <f t="shared" si="2"/>
        <v>15</v>
      </c>
      <c r="K14" s="34"/>
      <c r="L14" s="34"/>
      <c r="M14" s="34">
        <f t="shared" si="1"/>
        <v>0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84" t="s">
        <v>167</v>
      </c>
      <c r="J15" s="85">
        <f>SUM(J7:J14)</f>
        <v>110</v>
      </c>
      <c r="K15" s="18"/>
      <c r="L15" s="21" t="s">
        <v>168</v>
      </c>
      <c r="M15" s="18">
        <f>sum(M9:M14)</f>
        <v>1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86" t="s">
        <v>169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86" t="s">
        <v>194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86" t="s">
        <v>171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6" t="s">
        <v>140</v>
      </c>
      <c r="B1" s="73">
        <v>3.0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142</v>
      </c>
      <c r="B2" s="19">
        <v>9.0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14</v>
      </c>
      <c r="B3" s="74" t="s">
        <v>195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16</v>
      </c>
      <c r="B4" s="75" t="s">
        <v>196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17</v>
      </c>
      <c r="B6" s="76" t="s">
        <v>145</v>
      </c>
      <c r="C6" s="25" t="s">
        <v>146</v>
      </c>
      <c r="D6" s="25" t="s">
        <v>147</v>
      </c>
      <c r="E6" s="25" t="s">
        <v>148</v>
      </c>
      <c r="F6" s="26" t="s">
        <v>149</v>
      </c>
      <c r="G6" s="27"/>
      <c r="H6" s="26" t="s">
        <v>150</v>
      </c>
      <c r="I6" s="27"/>
      <c r="J6" s="24" t="s">
        <v>151</v>
      </c>
      <c r="K6" s="77" t="s">
        <v>149</v>
      </c>
      <c r="L6" s="78" t="s">
        <v>150</v>
      </c>
      <c r="M6" s="79" t="s">
        <v>162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5.75" customHeight="1">
      <c r="A7" s="28"/>
      <c r="B7" s="76" t="s">
        <v>163</v>
      </c>
      <c r="C7" s="30">
        <v>15.0</v>
      </c>
      <c r="D7" s="30">
        <v>10.0</v>
      </c>
      <c r="E7" s="80">
        <v>10.0</v>
      </c>
      <c r="F7" s="30">
        <v>15.0</v>
      </c>
      <c r="G7" s="30">
        <v>5.0</v>
      </c>
      <c r="H7" s="30">
        <v>5.0</v>
      </c>
      <c r="I7" s="30">
        <v>15.0</v>
      </c>
      <c r="J7" s="28"/>
      <c r="K7" s="81" t="s">
        <v>164</v>
      </c>
      <c r="L7" s="81" t="s">
        <v>164</v>
      </c>
      <c r="M7" s="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31"/>
      <c r="B8" s="22" t="s">
        <v>18</v>
      </c>
      <c r="C8" s="31"/>
      <c r="D8" s="31"/>
      <c r="E8" s="31"/>
      <c r="F8" s="31"/>
      <c r="G8" s="31"/>
      <c r="H8" s="31"/>
      <c r="I8" s="31"/>
      <c r="J8" s="31"/>
      <c r="K8" s="9"/>
      <c r="L8" s="9"/>
      <c r="M8" s="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7.0" customHeight="1">
      <c r="A9" s="32">
        <v>1.0</v>
      </c>
      <c r="B9" s="82" t="s">
        <v>197</v>
      </c>
      <c r="C9" s="83" t="s">
        <v>157</v>
      </c>
      <c r="D9" s="83"/>
      <c r="E9" s="83"/>
      <c r="F9" s="83"/>
      <c r="G9" s="83"/>
      <c r="H9" s="83"/>
      <c r="I9" s="83" t="s">
        <v>157</v>
      </c>
      <c r="J9" s="83">
        <f>if(C9="X",$C$7,0)+if(D9="X",$D$7,0)+if(E9="X",$E$7,0)+if(F9="X",$F$7,0)+if(G9="X",$G$7,0)+if(H9="X",$H$7,0)+if(I9="X",$I$7,0)</f>
        <v>30</v>
      </c>
      <c r="K9" s="4"/>
      <c r="L9" s="34">
        <v>1.0</v>
      </c>
      <c r="M9" s="34">
        <f t="shared" ref="M9:M14" si="1">sum(K9:L9)</f>
        <v>1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5.75" customHeight="1">
      <c r="A10" s="34">
        <v>2.0</v>
      </c>
      <c r="B10" s="87" t="s">
        <v>93</v>
      </c>
      <c r="C10" s="34" t="s">
        <v>157</v>
      </c>
      <c r="D10" s="34" t="s">
        <v>157</v>
      </c>
      <c r="E10" s="34"/>
      <c r="F10" s="34"/>
      <c r="G10" s="34" t="s">
        <v>157</v>
      </c>
      <c r="H10" s="34"/>
      <c r="I10" s="34"/>
      <c r="J10" s="83">
        <f t="shared" ref="J10:J14" si="2">if(D10="X",$D$7,0)+if(E10="X",$E$7,0)+if(F10="X",$F$7,0)+if(G10="X",$G$7,0)+if(H10="X",$H$7,0)+if(I10="X",$I$7,0)</f>
        <v>15</v>
      </c>
      <c r="K10" s="34"/>
      <c r="L10" s="34"/>
      <c r="M10" s="34">
        <f t="shared" si="1"/>
        <v>0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34">
        <v>3.0</v>
      </c>
      <c r="B11" s="87" t="s">
        <v>94</v>
      </c>
      <c r="C11" s="34"/>
      <c r="D11" s="34"/>
      <c r="E11" s="34" t="s">
        <v>157</v>
      </c>
      <c r="F11" s="34"/>
      <c r="G11" s="34"/>
      <c r="H11" s="34"/>
      <c r="I11" s="34"/>
      <c r="J11" s="83">
        <f t="shared" si="2"/>
        <v>10</v>
      </c>
      <c r="K11" s="34"/>
      <c r="L11" s="34"/>
      <c r="M11" s="34">
        <f t="shared" si="1"/>
        <v>0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34">
        <v>4.0</v>
      </c>
      <c r="B12" s="88" t="s">
        <v>95</v>
      </c>
      <c r="C12" s="34" t="s">
        <v>157</v>
      </c>
      <c r="D12" s="34"/>
      <c r="E12" s="34"/>
      <c r="F12" s="34"/>
      <c r="G12" s="34"/>
      <c r="H12" s="34"/>
      <c r="I12" s="34"/>
      <c r="J12" s="83">
        <f t="shared" si="2"/>
        <v>0</v>
      </c>
      <c r="K12" s="34"/>
      <c r="L12" s="34"/>
      <c r="M12" s="34">
        <f t="shared" si="1"/>
        <v>0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34">
        <v>5.0</v>
      </c>
      <c r="B13" s="88" t="s">
        <v>96</v>
      </c>
      <c r="C13" s="34"/>
      <c r="D13" s="34"/>
      <c r="E13" s="34" t="s">
        <v>157</v>
      </c>
      <c r="F13" s="34" t="s">
        <v>157</v>
      </c>
      <c r="G13" s="34"/>
      <c r="H13" s="34"/>
      <c r="I13" s="34"/>
      <c r="J13" s="83">
        <f t="shared" si="2"/>
        <v>25</v>
      </c>
      <c r="K13" s="34"/>
      <c r="L13" s="34">
        <v>1.0</v>
      </c>
      <c r="M13" s="34">
        <f t="shared" si="1"/>
        <v>1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34">
        <v>6.0</v>
      </c>
      <c r="B14" s="87" t="s">
        <v>97</v>
      </c>
      <c r="C14" s="34"/>
      <c r="D14" s="34"/>
      <c r="E14" s="34"/>
      <c r="F14" s="34" t="s">
        <v>157</v>
      </c>
      <c r="G14" s="34"/>
      <c r="H14" s="34"/>
      <c r="I14" s="34" t="s">
        <v>157</v>
      </c>
      <c r="J14" s="83">
        <f t="shared" si="2"/>
        <v>30</v>
      </c>
      <c r="K14" s="34"/>
      <c r="L14" s="34"/>
      <c r="M14" s="34">
        <f t="shared" si="1"/>
        <v>0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8"/>
      <c r="B15" s="18"/>
      <c r="C15" s="18"/>
      <c r="D15" s="18"/>
      <c r="E15" s="18"/>
      <c r="F15" s="18"/>
      <c r="G15" s="18"/>
      <c r="H15" s="18"/>
      <c r="I15" s="84" t="s">
        <v>167</v>
      </c>
      <c r="J15" s="85">
        <f>SUM(J7:J14)</f>
        <v>110</v>
      </c>
      <c r="K15" s="18"/>
      <c r="L15" s="21" t="s">
        <v>168</v>
      </c>
      <c r="M15" s="18">
        <f>sum(M9:M14)</f>
        <v>2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86" t="s">
        <v>169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86" t="s">
        <v>198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86" t="s">
        <v>171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6" t="s">
        <v>140</v>
      </c>
      <c r="B1" s="73">
        <v>3.0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142</v>
      </c>
      <c r="B2" s="19">
        <v>10.0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14</v>
      </c>
      <c r="B3" s="74" t="s">
        <v>195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16</v>
      </c>
      <c r="B4" s="75" t="s">
        <v>199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17</v>
      </c>
      <c r="B6" s="76" t="s">
        <v>145</v>
      </c>
      <c r="C6" s="25" t="s">
        <v>146</v>
      </c>
      <c r="D6" s="25" t="s">
        <v>147</v>
      </c>
      <c r="E6" s="25" t="s">
        <v>148</v>
      </c>
      <c r="F6" s="26" t="s">
        <v>149</v>
      </c>
      <c r="G6" s="27"/>
      <c r="H6" s="26" t="s">
        <v>150</v>
      </c>
      <c r="I6" s="27"/>
      <c r="J6" s="24" t="s">
        <v>151</v>
      </c>
      <c r="K6" s="77" t="s">
        <v>149</v>
      </c>
      <c r="L6" s="78" t="s">
        <v>150</v>
      </c>
      <c r="M6" s="79" t="s">
        <v>162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5.75" customHeight="1">
      <c r="A7" s="28"/>
      <c r="B7" s="76" t="s">
        <v>163</v>
      </c>
      <c r="C7" s="30">
        <v>15.0</v>
      </c>
      <c r="D7" s="30">
        <v>10.0</v>
      </c>
      <c r="E7" s="80">
        <v>10.0</v>
      </c>
      <c r="F7" s="30">
        <v>15.0</v>
      </c>
      <c r="G7" s="30">
        <v>5.0</v>
      </c>
      <c r="H7" s="30">
        <v>5.0</v>
      </c>
      <c r="I7" s="30">
        <v>15.0</v>
      </c>
      <c r="J7" s="28"/>
      <c r="K7" s="81" t="s">
        <v>164</v>
      </c>
      <c r="L7" s="81" t="s">
        <v>164</v>
      </c>
      <c r="M7" s="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31"/>
      <c r="B8" s="22" t="s">
        <v>18</v>
      </c>
      <c r="C8" s="31"/>
      <c r="D8" s="31"/>
      <c r="E8" s="31"/>
      <c r="F8" s="31"/>
      <c r="G8" s="31"/>
      <c r="H8" s="31"/>
      <c r="I8" s="31"/>
      <c r="J8" s="31"/>
      <c r="K8" s="9"/>
      <c r="L8" s="9"/>
      <c r="M8" s="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7.0" customHeight="1">
      <c r="A9" s="32">
        <v>1.0</v>
      </c>
      <c r="B9" s="89" t="s">
        <v>99</v>
      </c>
      <c r="C9" s="83" t="s">
        <v>154</v>
      </c>
      <c r="D9" s="83"/>
      <c r="E9" s="83"/>
      <c r="F9" s="83"/>
      <c r="G9" s="83"/>
      <c r="H9" s="83"/>
      <c r="I9" s="83"/>
      <c r="J9" s="83">
        <f>if(C9="X",$C$7,0)+if(D9="X",$D$7,0)+if(E9="X",$E$7,0)+if(F9="X",$F$7,0)+if(G9="X",$G$7,0)+if(H9="X",$H$7,0)+if(I9="X",$I$7,0)</f>
        <v>15</v>
      </c>
      <c r="K9" s="4"/>
      <c r="L9" s="34"/>
      <c r="M9" s="34">
        <f t="shared" ref="M9:M14" si="1">sum(K9:L9)</f>
        <v>0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5.75" customHeight="1">
      <c r="A10" s="34">
        <v>2.0</v>
      </c>
      <c r="B10" s="2" t="s">
        <v>100</v>
      </c>
      <c r="C10" s="34" t="s">
        <v>157</v>
      </c>
      <c r="D10" s="34"/>
      <c r="E10" s="34"/>
      <c r="F10" s="34"/>
      <c r="G10" s="34"/>
      <c r="H10" s="34"/>
      <c r="I10" s="34"/>
      <c r="J10" s="83">
        <f t="shared" ref="J10:J14" si="2">if(D10="X",$D$7,0)+if(E10="X",$E$7,0)+if(F10="X",$F$7,0)+if(G10="X",$G$7,0)+if(H10="X",$H$7,0)+if(I10="X",$I$7,0)</f>
        <v>0</v>
      </c>
      <c r="K10" s="34"/>
      <c r="L10" s="34"/>
      <c r="M10" s="34">
        <f t="shared" si="1"/>
        <v>0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34">
        <v>3.0</v>
      </c>
      <c r="B11" s="2" t="s">
        <v>200</v>
      </c>
      <c r="C11" s="34" t="s">
        <v>157</v>
      </c>
      <c r="D11" s="34"/>
      <c r="E11" s="34"/>
      <c r="F11" s="34" t="s">
        <v>157</v>
      </c>
      <c r="G11" s="34"/>
      <c r="H11" s="34" t="s">
        <v>157</v>
      </c>
      <c r="I11" s="34"/>
      <c r="J11" s="83">
        <f t="shared" si="2"/>
        <v>20</v>
      </c>
      <c r="K11" s="34"/>
      <c r="L11" s="34"/>
      <c r="M11" s="34">
        <f t="shared" si="1"/>
        <v>0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34">
        <v>4.0</v>
      </c>
      <c r="B12" s="2" t="s">
        <v>103</v>
      </c>
      <c r="C12" s="34"/>
      <c r="D12" s="34" t="s">
        <v>157</v>
      </c>
      <c r="E12" s="34" t="s">
        <v>157</v>
      </c>
      <c r="F12" s="34"/>
      <c r="G12" s="34"/>
      <c r="H12" s="34"/>
      <c r="I12" s="34"/>
      <c r="J12" s="83">
        <f t="shared" si="2"/>
        <v>20</v>
      </c>
      <c r="K12" s="34"/>
      <c r="L12" s="34"/>
      <c r="M12" s="34">
        <f t="shared" si="1"/>
        <v>0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34">
        <v>5.0</v>
      </c>
      <c r="B13" s="2" t="s">
        <v>104</v>
      </c>
      <c r="C13" s="34" t="s">
        <v>157</v>
      </c>
      <c r="D13" s="34"/>
      <c r="E13" s="34"/>
      <c r="F13" s="34" t="s">
        <v>157</v>
      </c>
      <c r="G13" s="34"/>
      <c r="H13" s="34"/>
      <c r="I13" s="34" t="s">
        <v>157</v>
      </c>
      <c r="J13" s="83">
        <f t="shared" si="2"/>
        <v>30</v>
      </c>
      <c r="K13" s="34">
        <v>1.0</v>
      </c>
      <c r="L13" s="34"/>
      <c r="M13" s="34">
        <f t="shared" si="1"/>
        <v>1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34">
        <v>6.0</v>
      </c>
      <c r="B14" s="2" t="s">
        <v>105</v>
      </c>
      <c r="C14" s="34"/>
      <c r="D14" s="34"/>
      <c r="E14" s="34" t="s">
        <v>157</v>
      </c>
      <c r="F14" s="34"/>
      <c r="G14" s="34"/>
      <c r="H14" s="34"/>
      <c r="I14" s="34"/>
      <c r="J14" s="83">
        <f t="shared" si="2"/>
        <v>10</v>
      </c>
      <c r="K14" s="34"/>
      <c r="L14" s="34"/>
      <c r="M14" s="34">
        <f t="shared" si="1"/>
        <v>0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8"/>
      <c r="B15" s="18"/>
      <c r="C15" s="18"/>
      <c r="D15" s="18"/>
      <c r="E15" s="18"/>
      <c r="F15" s="18"/>
      <c r="G15" s="18"/>
      <c r="H15" s="18"/>
      <c r="I15" s="84" t="s">
        <v>167</v>
      </c>
      <c r="J15" s="85">
        <f>SUM(J7:J14)</f>
        <v>95</v>
      </c>
      <c r="K15" s="18"/>
      <c r="L15" s="21" t="s">
        <v>168</v>
      </c>
      <c r="M15" s="18">
        <f>sum(M9:M14)</f>
        <v>1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86" t="s">
        <v>169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86" t="s">
        <v>201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86" t="s">
        <v>171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6" t="s">
        <v>140</v>
      </c>
      <c r="B1" s="73">
        <v>3.0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142</v>
      </c>
      <c r="B2" s="19">
        <v>11.0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14</v>
      </c>
      <c r="B3" s="74" t="s">
        <v>195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16</v>
      </c>
      <c r="B4" s="75" t="s">
        <v>202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17</v>
      </c>
      <c r="B6" s="76" t="s">
        <v>145</v>
      </c>
      <c r="C6" s="25" t="s">
        <v>146</v>
      </c>
      <c r="D6" s="25" t="s">
        <v>147</v>
      </c>
      <c r="E6" s="25" t="s">
        <v>148</v>
      </c>
      <c r="F6" s="26" t="s">
        <v>149</v>
      </c>
      <c r="G6" s="27"/>
      <c r="H6" s="26" t="s">
        <v>150</v>
      </c>
      <c r="I6" s="27"/>
      <c r="J6" s="24" t="s">
        <v>151</v>
      </c>
      <c r="K6" s="77" t="s">
        <v>149</v>
      </c>
      <c r="L6" s="78" t="s">
        <v>150</v>
      </c>
      <c r="M6" s="79" t="s">
        <v>162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5.75" customHeight="1">
      <c r="A7" s="28"/>
      <c r="B7" s="76" t="s">
        <v>163</v>
      </c>
      <c r="C7" s="30">
        <v>15.0</v>
      </c>
      <c r="D7" s="30">
        <v>10.0</v>
      </c>
      <c r="E7" s="80">
        <v>10.0</v>
      </c>
      <c r="F7" s="30">
        <v>15.0</v>
      </c>
      <c r="G7" s="30">
        <v>5.0</v>
      </c>
      <c r="H7" s="30">
        <v>5.0</v>
      </c>
      <c r="I7" s="30">
        <v>15.0</v>
      </c>
      <c r="J7" s="28"/>
      <c r="K7" s="81" t="s">
        <v>164</v>
      </c>
      <c r="L7" s="81" t="s">
        <v>164</v>
      </c>
      <c r="M7" s="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31"/>
      <c r="B8" s="22" t="s">
        <v>18</v>
      </c>
      <c r="C8" s="31"/>
      <c r="D8" s="31"/>
      <c r="E8" s="31"/>
      <c r="F8" s="31"/>
      <c r="G8" s="31"/>
      <c r="H8" s="31"/>
      <c r="I8" s="31"/>
      <c r="J8" s="31"/>
      <c r="K8" s="9"/>
      <c r="L8" s="9"/>
      <c r="M8" s="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7.0" customHeight="1">
      <c r="A9" s="32">
        <v>1.0</v>
      </c>
      <c r="B9" s="2" t="s">
        <v>203</v>
      </c>
      <c r="C9" s="83" t="s">
        <v>157</v>
      </c>
      <c r="D9" s="83"/>
      <c r="E9" s="83" t="s">
        <v>157</v>
      </c>
      <c r="F9" s="83"/>
      <c r="G9" s="83"/>
      <c r="H9" s="83"/>
      <c r="I9" s="83"/>
      <c r="J9" s="83">
        <f>if(C9="X",$C$7,0)+if(D9="X",$D$7,0)+if(E9="X",$E$7,0)+if(F9="X",$F$7,0)+if(G9="X",$G$7,0)+if(H9="X",$H$7,0)+if(I9="X",$I$7,0)</f>
        <v>25</v>
      </c>
      <c r="K9" s="4"/>
      <c r="L9" s="34"/>
      <c r="M9" s="34">
        <f t="shared" ref="M9:M14" si="1">sum(K9:L9)</f>
        <v>0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5.75" customHeight="1">
      <c r="A10" s="34">
        <v>2.0</v>
      </c>
      <c r="B10" s="3" t="s">
        <v>110</v>
      </c>
      <c r="C10" s="34"/>
      <c r="D10" s="34" t="s">
        <v>157</v>
      </c>
      <c r="E10" s="34"/>
      <c r="F10" s="34"/>
      <c r="G10" s="34" t="s">
        <v>157</v>
      </c>
      <c r="H10" s="34" t="s">
        <v>157</v>
      </c>
      <c r="I10" s="34"/>
      <c r="J10" s="83">
        <f t="shared" ref="J10:J14" si="2">if(D10="X",$D$7,0)+if(E10="X",$E$7,0)+if(F10="X",$F$7,0)+if(G10="X",$G$7,0)+if(H10="X",$H$7,0)+if(I10="X",$I$7,0)</f>
        <v>20</v>
      </c>
      <c r="K10" s="34"/>
      <c r="L10" s="34"/>
      <c r="M10" s="34">
        <f t="shared" si="1"/>
        <v>0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34">
        <v>3.0</v>
      </c>
      <c r="B11" s="2" t="s">
        <v>111</v>
      </c>
      <c r="C11" s="34" t="s">
        <v>157</v>
      </c>
      <c r="D11" s="34"/>
      <c r="E11" s="34" t="s">
        <v>157</v>
      </c>
      <c r="F11" s="34" t="s">
        <v>157</v>
      </c>
      <c r="G11" s="34"/>
      <c r="H11" s="34" t="s">
        <v>157</v>
      </c>
      <c r="I11" s="34"/>
      <c r="J11" s="83">
        <f t="shared" si="2"/>
        <v>30</v>
      </c>
      <c r="K11" s="34">
        <v>0.5</v>
      </c>
      <c r="L11" s="34"/>
      <c r="M11" s="34">
        <f t="shared" si="1"/>
        <v>0.5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34">
        <v>4.0</v>
      </c>
      <c r="B12" s="15" t="s">
        <v>112</v>
      </c>
      <c r="C12" s="34"/>
      <c r="D12" s="34"/>
      <c r="E12" s="34" t="s">
        <v>157</v>
      </c>
      <c r="F12" s="34"/>
      <c r="G12" s="34"/>
      <c r="H12" s="34"/>
      <c r="I12" s="34"/>
      <c r="J12" s="83">
        <f t="shared" si="2"/>
        <v>10</v>
      </c>
      <c r="K12" s="34">
        <v>0.5</v>
      </c>
      <c r="L12" s="34"/>
      <c r="M12" s="34">
        <f t="shared" si="1"/>
        <v>0.5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34">
        <v>5.0</v>
      </c>
      <c r="B13" s="2" t="s">
        <v>113</v>
      </c>
      <c r="C13" s="34" t="s">
        <v>157</v>
      </c>
      <c r="D13" s="34"/>
      <c r="E13" s="34"/>
      <c r="F13" s="34"/>
      <c r="G13" s="34"/>
      <c r="H13" s="34"/>
      <c r="I13" s="34"/>
      <c r="J13" s="83">
        <f t="shared" si="2"/>
        <v>0</v>
      </c>
      <c r="K13" s="34"/>
      <c r="L13" s="34"/>
      <c r="M13" s="34">
        <f t="shared" si="1"/>
        <v>0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34">
        <v>6.0</v>
      </c>
      <c r="B14" s="2" t="s">
        <v>114</v>
      </c>
      <c r="C14" s="34"/>
      <c r="D14" s="34"/>
      <c r="E14" s="34" t="s">
        <v>157</v>
      </c>
      <c r="F14" s="34"/>
      <c r="G14" s="34"/>
      <c r="H14" s="34"/>
      <c r="I14" s="34"/>
      <c r="J14" s="83">
        <f t="shared" si="2"/>
        <v>10</v>
      </c>
      <c r="K14" s="34"/>
      <c r="L14" s="34"/>
      <c r="M14" s="34">
        <f t="shared" si="1"/>
        <v>0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8"/>
      <c r="B15" s="18"/>
      <c r="C15" s="18"/>
      <c r="D15" s="18"/>
      <c r="E15" s="18"/>
      <c r="F15" s="18"/>
      <c r="G15" s="18"/>
      <c r="H15" s="18"/>
      <c r="I15" s="84" t="s">
        <v>167</v>
      </c>
      <c r="J15" s="85">
        <f>SUM(J7:J14)</f>
        <v>95</v>
      </c>
      <c r="K15" s="18"/>
      <c r="L15" s="21" t="s">
        <v>168</v>
      </c>
      <c r="M15" s="18">
        <f>sum(M9:M14)</f>
        <v>1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86" t="s">
        <v>169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86" t="s">
        <v>204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86" t="s">
        <v>171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6" t="s">
        <v>140</v>
      </c>
      <c r="B1" s="73">
        <v>3.0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142</v>
      </c>
      <c r="B2" s="19">
        <v>12.0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14</v>
      </c>
      <c r="B3" s="74" t="s">
        <v>195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16</v>
      </c>
      <c r="B4" s="75" t="s">
        <v>205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17</v>
      </c>
      <c r="B6" s="76" t="s">
        <v>145</v>
      </c>
      <c r="C6" s="25" t="s">
        <v>146</v>
      </c>
      <c r="D6" s="25" t="s">
        <v>147</v>
      </c>
      <c r="E6" s="25" t="s">
        <v>148</v>
      </c>
      <c r="F6" s="26" t="s">
        <v>149</v>
      </c>
      <c r="G6" s="27"/>
      <c r="H6" s="26" t="s">
        <v>150</v>
      </c>
      <c r="I6" s="27"/>
      <c r="J6" s="24" t="s">
        <v>151</v>
      </c>
      <c r="K6" s="77" t="s">
        <v>149</v>
      </c>
      <c r="L6" s="78" t="s">
        <v>150</v>
      </c>
      <c r="M6" s="79" t="s">
        <v>162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5.75" customHeight="1">
      <c r="A7" s="28"/>
      <c r="B7" s="76" t="s">
        <v>163</v>
      </c>
      <c r="C7" s="30">
        <v>15.0</v>
      </c>
      <c r="D7" s="30">
        <v>10.0</v>
      </c>
      <c r="E7" s="80">
        <v>10.0</v>
      </c>
      <c r="F7" s="30">
        <v>15.0</v>
      </c>
      <c r="G7" s="30">
        <v>5.0</v>
      </c>
      <c r="H7" s="30">
        <v>5.0</v>
      </c>
      <c r="I7" s="30">
        <v>15.0</v>
      </c>
      <c r="J7" s="28"/>
      <c r="K7" s="81" t="s">
        <v>164</v>
      </c>
      <c r="L7" s="81" t="s">
        <v>164</v>
      </c>
      <c r="M7" s="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31"/>
      <c r="B8" s="22" t="s">
        <v>18</v>
      </c>
      <c r="C8" s="31"/>
      <c r="D8" s="31"/>
      <c r="E8" s="31"/>
      <c r="F8" s="31"/>
      <c r="G8" s="31"/>
      <c r="H8" s="31"/>
      <c r="I8" s="31"/>
      <c r="J8" s="31"/>
      <c r="K8" s="9"/>
      <c r="L8" s="9"/>
      <c r="M8" s="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7.0" customHeight="1">
      <c r="A9" s="32">
        <v>1.0</v>
      </c>
      <c r="B9" s="2" t="s">
        <v>116</v>
      </c>
      <c r="C9" s="83" t="s">
        <v>157</v>
      </c>
      <c r="D9" s="83"/>
      <c r="E9" s="83" t="s">
        <v>157</v>
      </c>
      <c r="F9" s="83"/>
      <c r="G9" s="83" t="s">
        <v>157</v>
      </c>
      <c r="H9" s="83" t="s">
        <v>157</v>
      </c>
      <c r="I9" s="83"/>
      <c r="J9" s="83">
        <f>if(C9="X",$C$7,0)+if(D9="X",$D$7,0)+if(E9="X",$E$7,0)+if(F9="X",$F$7,0)+if(G9="X",$G$7,0)+if(H9="X",$H$7,0)+if(I9="X",$I$7,0)</f>
        <v>35</v>
      </c>
      <c r="K9" s="4"/>
      <c r="L9" s="34"/>
      <c r="M9" s="34">
        <f t="shared" ref="M9:M14" si="1">sum(K9:L9)</f>
        <v>0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5.75" customHeight="1">
      <c r="A10" s="34">
        <v>2.0</v>
      </c>
      <c r="B10" s="2" t="s">
        <v>117</v>
      </c>
      <c r="C10" s="34" t="s">
        <v>157</v>
      </c>
      <c r="D10" s="34"/>
      <c r="E10" s="34" t="s">
        <v>157</v>
      </c>
      <c r="F10" s="34"/>
      <c r="G10" s="34" t="s">
        <v>157</v>
      </c>
      <c r="H10" s="34" t="s">
        <v>157</v>
      </c>
      <c r="I10" s="34"/>
      <c r="J10" s="83">
        <f t="shared" ref="J10:J14" si="2">if(D10="X",$D$7,0)+if(E10="X",$E$7,0)+if(F10="X",$F$7,0)+if(G10="X",$G$7,0)+if(H10="X",$H$7,0)+if(I10="X",$I$7,0)</f>
        <v>20</v>
      </c>
      <c r="K10" s="34"/>
      <c r="L10" s="34"/>
      <c r="M10" s="34">
        <f t="shared" si="1"/>
        <v>0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34">
        <v>3.0</v>
      </c>
      <c r="B11" s="2" t="s">
        <v>118</v>
      </c>
      <c r="C11" s="34"/>
      <c r="D11" s="34" t="s">
        <v>157</v>
      </c>
      <c r="E11" s="34" t="s">
        <v>157</v>
      </c>
      <c r="F11" s="34"/>
      <c r="G11" s="34"/>
      <c r="H11" s="34"/>
      <c r="I11" s="34"/>
      <c r="J11" s="83">
        <f t="shared" si="2"/>
        <v>20</v>
      </c>
      <c r="K11" s="34"/>
      <c r="L11" s="34"/>
      <c r="M11" s="34">
        <f t="shared" si="1"/>
        <v>0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34">
        <v>4.0</v>
      </c>
      <c r="B12" s="2" t="s">
        <v>119</v>
      </c>
      <c r="C12" s="34" t="s">
        <v>157</v>
      </c>
      <c r="D12" s="34"/>
      <c r="E12" s="34"/>
      <c r="F12" s="34"/>
      <c r="G12" s="34"/>
      <c r="H12" s="34"/>
      <c r="I12" s="34"/>
      <c r="J12" s="83">
        <f t="shared" si="2"/>
        <v>0</v>
      </c>
      <c r="K12" s="34"/>
      <c r="L12" s="34"/>
      <c r="M12" s="34">
        <f t="shared" si="1"/>
        <v>0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34">
        <v>5.0</v>
      </c>
      <c r="B13" s="2" t="s">
        <v>120</v>
      </c>
      <c r="C13" s="34"/>
      <c r="D13" s="34"/>
      <c r="E13" s="34" t="s">
        <v>157</v>
      </c>
      <c r="F13" s="34"/>
      <c r="G13" s="34"/>
      <c r="H13" s="34"/>
      <c r="I13" s="34"/>
      <c r="J13" s="83">
        <f t="shared" si="2"/>
        <v>10</v>
      </c>
      <c r="K13" s="34"/>
      <c r="L13" s="34"/>
      <c r="M13" s="34">
        <f t="shared" si="1"/>
        <v>0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34">
        <v>6.0</v>
      </c>
      <c r="B14" s="2" t="s">
        <v>121</v>
      </c>
      <c r="C14" s="34" t="s">
        <v>157</v>
      </c>
      <c r="D14" s="34"/>
      <c r="E14" s="34"/>
      <c r="F14" s="34" t="s">
        <v>157</v>
      </c>
      <c r="G14" s="34"/>
      <c r="H14" s="34"/>
      <c r="I14" s="34"/>
      <c r="J14" s="83">
        <f t="shared" si="2"/>
        <v>15</v>
      </c>
      <c r="K14" s="34"/>
      <c r="L14" s="34"/>
      <c r="M14" s="34">
        <f t="shared" si="1"/>
        <v>0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8"/>
      <c r="B15" s="18"/>
      <c r="C15" s="18"/>
      <c r="D15" s="18"/>
      <c r="E15" s="18"/>
      <c r="F15" s="18"/>
      <c r="G15" s="18"/>
      <c r="H15" s="18"/>
      <c r="I15" s="84" t="s">
        <v>167</v>
      </c>
      <c r="J15" s="85">
        <f>SUM(J7:J14)</f>
        <v>100</v>
      </c>
      <c r="K15" s="18"/>
      <c r="L15" s="21" t="s">
        <v>168</v>
      </c>
      <c r="M15" s="18">
        <f>sum(M9:M14)</f>
        <v>0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86" t="s">
        <v>169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86" t="s">
        <v>206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86" t="s">
        <v>171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6" t="s">
        <v>140</v>
      </c>
      <c r="B1" s="73">
        <v>4.0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142</v>
      </c>
      <c r="B2" s="19">
        <v>13.0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14</v>
      </c>
      <c r="B3" s="74" t="s">
        <v>207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16</v>
      </c>
      <c r="B4" s="75" t="s">
        <v>208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17</v>
      </c>
      <c r="B6" s="76" t="s">
        <v>145</v>
      </c>
      <c r="C6" s="25" t="s">
        <v>146</v>
      </c>
      <c r="D6" s="25" t="s">
        <v>147</v>
      </c>
      <c r="E6" s="25" t="s">
        <v>148</v>
      </c>
      <c r="F6" s="26" t="s">
        <v>149</v>
      </c>
      <c r="G6" s="27"/>
      <c r="H6" s="26" t="s">
        <v>150</v>
      </c>
      <c r="I6" s="27"/>
      <c r="J6" s="24" t="s">
        <v>151</v>
      </c>
      <c r="K6" s="77" t="s">
        <v>149</v>
      </c>
      <c r="L6" s="78" t="s">
        <v>150</v>
      </c>
      <c r="M6" s="79" t="s">
        <v>162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5.75" customHeight="1">
      <c r="A7" s="28"/>
      <c r="B7" s="76" t="s">
        <v>163</v>
      </c>
      <c r="C7" s="30">
        <v>15.0</v>
      </c>
      <c r="D7" s="30">
        <v>10.0</v>
      </c>
      <c r="E7" s="80">
        <v>10.0</v>
      </c>
      <c r="F7" s="30">
        <v>15.0</v>
      </c>
      <c r="G7" s="30">
        <v>5.0</v>
      </c>
      <c r="H7" s="30">
        <v>5.0</v>
      </c>
      <c r="I7" s="30">
        <v>15.0</v>
      </c>
      <c r="J7" s="28"/>
      <c r="K7" s="81" t="s">
        <v>164</v>
      </c>
      <c r="L7" s="81" t="s">
        <v>164</v>
      </c>
      <c r="M7" s="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31"/>
      <c r="B8" s="22" t="s">
        <v>18</v>
      </c>
      <c r="C8" s="31"/>
      <c r="D8" s="31"/>
      <c r="E8" s="31"/>
      <c r="F8" s="31"/>
      <c r="G8" s="31"/>
      <c r="H8" s="31"/>
      <c r="I8" s="31"/>
      <c r="J8" s="31"/>
      <c r="K8" s="9"/>
      <c r="L8" s="9"/>
      <c r="M8" s="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7.0" customHeight="1">
      <c r="A9" s="32">
        <v>1.0</v>
      </c>
      <c r="B9" s="4" t="s">
        <v>125</v>
      </c>
      <c r="C9" s="83" t="s">
        <v>157</v>
      </c>
      <c r="D9" s="83"/>
      <c r="E9" s="83" t="s">
        <v>157</v>
      </c>
      <c r="F9" s="83"/>
      <c r="G9" s="83"/>
      <c r="H9" s="83"/>
      <c r="I9" s="83"/>
      <c r="J9" s="83">
        <f>if(C9="X",$C$7,0)+if(D9="X",$D$7,0)+if(E9="X",$E$7,0)+if(F9="X",$F$7,0)+if(G9="X",$G$7,0)+if(H9="X",$H$7,0)+if(I9="X",$I$7,0)</f>
        <v>25</v>
      </c>
      <c r="K9" s="4"/>
      <c r="L9" s="34">
        <v>1.0</v>
      </c>
      <c r="M9" s="34">
        <f t="shared" ref="M9:M14" si="1">sum(K9:L9)</f>
        <v>1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5.75" customHeight="1">
      <c r="A10" s="34">
        <v>2.0</v>
      </c>
      <c r="B10" s="2" t="s">
        <v>126</v>
      </c>
      <c r="C10" s="34"/>
      <c r="D10" s="34" t="s">
        <v>157</v>
      </c>
      <c r="E10" s="34"/>
      <c r="F10" s="34"/>
      <c r="G10" s="34"/>
      <c r="H10" s="34" t="s">
        <v>157</v>
      </c>
      <c r="I10" s="34"/>
      <c r="J10" s="83">
        <f t="shared" ref="J10:J14" si="2">if(D10="X",$D$7,0)+if(E10="X",$E$7,0)+if(F10="X",$F$7,0)+if(G10="X",$G$7,0)+if(H10="X",$H$7,0)+if(I10="X",$I$7,0)</f>
        <v>15</v>
      </c>
      <c r="K10" s="34"/>
      <c r="L10" s="34"/>
      <c r="M10" s="34">
        <f t="shared" si="1"/>
        <v>0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34">
        <v>3.0</v>
      </c>
      <c r="B11" s="2" t="s">
        <v>209</v>
      </c>
      <c r="C11" s="34"/>
      <c r="D11" s="34"/>
      <c r="E11" s="34" t="s">
        <v>157</v>
      </c>
      <c r="F11" s="34"/>
      <c r="G11" s="34"/>
      <c r="H11" s="34"/>
      <c r="I11" s="34"/>
      <c r="J11" s="83">
        <f t="shared" si="2"/>
        <v>10</v>
      </c>
      <c r="K11" s="34"/>
      <c r="L11" s="34"/>
      <c r="M11" s="34">
        <f t="shared" si="1"/>
        <v>0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34">
        <v>4.0</v>
      </c>
      <c r="B12" s="2" t="s">
        <v>129</v>
      </c>
      <c r="C12" s="34" t="s">
        <v>157</v>
      </c>
      <c r="D12" s="34"/>
      <c r="E12" s="34"/>
      <c r="F12" s="34" t="s">
        <v>157</v>
      </c>
      <c r="G12" s="34"/>
      <c r="H12" s="34"/>
      <c r="I12" s="34" t="s">
        <v>157</v>
      </c>
      <c r="J12" s="83">
        <f t="shared" si="2"/>
        <v>30</v>
      </c>
      <c r="K12" s="34">
        <v>1.0</v>
      </c>
      <c r="L12" s="34"/>
      <c r="M12" s="34">
        <f t="shared" si="1"/>
        <v>1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34">
        <v>5.0</v>
      </c>
      <c r="B13" s="4" t="s">
        <v>130</v>
      </c>
      <c r="C13" s="34"/>
      <c r="D13" s="34"/>
      <c r="E13" s="34" t="s">
        <v>157</v>
      </c>
      <c r="F13" s="34"/>
      <c r="G13" s="34"/>
      <c r="H13" s="34" t="s">
        <v>157</v>
      </c>
      <c r="I13" s="34"/>
      <c r="J13" s="83">
        <f t="shared" si="2"/>
        <v>15</v>
      </c>
      <c r="K13" s="34"/>
      <c r="L13" s="34"/>
      <c r="M13" s="34">
        <f t="shared" si="1"/>
        <v>0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34">
        <v>6.0</v>
      </c>
      <c r="B14" s="2" t="s">
        <v>131</v>
      </c>
      <c r="C14" s="34" t="s">
        <v>157</v>
      </c>
      <c r="D14" s="34"/>
      <c r="E14" s="34" t="s">
        <v>157</v>
      </c>
      <c r="F14" s="34"/>
      <c r="G14" s="34"/>
      <c r="H14" s="34"/>
      <c r="I14" s="34"/>
      <c r="J14" s="83">
        <f t="shared" si="2"/>
        <v>10</v>
      </c>
      <c r="K14" s="34"/>
      <c r="L14" s="34"/>
      <c r="M14" s="34">
        <f t="shared" si="1"/>
        <v>0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8"/>
      <c r="B15" s="18"/>
      <c r="C15" s="18"/>
      <c r="D15" s="18"/>
      <c r="E15" s="18"/>
      <c r="F15" s="18"/>
      <c r="G15" s="18"/>
      <c r="H15" s="18"/>
      <c r="I15" s="84" t="s">
        <v>167</v>
      </c>
      <c r="J15" s="85">
        <f>SUM(J7:J14)</f>
        <v>105</v>
      </c>
      <c r="K15" s="18"/>
      <c r="L15" s="21" t="s">
        <v>168</v>
      </c>
      <c r="M15" s="18">
        <f>sum(M9:M14)</f>
        <v>2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86" t="s">
        <v>169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86" t="s">
        <v>210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86" t="s">
        <v>171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6" t="s">
        <v>140</v>
      </c>
      <c r="B1" s="73">
        <v>4.0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142</v>
      </c>
      <c r="B2" s="19">
        <v>14.0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14</v>
      </c>
      <c r="B3" s="74" t="s">
        <v>207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16</v>
      </c>
      <c r="B4" s="75" t="s">
        <v>211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17</v>
      </c>
      <c r="B6" s="76" t="s">
        <v>145</v>
      </c>
      <c r="C6" s="25" t="s">
        <v>146</v>
      </c>
      <c r="D6" s="25" t="s">
        <v>147</v>
      </c>
      <c r="E6" s="25" t="s">
        <v>148</v>
      </c>
      <c r="F6" s="26" t="s">
        <v>149</v>
      </c>
      <c r="G6" s="27"/>
      <c r="H6" s="26" t="s">
        <v>150</v>
      </c>
      <c r="I6" s="27"/>
      <c r="J6" s="24" t="s">
        <v>151</v>
      </c>
      <c r="K6" s="77" t="s">
        <v>149</v>
      </c>
      <c r="L6" s="78" t="s">
        <v>150</v>
      </c>
      <c r="M6" s="79" t="s">
        <v>162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5.75" customHeight="1">
      <c r="A7" s="28"/>
      <c r="B7" s="76" t="s">
        <v>163</v>
      </c>
      <c r="C7" s="30">
        <v>15.0</v>
      </c>
      <c r="D7" s="30">
        <v>10.0</v>
      </c>
      <c r="E7" s="80">
        <v>10.0</v>
      </c>
      <c r="F7" s="30">
        <v>15.0</v>
      </c>
      <c r="G7" s="30">
        <v>5.0</v>
      </c>
      <c r="H7" s="30">
        <v>5.0</v>
      </c>
      <c r="I7" s="30">
        <v>15.0</v>
      </c>
      <c r="J7" s="28"/>
      <c r="K7" s="81" t="s">
        <v>164</v>
      </c>
      <c r="L7" s="81" t="s">
        <v>164</v>
      </c>
      <c r="M7" s="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31"/>
      <c r="B8" s="22" t="s">
        <v>18</v>
      </c>
      <c r="C8" s="31"/>
      <c r="D8" s="31"/>
      <c r="E8" s="31"/>
      <c r="F8" s="31"/>
      <c r="G8" s="31"/>
      <c r="H8" s="31"/>
      <c r="I8" s="31"/>
      <c r="J8" s="31"/>
      <c r="K8" s="9"/>
      <c r="L8" s="9"/>
      <c r="M8" s="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7.0" customHeight="1">
      <c r="A9" s="32">
        <v>1.0</v>
      </c>
      <c r="B9" s="2" t="s">
        <v>133</v>
      </c>
      <c r="C9" s="83" t="s">
        <v>157</v>
      </c>
      <c r="D9" s="83" t="s">
        <v>157</v>
      </c>
      <c r="E9" s="83"/>
      <c r="F9" s="83" t="s">
        <v>157</v>
      </c>
      <c r="G9" s="83"/>
      <c r="H9" s="83"/>
      <c r="I9" s="83"/>
      <c r="J9" s="83">
        <f>if(C9="X",$C$7,0)+if(D9="X",$D$7,0)+if(E9="X",$E$7,0)+if(F9="X",$F$7,0)+if(G9="X",$G$7,0)+if(H9="X",$H$7,0)+if(I9="X",$I$7,0)</f>
        <v>40</v>
      </c>
      <c r="K9" s="4"/>
      <c r="L9" s="34"/>
      <c r="M9" s="34">
        <f t="shared" ref="M9:M14" si="1">sum(K9:L9)</f>
        <v>0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5.75" customHeight="1">
      <c r="A10" s="34">
        <v>2.0</v>
      </c>
      <c r="B10" s="2" t="s">
        <v>134</v>
      </c>
      <c r="C10" s="34"/>
      <c r="D10" s="34"/>
      <c r="E10" s="34" t="s">
        <v>157</v>
      </c>
      <c r="F10" s="34"/>
      <c r="G10" s="34"/>
      <c r="H10" s="34" t="s">
        <v>157</v>
      </c>
      <c r="I10" s="34"/>
      <c r="J10" s="83">
        <f t="shared" ref="J10:J14" si="2">if(D10="X",$D$7,0)+if(E10="X",$E$7,0)+if(F10="X",$F$7,0)+if(G10="X",$G$7,0)+if(H10="X",$H$7,0)+if(I10="X",$I$7,0)</f>
        <v>15</v>
      </c>
      <c r="K10" s="34">
        <v>1.0</v>
      </c>
      <c r="L10" s="34"/>
      <c r="M10" s="34">
        <f t="shared" si="1"/>
        <v>1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34">
        <v>3.0</v>
      </c>
      <c r="B11" s="2" t="s">
        <v>135</v>
      </c>
      <c r="C11" s="34"/>
      <c r="D11" s="34"/>
      <c r="E11" s="34" t="s">
        <v>157</v>
      </c>
      <c r="F11" s="34"/>
      <c r="G11" s="34" t="s">
        <v>157</v>
      </c>
      <c r="H11" s="34" t="s">
        <v>157</v>
      </c>
      <c r="I11" s="34"/>
      <c r="J11" s="83">
        <f t="shared" si="2"/>
        <v>20</v>
      </c>
      <c r="K11" s="34"/>
      <c r="L11" s="34"/>
      <c r="M11" s="34">
        <f t="shared" si="1"/>
        <v>0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34">
        <v>4.0</v>
      </c>
      <c r="B12" s="2" t="s">
        <v>136</v>
      </c>
      <c r="C12" s="34" t="s">
        <v>157</v>
      </c>
      <c r="D12" s="34"/>
      <c r="E12" s="34"/>
      <c r="F12" s="34"/>
      <c r="G12" s="34" t="s">
        <v>157</v>
      </c>
      <c r="H12" s="34"/>
      <c r="I12" s="34"/>
      <c r="J12" s="83">
        <f t="shared" si="2"/>
        <v>5</v>
      </c>
      <c r="K12" s="34"/>
      <c r="L12" s="34"/>
      <c r="M12" s="34">
        <f t="shared" si="1"/>
        <v>0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34">
        <v>5.0</v>
      </c>
      <c r="B13" s="2" t="s">
        <v>137</v>
      </c>
      <c r="C13" s="34" t="s">
        <v>157</v>
      </c>
      <c r="D13" s="34"/>
      <c r="E13" s="34"/>
      <c r="F13" s="34" t="s">
        <v>157</v>
      </c>
      <c r="G13" s="34"/>
      <c r="H13" s="34" t="s">
        <v>157</v>
      </c>
      <c r="I13" s="34"/>
      <c r="J13" s="83">
        <f t="shared" si="2"/>
        <v>20</v>
      </c>
      <c r="K13" s="34"/>
      <c r="L13" s="34"/>
      <c r="M13" s="34">
        <f t="shared" si="1"/>
        <v>0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34">
        <v>6.0</v>
      </c>
      <c r="B14" s="2" t="s">
        <v>138</v>
      </c>
      <c r="C14" s="34"/>
      <c r="D14" s="34"/>
      <c r="E14" s="34" t="s">
        <v>157</v>
      </c>
      <c r="F14" s="34"/>
      <c r="G14" s="34" t="s">
        <v>157</v>
      </c>
      <c r="H14" s="34"/>
      <c r="I14" s="34"/>
      <c r="J14" s="83">
        <f t="shared" si="2"/>
        <v>15</v>
      </c>
      <c r="K14" s="34"/>
      <c r="L14" s="34">
        <v>1.0</v>
      </c>
      <c r="M14" s="34">
        <f t="shared" si="1"/>
        <v>1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8"/>
      <c r="B15" s="18"/>
      <c r="C15" s="18"/>
      <c r="D15" s="18"/>
      <c r="E15" s="18"/>
      <c r="F15" s="18"/>
      <c r="G15" s="18"/>
      <c r="H15" s="18"/>
      <c r="I15" s="84" t="s">
        <v>167</v>
      </c>
      <c r="J15" s="85">
        <f>SUM(J7:J14)</f>
        <v>115</v>
      </c>
      <c r="K15" s="18"/>
      <c r="L15" s="21" t="s">
        <v>168</v>
      </c>
      <c r="M15" s="18">
        <f>sum(M9:M14)</f>
        <v>2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86" t="s">
        <v>169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86" t="s">
        <v>212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86" t="s">
        <v>171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6" t="s">
        <v>140</v>
      </c>
      <c r="B1" s="73">
        <v>4.0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142</v>
      </c>
      <c r="B2" s="19">
        <v>15.0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14</v>
      </c>
      <c r="B3" s="74" t="s">
        <v>207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16</v>
      </c>
      <c r="B4" s="21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17</v>
      </c>
      <c r="B6" s="76" t="s">
        <v>145</v>
      </c>
      <c r="C6" s="25" t="s">
        <v>146</v>
      </c>
      <c r="D6" s="25" t="s">
        <v>147</v>
      </c>
      <c r="E6" s="25" t="s">
        <v>148</v>
      </c>
      <c r="F6" s="26" t="s">
        <v>149</v>
      </c>
      <c r="G6" s="27"/>
      <c r="H6" s="26" t="s">
        <v>150</v>
      </c>
      <c r="I6" s="27"/>
      <c r="J6" s="24" t="s">
        <v>151</v>
      </c>
      <c r="K6" s="77" t="s">
        <v>149</v>
      </c>
      <c r="L6" s="78" t="s">
        <v>150</v>
      </c>
      <c r="M6" s="79" t="s">
        <v>162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5.75" customHeight="1">
      <c r="A7" s="28"/>
      <c r="B7" s="76" t="s">
        <v>163</v>
      </c>
      <c r="C7" s="30">
        <v>15.0</v>
      </c>
      <c r="D7" s="30">
        <v>10.0</v>
      </c>
      <c r="E7" s="80">
        <v>10.0</v>
      </c>
      <c r="F7" s="30">
        <v>15.0</v>
      </c>
      <c r="G7" s="30">
        <v>5.0</v>
      </c>
      <c r="H7" s="30">
        <v>5.0</v>
      </c>
      <c r="I7" s="30">
        <v>15.0</v>
      </c>
      <c r="J7" s="28"/>
      <c r="K7" s="81" t="s">
        <v>164</v>
      </c>
      <c r="L7" s="81" t="s">
        <v>164</v>
      </c>
      <c r="M7" s="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31"/>
      <c r="B8" s="22" t="s">
        <v>18</v>
      </c>
      <c r="C8" s="31"/>
      <c r="D8" s="31"/>
      <c r="E8" s="31"/>
      <c r="F8" s="31"/>
      <c r="G8" s="31"/>
      <c r="H8" s="31"/>
      <c r="I8" s="31"/>
      <c r="J8" s="31"/>
      <c r="K8" s="9"/>
      <c r="L8" s="9"/>
      <c r="M8" s="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7.0" customHeight="1">
      <c r="A9" s="32">
        <v>1.0</v>
      </c>
      <c r="B9" s="82"/>
      <c r="C9" s="83"/>
      <c r="D9" s="83"/>
      <c r="E9" s="83"/>
      <c r="F9" s="83"/>
      <c r="G9" s="83"/>
      <c r="H9" s="83"/>
      <c r="I9" s="83"/>
      <c r="J9" s="83">
        <f>if(C9="X",$C$7,0)+if(D9="X",$D$7,0)+if(E9="X",$E$7,0)+if(F9="X",$F$7,0)+if(G9="X",$G$7,0)+if(H9="X",$H$7,0)+if(I9="X",$I$7,0)</f>
        <v>0</v>
      </c>
      <c r="K9" s="4"/>
      <c r="L9" s="34"/>
      <c r="M9" s="34">
        <f t="shared" ref="M9:M14" si="1">sum(K9:L9)</f>
        <v>0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5.75" customHeight="1">
      <c r="A10" s="34">
        <v>2.0</v>
      </c>
      <c r="B10" s="87"/>
      <c r="C10" s="34"/>
      <c r="D10" s="34"/>
      <c r="E10" s="34"/>
      <c r="F10" s="34"/>
      <c r="G10" s="34"/>
      <c r="H10" s="34"/>
      <c r="I10" s="34"/>
      <c r="J10" s="83">
        <f t="shared" ref="J10:J14" si="2">if(D10="X",$D$7,0)+if(E10="X",$E$7,0)+if(F10="X",$F$7,0)+if(G10="X",$G$7,0)+if(H10="X",$H$7,0)+if(I10="X",$I$7,0)</f>
        <v>0</v>
      </c>
      <c r="K10" s="34"/>
      <c r="L10" s="34"/>
      <c r="M10" s="34">
        <f t="shared" si="1"/>
        <v>0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34">
        <v>3.0</v>
      </c>
      <c r="B11" s="87"/>
      <c r="C11" s="34"/>
      <c r="D11" s="34"/>
      <c r="E11" s="34"/>
      <c r="F11" s="34"/>
      <c r="G11" s="34"/>
      <c r="H11" s="34"/>
      <c r="I11" s="34"/>
      <c r="J11" s="83">
        <f t="shared" si="2"/>
        <v>0</v>
      </c>
      <c r="K11" s="34"/>
      <c r="L11" s="34"/>
      <c r="M11" s="34">
        <f t="shared" si="1"/>
        <v>0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34">
        <v>4.0</v>
      </c>
      <c r="B12" s="88"/>
      <c r="C12" s="34"/>
      <c r="D12" s="34"/>
      <c r="E12" s="34"/>
      <c r="F12" s="34"/>
      <c r="G12" s="34"/>
      <c r="H12" s="34"/>
      <c r="I12" s="34"/>
      <c r="J12" s="83">
        <f t="shared" si="2"/>
        <v>0</v>
      </c>
      <c r="K12" s="34"/>
      <c r="L12" s="34"/>
      <c r="M12" s="34">
        <f t="shared" si="1"/>
        <v>0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34">
        <v>5.0</v>
      </c>
      <c r="B13" s="88"/>
      <c r="C13" s="34"/>
      <c r="D13" s="34"/>
      <c r="E13" s="34"/>
      <c r="F13" s="34"/>
      <c r="G13" s="34"/>
      <c r="H13" s="34"/>
      <c r="I13" s="34"/>
      <c r="J13" s="83">
        <f t="shared" si="2"/>
        <v>0</v>
      </c>
      <c r="K13" s="34"/>
      <c r="L13" s="34"/>
      <c r="M13" s="34">
        <f t="shared" si="1"/>
        <v>0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34">
        <v>6.0</v>
      </c>
      <c r="B14" s="87"/>
      <c r="C14" s="34"/>
      <c r="D14" s="34"/>
      <c r="E14" s="34"/>
      <c r="F14" s="34"/>
      <c r="G14" s="34"/>
      <c r="H14" s="34"/>
      <c r="I14" s="34"/>
      <c r="J14" s="83">
        <f t="shared" si="2"/>
        <v>0</v>
      </c>
      <c r="K14" s="34"/>
      <c r="L14" s="34"/>
      <c r="M14" s="34">
        <f t="shared" si="1"/>
        <v>0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84" t="s">
        <v>167</v>
      </c>
      <c r="J15" s="85">
        <f>SUM(J7:J14)</f>
        <v>0</v>
      </c>
      <c r="K15" s="18"/>
      <c r="L15" s="21" t="s">
        <v>168</v>
      </c>
      <c r="M15" s="18">
        <f>sum(M9:M14)</f>
        <v>0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86" t="s">
        <v>169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86" t="s">
        <v>213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86" t="s">
        <v>171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4" t="s">
        <v>214</v>
      </c>
    </row>
    <row r="2">
      <c r="A2" s="14" t="s">
        <v>215</v>
      </c>
    </row>
    <row r="4">
      <c r="A4" s="90" t="s">
        <v>216</v>
      </c>
    </row>
    <row r="5">
      <c r="A5" s="90" t="s">
        <v>217</v>
      </c>
    </row>
    <row r="8">
      <c r="A8" s="14" t="s">
        <v>218</v>
      </c>
    </row>
    <row r="9">
      <c r="A9" s="14">
        <v>1.0</v>
      </c>
      <c r="B9" s="3" t="s">
        <v>219</v>
      </c>
      <c r="H9" s="3"/>
    </row>
    <row r="10">
      <c r="A10" s="14">
        <v>2.0</v>
      </c>
      <c r="B10" s="3" t="s">
        <v>220</v>
      </c>
      <c r="H10" s="3"/>
    </row>
    <row r="11">
      <c r="A11" s="14">
        <v>3.0</v>
      </c>
      <c r="B11" s="3" t="s">
        <v>221</v>
      </c>
      <c r="H11" s="3"/>
    </row>
    <row r="12">
      <c r="B12" s="3"/>
      <c r="C12" s="3"/>
      <c r="D12" s="3"/>
      <c r="E12" s="3"/>
      <c r="F12" s="3"/>
      <c r="G12" s="3"/>
      <c r="H12" s="3"/>
    </row>
    <row r="13">
      <c r="A13" s="14" t="s">
        <v>222</v>
      </c>
      <c r="B13" s="3"/>
      <c r="C13" s="3"/>
      <c r="D13" s="3"/>
      <c r="E13" s="3"/>
      <c r="F13" s="3"/>
      <c r="G13" s="3"/>
      <c r="H13" s="3"/>
    </row>
  </sheetData>
  <mergeCells count="3">
    <mergeCell ref="B9:G9"/>
    <mergeCell ref="B10:G10"/>
    <mergeCell ref="B11:G11"/>
  </mergeCells>
  <hyperlinks>
    <hyperlink r:id="rId1" ref="A4"/>
    <hyperlink r:id="rId2" ref="A5"/>
  </hyperlinks>
  <drawing r:id="rId3"/>
</worksheet>
</file>