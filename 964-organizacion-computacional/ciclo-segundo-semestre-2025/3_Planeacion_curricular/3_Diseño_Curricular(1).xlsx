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acticas" sheetId="13" r:id="rId16"/>
    <sheet state="visible" name="Proyectos" sheetId="14" r:id="rId17"/>
    <sheet state="visible" name="Tareas" sheetId="15" r:id="rId18"/>
    <sheet state="visible" name="Resumen" sheetId="16" r:id="rId19"/>
    <sheet state="hidden" name="METADATA" sheetId="17" r:id="rId20"/>
  </sheets>
  <definedNames/>
  <calcPr/>
  <extLst>
    <ext uri="GoogleSheetsCustomDataVersion2">
      <go:sheetsCustomData xmlns:go="http://customooxmlschemas.google.com/" r:id="rId21" roundtripDataChecksum="hDf0fs2EFGpyopReYHgcr++yzNMguIMjqMr5d0MkcV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<sst xmlns="http://schemas.openxmlformats.org/spreadsheetml/2006/main" count="1224" uniqueCount="270">
  <si>
    <t>Diseño de Contenido Curricular</t>
  </si>
  <si>
    <t>Curso</t>
  </si>
  <si>
    <t>964 - Organización Computacional</t>
  </si>
  <si>
    <t>Periodo al que aplica</t>
  </si>
  <si>
    <t>Primer Semestre 2026</t>
  </si>
  <si>
    <t>No.</t>
  </si>
  <si>
    <t>Competencia</t>
  </si>
  <si>
    <t>Nombre de la Unidad</t>
  </si>
  <si>
    <t>Tema</t>
  </si>
  <si>
    <t>Subtema</t>
  </si>
  <si>
    <t>Mes</t>
  </si>
  <si>
    <t>Semana</t>
  </si>
  <si>
    <t xml:space="preserve">Diseña Circuitos digitales combinacionales para operaciones aritméticas y lógicas mediante el uso de Proteus, Logisim y Arduino IDE para construir una Unidad Aritmética Lógica (ALU) funcional que ejecute suma, resta, multiplicación y potencias </t>
  </si>
  <si>
    <t>Conceptos básicos de la Electrónica</t>
  </si>
  <si>
    <t>Representación de datos en una computadora digital</t>
  </si>
  <si>
    <t>Sistemas numéricos posicionales.</t>
  </si>
  <si>
    <t>Enero</t>
  </si>
  <si>
    <t>Sistemas numéricos base 2, 8 y 16.</t>
  </si>
  <si>
    <t xml:space="preserve">Define los sistemas numéricos posicionales (binario, octal y decimal) y los componentes básicos de la electrónica digital (puertas lógicas, transistores, LEDs) ofreciendo explicaciones sobre su función y relación en la representación de la información en dispositivos digitales con precisión </t>
  </si>
  <si>
    <t>Lógica Binaria y Operaciones Básicas</t>
  </si>
  <si>
    <t>Formas de Minimización de funciones booleanas</t>
  </si>
  <si>
    <t>Mapas de Karnaugh</t>
  </si>
  <si>
    <t>Circuitos Lógicos Binarios</t>
  </si>
  <si>
    <t>Operaciones combinadas (Xor, Xnor, Nand, Nor)</t>
  </si>
  <si>
    <t>Lógica Combinacional</t>
  </si>
  <si>
    <t>Diseño de Lógica Combinacional</t>
  </si>
  <si>
    <t>Comparadores</t>
  </si>
  <si>
    <t>Febrero</t>
  </si>
  <si>
    <t>Multiplexador</t>
  </si>
  <si>
    <t>Demultiplexador</t>
  </si>
  <si>
    <t>De binario a BCD</t>
  </si>
  <si>
    <t>Bloques Digitales y Lógica Secuencial</t>
  </si>
  <si>
    <t>Bloques Combinacionales</t>
  </si>
  <si>
    <t>Display 7 segmentos (anodo y catodo comun)</t>
  </si>
  <si>
    <t xml:space="preserve">Implementa Circuitos digitales secuenciales utilizando flip-flops SR, D, JK y T	 mediante simulación en Proteus y montaje en protoboard aplicando técnicas de diseño lógico para crear y comprobar aplicaciones de almacenamiento, conteo y control de estados en sistemas electrónicos digitales </t>
  </si>
  <si>
    <t>Introduccion a la logica secuencial</t>
  </si>
  <si>
    <t>Circuitos Sincronicos</t>
  </si>
  <si>
    <t>Circuitos Asincronicos</t>
  </si>
  <si>
    <t>Latches</t>
  </si>
  <si>
    <t>Bloques Digitales y Logica Secuencial</t>
  </si>
  <si>
    <t>Flip-flop tipo SR</t>
  </si>
  <si>
    <t>Flip-flop tipo D</t>
  </si>
  <si>
    <t>Flip-flop tipo JK</t>
  </si>
  <si>
    <t>Flip-flop tipo T</t>
  </si>
  <si>
    <t>Flip-Flops</t>
  </si>
  <si>
    <t>Aplicaciones de flip-flops en circuitos digitales</t>
  </si>
  <si>
    <t xml:space="preserve">Integra circuitos digitales y sistemas embebidos mediante el uso de bases numéricas, transistores, compuertas lógicas, bloques combinacionales y secuenciales, registros, memoria RAM, Arduino, actuadores, controladores y sensores para la resolución de problemas prácticos de automatización y control en contextos académicos y tecnológicos </t>
  </si>
  <si>
    <t>Contadores</t>
  </si>
  <si>
    <t>Contadorres</t>
  </si>
  <si>
    <t>Marzo</t>
  </si>
  <si>
    <t xml:space="preserve">Implementa soluciones de almacenamiento y conteo digital utilizando registros y contadores apoyándose en simuladores de circuitos digitales como Proteus para optimizar el manejo de datos y eventos secuenciales en sistemas electrónicos </t>
  </si>
  <si>
    <t>Registros Digitales, Actuadores y Controladores Avanzados</t>
  </si>
  <si>
    <t>Registros digitales</t>
  </si>
  <si>
    <t>Registro en paralelo</t>
  </si>
  <si>
    <t>Registro en serie</t>
  </si>
  <si>
    <t>Registros en almacenamiento</t>
  </si>
  <si>
    <t>Transferencia de datos</t>
  </si>
  <si>
    <t>Memoria RAM</t>
  </si>
  <si>
    <t xml:space="preserve">Diseña sistemas de control interactivos con microcontroladores y sensores mediante el uso de Arduino IDE y librerías de comunicación (Serial, I2C, SPI) para automatizar procesos de monitoreo y control en tiempo real en dispositivos electrónicos </t>
  </si>
  <si>
    <t>Arduino</t>
  </si>
  <si>
    <t>Introduccion a Arduino</t>
  </si>
  <si>
    <t xml:space="preserve">Funcionamiento y partes de un Arduino </t>
  </si>
  <si>
    <t xml:space="preserve">Codigo de Arduino y su implementación </t>
  </si>
  <si>
    <t>Protocolos de Comunicación (Serial, I2C, SPI)</t>
  </si>
  <si>
    <t xml:space="preserve">Actuadores </t>
  </si>
  <si>
    <t>Circuitos de Control</t>
  </si>
  <si>
    <t>Sumador</t>
  </si>
  <si>
    <t>Restador</t>
  </si>
  <si>
    <t>Multiplicador</t>
  </si>
  <si>
    <t>Dispositivos Electromecánicos</t>
  </si>
  <si>
    <t>Actuadores Avanzados</t>
  </si>
  <si>
    <t>Librerías en Arduino y su funcionamiento</t>
  </si>
  <si>
    <t>Servomotor</t>
  </si>
  <si>
    <t>Motor Stepper</t>
  </si>
  <si>
    <t>Sensor de Temperatura</t>
  </si>
  <si>
    <t>Sensor Fotoresistencia</t>
  </si>
  <si>
    <t>Sensor de Dióxido de Carbono</t>
  </si>
  <si>
    <t>Sensor de Proximidad</t>
  </si>
  <si>
    <t>Tiempo</t>
  </si>
  <si>
    <t xml:space="preserve">1. Bienvenida y Presentación                                   </t>
  </si>
  <si>
    <t>Tiempo Aproximado</t>
  </si>
  <si>
    <t>No puedes excederte mas de 15 minutos</t>
  </si>
  <si>
    <t xml:space="preserve">Nombre y Formacion Academica </t>
  </si>
  <si>
    <t>Me presentaré diciendo mi nombre completo. Compartiré mi formación académica, la carrera que estudié y resaltaré la experiencia que tengo en el área de sistemas y organización computacional. Mencionaré que mi preparación me da las bases necesarias para acompañarlos en el aprendizaje de la materia.</t>
  </si>
  <si>
    <t xml:space="preserve">Experiencia docente y profecional </t>
  </si>
  <si>
    <t>Hablaré de mi experiencia dando clases en el área de computación e informática. Mencionaré los cursos o asignaturas en los que he trabajado previamente. Compartiré también mi experiencia profesional fuera de la docencia, como proyectos, trabajos en empresas o colaboraciones relacionadas con sistemas y computación. Resaltaré cómo esta experiencia me permite vincular la teoría con la práctica y enriquecer la clase.</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</si>
  <si>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</si>
  <si>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</si>
  <si>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Explicaré que como auxiliar mi función principal es acompañar y apoyar tanto al docente como a los estudiantes. Mencionaré que estaré disponible para resolver dudas, orientar en el uso de materiales, guiar en actividades prácticas y reforzar los temas vistos en clase. Aclararé que mi objetivo es facilitar el aprendizaje y servir como un puente entre el profesor y los alumnos.</t>
  </si>
  <si>
    <t>Expectativas sobre la dinámica del curso</t>
  </si>
  <si>
    <t>Compartiré que espero que el curso sea participativo y dinámico. Mencionaré que deseo que los estudiantes se involucren activamente en clase, planteen preguntas y aporten ideas. Resaltaré que la práctica y la colaboración serán claves para el aprendizaje. Explicaré que mi expectativa es que trabajemos en un ambiente de respeto, compromiso y motivación mutua.</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</si>
  <si>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</si>
  <si>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</si>
  <si>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</si>
  <si>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</si>
  <si>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¿Qué es el sistema binario y por qué se usa en computación digital?
→ Es el sistema que usa dos símbolos (0 y 1). Se utiliza porque los circuitos electrónicos trabajan con dos estados: encendido y apagado.
¿Cuál es la diferencia entre un nivel lógico alto (1) y un nivel lógico bajo (0)?
→ El 1 representa presencia de voltaje y el 0 ausencia de voltaje.
¿Qué es una compuerta lógica? Menciona tres tipos.
→ Son circuitos básicos que realizan operaciones lógicas; ejemplos: AND, OR, NOT.
¿Cuál es la tabla de verdad de una compuerta AND?
→ Solo da 1 si ambas entradas son 1.
¿Qué función realiza una compuerta OR?
→ Da 1 si al menos una entrada es 1.
¿Qué es una compuerta NOT y qué hace?
→ Invierte el valor de entrada; de 1 a 0 y de 0 a 1.
¿Qué diferencia hay entre combinacional y secuencial en circuitos digitales?
→ Los combinacionales dependen solo de entradas actuales; los secuenciales también dependen de estados previos.
¿Qué es un flip-flop y para qué se usa?
→ Es un circuito secuencial que almacena un bit de información.
¿Qué es un multiplexor (MUX) y cuál es su utilidad?
→ Selecciona una de varias entradas y la dirige a la salida.
¿Qué es un sumador binario y cómo se utiliza en la ALU?
→ Es un circuito que realiza sumas binarias; en la ALU sirve para operaciones aritméticas.
¿Qué es la memoria RAM y para qué sirve?
→ Es una memoria de acceso rápido y temporal que almacena datos e instrucciones mientras el equipo está en uso.
¿Cuál es la diferencia entre hardware y software?
→ El hardware son los componentes físicos, mientras que el software son los programas e instrucciones que los hacen funcionar.
¿Qué es un bus en arquitectura computacional?
→ Es un sistema de comunicación que transporta datos, direcciones y señales de control entre los componentes del computador.
¿Qué es la unidad de control (UC) en la CPU?
→ Es la parte que coordina y dirige las operaciones, interpretando instrucciones y controlando el flujo de datos.
¿Cuál es la diferencia entre memoria caché y memoria principal?
→ La caché es más rápida y almacena datos de uso frecuente; la principal (RAM) es más grande pero más lenta en comparación.</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</si>
  <si>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</si>
  <si>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</si>
  <si>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Planifico un repaso práctico de conceptos básicos de circuitos digitales:
- Identificación de valores binarios en ejemplos sencillos.
- Resolución de tablas de verdad para AND, OR y NOT.
- Ejercicios de simulación con compuertas lógicas.
- Ejemplo breve de sumador binario de 1 bit.
- Actividad en parejas para diferenciar circuitos combinacionales y secuenciales.</t>
  </si>
  <si>
    <t xml:space="preserve">3. Presentación de los Estudiantes                                </t>
  </si>
  <si>
    <t xml:space="preserve">No puedes excederte mas de 30 minutos </t>
  </si>
  <si>
    <t>Seleccion al Azar de 5 Estudiantes</t>
  </si>
  <si>
    <t>Explicaré que la dinámica será mediante selección al azar. Los estudiantes serán elegidos al final de la actividad inicial para garantizar imparcialidad y fomentar la participación. Se usarán números asignados a cada estudiante o una aplicación sencilla de sorteo en línea. Serán seleccionados 5 estudiantes al azar, quienes responderán preguntas específicas frente al grupo.</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</si>
  <si>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</si>
  <si>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</si>
  <si>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1. ¿Cuál es tu nombre?
2. ¿Cuáles son tus intereses y expectativas sobre el curso?
3. ¿Tienes experiencia previa relacionada con este curso? (si aplica)
4. Cuéntanos un dato curioso sobre ti.
5. ¿Consideras que la prueba de conocimientos previos estuvo acorde con lo que habías aprendido antes?
6. ¿Qué tan cómodo(a) te sentiste con la prueba anterior?</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</si>
  <si>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</si>
  <si>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</si>
  <si>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</si>
  <si>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</si>
  <si>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Compartiré un Google Form con mis estudiantes. Configuraré el formulario para que solo puedan responder con su correo institucional, así garantizaré que cada estudiante envíe únicamente una respuesta. El cuestionario pedirá su nombre, grupo, día y horario preferido para la calificación.</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</si>
  <si>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</si>
  <si>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</si>
  <si>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Tendré disponibles los siguientes horarios tentativos:
- Sábado: 9:00 – 10:30 h, 11:00 – 12:30 h, 13:00 – 14:30 h
Explicaré que estos horarios serán tentativos y que podré ajustarlos según la disponibilidad del grupo.</t>
  </si>
  <si>
    <t xml:space="preserve">4.  Mostrar Programa del Curso                 </t>
  </si>
  <si>
    <t>No puedes excederte mas de 30 minutos</t>
  </si>
  <si>
    <t xml:space="preserve">2. Evaluación de Conocimientos del Curso Actual                                  </t>
  </si>
  <si>
    <t xml:space="preserve">Redactaras 20 preguntas con sus respectivas respuestas </t>
  </si>
  <si>
    <t>Pregunta: ¿Cuál es el objetivo principal del laboratorio?
Respuesta: Aplicar principios de electrónica digital en el diseño y análisis de circuitos combinacionales y secuenciales.
Pregunta: Menciona dos sistemas numéricos posicionales utilizados en el curso.
Respuesta: Binario y octal.
Pregunta: ¿Qué software se utiliza para simular circuitos digitales?
Respuesta: Proteus, Logisim o Multisim.
Pregunta: ¿Qué es el álgebra booleana?
Respuesta: Un sistema matemático para representar y simplificar operaciones lógicas.
Pregunta: ¿Qué herramienta se usa para minimizar funciones booleanas?
Respuesta: Mapas de Karnaugh.
Pregunta: Nombra dos compuertas lógicas básicas.
Respuesta: AND y OR.
Pregunta: ¿Cuál es la diferencia principal entre lógica combinacional y lógica secuencial?
Respuesta: La combinacional depende solo de las entradas actuales, la secuencial depende de entradas y estados previos.
Pregunta: Menciona un ejemplo de circuito combinacional estudiado en el curso.
Respuesta: Sumador.
Pregunta: ¿Qué componente es fundamental para almacenar estados en lógica secuencial?
Respuesta: Flip-flop.
Pregunta: Escribe un tipo de flip-flop visto en el laboratorio.
Respuesta: Flip-flop tipo JK.
Pregunta: ¿Qué es un contador síncrono?
Respuesta: Un contador en el que todos los flip-flops cambian de estado al mismo tiempo.
Pregunta: Menciona un tipo de registro digital.
Respuesta: Registro en paralelo.
Pregunta: ¿Qué plataforma se utiliza para programar y controlar sensores en Arduino?
Respuesta: Arduino IDE.
Pregunta: Nombra un actuador utilizado en las prácticas de Arduino.
Respuesta: Servomotor.
Pregunta: ¿Cuál es el porcentaje mínimo de asistencia requerido para aprobar el laboratorio?
Respuesta: 80%.</t>
  </si>
  <si>
    <t>Diseño de la Sesión de Laboratorio</t>
  </si>
  <si>
    <t>Ponderación</t>
  </si>
  <si>
    <t>Validación de Tiempo</t>
  </si>
  <si>
    <t>1. Área Actitudinal (Saber Ser)</t>
  </si>
  <si>
    <t>Tiene que estar en un rango de 3 a 5 minutos</t>
  </si>
  <si>
    <t>Nombre del Valor</t>
  </si>
  <si>
    <t>Reponsabilidad</t>
  </si>
  <si>
    <t>Descripcion</t>
  </si>
  <si>
    <t>La responsabilidad se manifiesta en el compromiso del estudiante con sus entregables, su participación activa en la clase y el cumplimiento de las actividades propuestas. Es fundamental para el desarrollo exitoso de proyectos prácticos como el diseño de circuitos digitales.</t>
  </si>
  <si>
    <t>Como se relaciona con los conocimientos de la sesion y se aplicaria</t>
  </si>
  <si>
    <t xml:space="preserve">La responsabilidad se aplica al momento de entregar los diseños de circuitos a tiempo, revisar simulaciones, y participar en la construcción del ALU. El estudiante debe comprometerse con su aprendizaje y con el uso correcto de las herramientas como Proteus, Logisim y Arduino IDE.
</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</si>
  <si>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</si>
  <si>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</si>
  <si>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</si>
  <si>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</si>
  <si>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</si>
  <si>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</si>
  <si>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</si>
  <si>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</si>
  <si>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</si>
  <si>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</si>
  <si>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</si>
  <si>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</si>
  <si>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</si>
  <si>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</si>
  <si>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</si>
  <si>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</si>
  <si>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</si>
  <si>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</si>
  <si>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</si>
  <si>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</si>
  <si>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</si>
  <si>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</si>
  <si>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</si>
  <si>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Ejercicio practico</t>
  </si>
  <si>
    <t>Coloca el tiempo que usar en la actividad, un tiempo sugerido 30 minutos</t>
  </si>
  <si>
    <t>Descripcion de la Actividad</t>
  </si>
  <si>
    <t>Los estudiantes deberán construir un circuito digital en Proteus que simule una ALU capaz de realizar operaciones aritméticas (suma, resta) y lógicas (AND, OR, NOT). Luego, deberán implementar parte del circuito en Arduino IDE para verificar su funcionamiento. Se evaluará la correcta implementación y la simulación funcional.</t>
  </si>
  <si>
    <t>Actividad 2 (Optativa puedes hacerla si lo consideras apropiado)</t>
  </si>
  <si>
    <t>Coloca el tiempo que usar en la actividad, un tiempo sugerido 20 minutos</t>
  </si>
  <si>
    <t>3. Cierre</t>
  </si>
  <si>
    <t>Tiene que estar en un rango de 10 a 15 minutos</t>
  </si>
  <si>
    <t>Asignacion de Actividades</t>
  </si>
  <si>
    <t>Despedida y resolución de dudas.</t>
  </si>
  <si>
    <t>Resuelve alguna duda, asigna las actividades que deben realizar, dudas de proyectos, etc</t>
  </si>
  <si>
    <t>Trabajo en equipo</t>
  </si>
  <si>
    <t>Fomentar la colaboración y comunicación efectiva entre los miembros del equipo para lograr objetivos comunes en el diseño y desarrollo de circuitos combinacionales y sistemas electrónicos.</t>
  </si>
  <si>
    <t>El trabajo en equipo se relaciona con los conocimientos de la sesión al permitir a los estudiantes colaborar para analizar, diseñar y simular circuitos combinacionales, asegurando que cada integrante aporte y comprenda la función y requerimientos del sistema, mejorando así la calidad y efectividad del proyecto.</t>
  </si>
  <si>
    <t>Ejercicio practico de simplificaciones de funciones booleanas aplicando el algebra de bool y mapas de karnaugh</t>
  </si>
  <si>
    <t>Pensamiento lógico</t>
  </si>
  <si>
    <t>Utilizar el pensamiento lógico para analizar y estructurar el diseño de circuitos combinacionales, como comparadores, multiplexores, demultiplexores y conversores binario–BCD, asegurando soluciones claras y funcionales.</t>
  </si>
  <si>
    <t>El pensamiento lógico se relaciona con los conocimientos de la sesión al permitir al estudiante analizar y estructurar el funcionamiento de comparadores, multiplexores, demultiplexores y conversores binario–BCD. Se aplica al diseñar y simular circuitos combinacionales, asegurando que la implementación cumpla con los requerimientos y funcione correctamente.</t>
  </si>
  <si>
    <t>Analisis</t>
  </si>
  <si>
    <t>Analizar el funcionamiento de comparadores, multiplexores, demultiplexores y conversores binario–BCD para identificar relaciones entre entradas y salidas, simplificar expresiones lógicas y optimizar el diseño de circuitos combinacionales.</t>
  </si>
  <si>
    <t>Pensamiento crítico</t>
  </si>
  <si>
    <t>El pensamiento crítico permite al estudiante analizar el funcionamiento de los circuitos combinacionales de manera objetiva, cuestionando resultados y validando el diseño de sumadores, restadores y multiplicadores mediante herramientas de simulación digital. Fomenta la precisión y la honestidad al momento de interpretar los resultados obtenidos.</t>
  </si>
  <si>
    <t>Se aplica en la evaluación de los bloques combinacionales estudiados (sumador, restador, multiplicador y circuitos de control), ya que el estudiante debe comparar los resultados de la simulación con el diseño teórico, identificar posibles errores y proponer mejoras fundamentadas en un análisis lógico.</t>
  </si>
  <si>
    <t>El estudiante analiza el funcionamiento de circuitos combinacionales
como sumadores, restadores y multiplicadores utilizando herramientas
de simulación digital, para implementar soluciones eficientes en
sistemas de procesamiento digital de señales</t>
  </si>
  <si>
    <t>Pensamiento logico y critico</t>
  </si>
  <si>
    <t>Fomenta el pensamiento lógico y crítico en los estudiantes mediante el análisis y diseño de sistemas digitales secuenciales para la toma de decisiones</t>
  </si>
  <si>
    <t>Promover la capacidad de razonar sobre el comportamiento temporal de los circuitos y tomar decisiones fundamentadas en su funcionamiento.</t>
  </si>
  <si>
    <t>actividades</t>
  </si>
  <si>
    <t>Realizar un ejemplo de en proteus sobre los circuitos sincronos y asincronos</t>
  </si>
  <si>
    <t>Realizar un ejemplo de como funcionan los latches, al igual que los relojes, para posteriormente darles una breve descripcion de los flip flops</t>
  </si>
  <si>
    <t>Dar un espacio para dudas o preguntas que se tenga sobre los ejemplos dados o alguna teoria que no les quedo claro</t>
  </si>
  <si>
    <t>Responsabilidad y Precisión</t>
  </si>
  <si>
    <t>Fomentar el compromiso y la exactitud en cada etapa del diseño, simulación y montaje de circuitos secuenciales, verificando que las conexiones y resultados sean correctos antes de su presentación.</t>
  </si>
  <si>
    <t>En la práctica de flip-flops SR, D, JK y T, la responsabilidad asegura que el estudiante siga las especificaciones del diseño y documente adecuadamente su trabajo, mientras que la precisión permite configurar correctamente las entradas y salidas para que los estados lógicos se comporten de acuerdo con la teoría de la lógica secuencial.</t>
  </si>
  <si>
    <t>En esta actividad, el estudiante diseñará y comprobará un circuito digital secuencial utilizando flip-flops (SR, D, JK y T) mediante simulación en Proteus y montaje en protoboard. Se enfocará en la implementación de aplicaciones de almacenamiento, conteo y control de estados en sistemas electrónicos digitales.
El estudiante deberá:
Simular un circuito secuencial en Proteus, como un contador binario o un registro de almacenamiento, verificando su correcto funcionamiento a través de LEDs u osciloscopio virtual.
Montar el circuito en protoboard y probar su operación en la vida real, comparando los resultados con la simulación.
Al finalizar, el estudiante será capaz de comprender el funcionamiento de cada tipo de flip-flop y cómo se aplican en sistemas digitales para controlar estados y almacenar información.</t>
  </si>
  <si>
    <t>n este espacio se resolverán dudas de los estudiantes sobre la actividad realizada. Se hará un repaso de los conceptos clave relacionados con flip-flops y circuitos secuenciales, se discutirán errores comunes y se reforzarán las estrategias de diseño lógico aplicadas durante la práctica. Además, se orientará a los estudiantes sobre cómo aplicar estos conocimientos en futuras actividades y proyectos.</t>
  </si>
  <si>
    <t>Equidad</t>
  </si>
  <si>
    <t>La equidad implica repartir de forma justa y equitativa las responsabilidades y actividades entre los integrantes del grupo, fomentando la colaboración y el respeto mutuo.</t>
  </si>
  <si>
    <t xml:space="preserve">En el desarrollo de proyectos de automatización con Arduino, es fundamental que todos los miembros del equipo participen de manera equitativa en las tareas de diseño, simulación y programación. Esto promueve un ambiente de aprendizaje inclusivo y colaborativo.
</t>
  </si>
  <si>
    <t>Los estudiantes analizarán el funcionamiento de circuitos secuenciales como contadores y registros, y aplicarán Arduino para simular un sistema de control sencillo (por ejemplo, un semáforo o un contador de pulsos). Se espera que comprendan la interacción entre hardware y software.</t>
  </si>
  <si>
    <t>Responsabilidad, paciencia, disciplina</t>
  </si>
  <si>
    <t>Desarrollar la capacidad de asumir compromisos con el aprendizaje y manejo adecuado de componentes electrónicos, mantener perseverancia ante la complejidad de los sistemas de almacenamiento y transferencia de datos, y establecer métodos organizados para el análisis y implementación de registros y memorias.</t>
  </si>
  <si>
    <t>La responsabilidad, paciencia y disciplina se relacionan directamente con los conocimientos de registros y memoria RAM al requerir que los estudiantes asuman el compromiso de comprender correctamente el funcionamiento de los registros en paralelo y serie, mantengan paciencia durante el análisis de los procesos de transferencia de datos que pueden ser complejos, y desarrollen la disciplina necesaria para seguir metodologías estructuradas en el diseño de sistemas de almacenamiento.</t>
  </si>
  <si>
    <t>Cuestionario</t>
  </si>
  <si>
    <t>Realizacion del tercer corto del laboratorio aplicando los conceptos de contadores asincronos y sincronos</t>
  </si>
  <si>
    <t>Organización, constancia</t>
  </si>
  <si>
    <t>Utilizar la organización y constancia permite al estudiante planificar y estructurar el desarrollo de proyectos con Arduino, gestionando correctamente el código, los componentes y los protocolos de comunicación (Serial, I2C, SPI). Gracias a estos valores, se asegura un trabajo sistemático y continuo al implementar actuadores y verificar su funcionamiento, garantizando proyectos fiables y coherentes.</t>
  </si>
  <si>
    <t>La organización y constancia se relaciona con los conocimientos de la sesión al permitir al estudiante estructurar el código y los componentes de Arduino, así como planificar el uso de protocolos de comunicación y actuadores. Se aplica al desarrollar proyectos de manera sistemática, asegurando que las implementaciones funcionen correctamente y se puedan verificar de forma confiable.</t>
  </si>
  <si>
    <t>Custionario para comprobar los conocimientos adquiridos sobre los beneficios y funcionamiento de Arduine y Arduino IDE.</t>
  </si>
  <si>
    <t>Análisis crítico</t>
  </si>
  <si>
    <t>El análisis crítico permite al estudiante evaluar el funcionamiento de dispositivos electromecánicos como servomotores, motores paso a paso y sensores, reflexionando sobre su comportamiento real frente al esperado. Este valor fomenta la precisión y la adaptabilidad al trabajar con distintos componentes electrónicos.</t>
  </si>
  <si>
    <t>Se relaciona al momento de implementar y probar dispositivos electromecánicos con Arduino, ya que el estudiante debe cuestionar los resultados obtenidos, detectar inconsistencias y proponer soluciones que optimicen el control y la integración de los actuadores y sensores en los sistemas digitales.</t>
  </si>
  <si>
    <t>El estudiante implementa sistemas interactivos con Arduino integrando
sensores y actuadores mediante programación en Arduino IDE y
montaje físico de circuitos para monitorear y controlar variables del
entorno en tiempo real</t>
  </si>
  <si>
    <t>Practicas</t>
  </si>
  <si>
    <t>La sumatoria de los puntos de los practicas debe no debe super el  20%</t>
  </si>
  <si>
    <t>1. Primera Practica</t>
  </si>
  <si>
    <t>Horas para realizarlo</t>
  </si>
  <si>
    <t>Obligatoria</t>
  </si>
  <si>
    <t>Titulo</t>
  </si>
  <si>
    <t xml:space="preserve">Visualizador de 7 segmentos, Logica Combinacional
</t>
  </si>
  <si>
    <t>Qué tecnologías, lenguajes de programación, plataformas, hardware o software se utilizaran</t>
  </si>
  <si>
    <t>Hardware: Compuertas lógicas (AND 7408, NOT 7404, XOR 7486, OR 7432), Transistores NPN (2N2222), Resistencia, Dip Switch y Diodo Luminoso
Software: Proteus para simulación
Plataforma de entrega: GitHub</t>
  </si>
  <si>
    <t>Descripción de lo que se realizara</t>
  </si>
  <si>
    <t>Se debe diseñar e implementar un sistema físico de visualización digital bidireccional mediante displays de 7 segmentos, que funcione como un semáforo inteligente capaz de mostrar información desde múltiples perspectivas. Este prototipo desplegará una palabra personalizada de 8 caracteres (letras y/o números) tanto en su forma normal como en espejo, utilizando un display de cátodo común para la visualización frontal implementado con términos mínimos, y un display de ánodo común para la visualización trasera programado mediante términos máximos. El diseño debe implementarse exclusivamente con lógica combinacional, fabricando compuertas transistorizadas en placas de circuito impreso para los segmentos a, c, d, f y g, e integrando compuertas TTL sobre protoboard para los segmentos b, e y punto decimal, aplicando funciones booleanas simplificadas mediante mapas de Karnaugh para optimizar el control de cada segmento del display.</t>
  </si>
  <si>
    <t>2. Segunda Practica</t>
  </si>
  <si>
    <t>Optativa</t>
  </si>
  <si>
    <t>LogicCalc – Unidad Aritmética Lógica Básica (ALU)</t>
  </si>
  <si>
    <t>Hardware: Compuertas lógicas (AND 7408, NOT 7404, XOR 7486, OR 7432), comparadores (7485/74285), decoders (7447/7448), sumadores (7483/74283), multiplexores (74157), demultiplexores (74138), transistores NPN 2N2222
Software: Proteus para simulación
Plataforma de entrega: GitHub</t>
  </si>
  <si>
    <t>Se debe diseñar e implementar un prototipo de calculadora digital llamado LogicCalc, que funcione como una Unidad Aritmética Lógica (ALU).
Este prototipo realizará operaciones aritméticas (suma, resta, multiplicación, potencias) y lógicas (AND, OR, XOR, XNOR, NAND), así como comparaciones entre dos operandos binarios.
El diseño debe implementarse exclusivamente con compuertas lógicas y circuitos combinacionales, sin elementos secuenciales, y mostrar resultados en displays de 7 segmentos y LEDs</t>
  </si>
  <si>
    <t>3. Tercera Practica</t>
  </si>
  <si>
    <t>Parqueo Inteligente</t>
  </si>
  <si>
    <t>Proteus, TinkerCad, Arduino IDE, Arduino, Sensores, Compuertas Lógicas, Protoboard, actuadores, motores</t>
  </si>
  <si>
    <t>Diseñar un sistema de control de acceso vehicular utilizando Arduino, sensores ultrasónicos y compuertas lógicas en protoboard, donde al detectar la proximidad de un vehículo se enciendan luces de advertencia, se verifique la señal lógica de autorización de entrada y se active una talanquera controlada por un servomotor. Además, el sistema deberá incorporar un sensor de final de carrera para garantizar la seguridad del mecanismo y evitar sobrecargas en la barrera, validando su correcto funcionamiento mediante simulaciones en Proteus y TinkerCad</t>
  </si>
  <si>
    <t>4. Cuarta Practica</t>
  </si>
  <si>
    <t>5. Quinta Practica</t>
  </si>
  <si>
    <t>6. Sexta Practica</t>
  </si>
  <si>
    <t>7. Septima Practica</t>
  </si>
  <si>
    <t>Proyectos</t>
  </si>
  <si>
    <t>La sumatoria de los puntos de los proyectos debe superar el  70% del total de la nota, no puede ser un 100%</t>
  </si>
  <si>
    <t>1. Primer Proyecto</t>
  </si>
  <si>
    <t xml:space="preserve">Crea ..    </t>
  </si>
  <si>
    <t>Arduino, Electrónica básica</t>
  </si>
  <si>
    <t>2. Segundo Proyecto</t>
  </si>
  <si>
    <t>3. Tercer Proyecto</t>
  </si>
  <si>
    <t>Tareas</t>
  </si>
  <si>
    <t>La sumatoria de los puntos de los practicas debe no debe super el  20% de la nota</t>
  </si>
  <si>
    <t>1. Primera Tarea</t>
  </si>
  <si>
    <t xml:space="preserve">Diseñar un circuito basico con flip flops en un software  </t>
  </si>
  <si>
    <t>Investigacion</t>
  </si>
  <si>
    <t>2. Segunda Tarea</t>
  </si>
  <si>
    <t>Diseño y Construcción de un Comparador Lógico con Visualización en Displays de 7 Segmentos</t>
  </si>
  <si>
    <t>Software de simulación: Proteus (.pdsprj)
Hardware / Componentes permitidos:
Compuertas lógicas: AND (7408), NOT (7404), XOR (7486), OR (7432)
Comparador: 7485 / 74285
Decoder: 7447 / 7448
Sumador: 7483 / 74283
Multiplexores: 74157
Demultiplexores: 74138
Transistores NPN: 2N2222</t>
  </si>
  <si>
    <t>Diseñar y construir un comparador lógico que evalúe dos entradas, A y B, determinando cuál es el mayor y cuál el menor.
Los valores resultantes deberán visualizarse en dos displays de 7 segmentos, cumpliendo los siguientes requisitos:
Implementar un circuito que compare dos valores de entrada.
Mostrar el número mayor y menor en los dos displays.
Utilizar únicamente los componentes permitidos listados.</t>
  </si>
  <si>
    <t>3. Tercera Tarea</t>
  </si>
  <si>
    <t>Lógica Binaria - Diseño de un Sistema de Semáforo Inteligente</t>
  </si>
  <si>
    <t>Álgebra Booleana
Mapas de Karnaugh
Compuertas lógicas básicas (AND, OR, NOT)
Software de simulación: Proteus (para el diseño del circuito)</t>
  </si>
  <si>
    <t xml:space="preserve">Diseñar e implementar un circuito lógico para controlar un semáforo inteligente. El circuito debe activar la luz verde (G) según ciertas condiciones basadas en cuatro variables de entrada: A (sensor de vehículos), B (sensor de peatones), C (hora pico), y D (sistema de emergencia). </t>
  </si>
  <si>
    <t>4. Cuarta Tarea</t>
  </si>
  <si>
    <t>Lógica Binaria - Contador Binario</t>
  </si>
  <si>
    <t>diseñar e implementar un circuito contador digital que cuente de manera automática desde 0 hasta 9 utilizando herramientas de simulación electrónica. El proyecto integra conceptos fundamentales de electrónica digital y analógica, como la generación de señales de reloj mediante el temporizador NE555</t>
  </si>
  <si>
    <t>5. Quinta Tarea</t>
  </si>
  <si>
    <t>Creación de display LCD simulada programable con I2C en Arduino</t>
  </si>
  <si>
    <t>I2C, Arduino, Arduino IDE, display LCD, sensores</t>
  </si>
  <si>
    <t>Conectar un sensor de temperatura o un display LCD I2C al Arduino y programar la lectura de datos o la visualización de información. El estudiante deberá estructurar el código correctamente, utilizar la comunicación I2C para transmitir los datos y verificar que la información se muestra o se registra de manera precisa.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</si>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</sst>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rgb="FF000000"/>
      <name val="Arial"/>
    </font>
    <font>
      <color rgb="FF000000"/>
      <name val="ArialMT"/>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b/>
      <sz val="12.0"/>
      <color rgb="FFFF6D01"/>
      <name val="Arial"/>
    </font>
    <font>
      <b/>
      <sz val="12.0"/>
      <color rgb="FFFFFFFF"/>
      <name val="Arial"/>
    </font>
    <font>
      <color rgb="FFD9D9D9"/>
      <name val="Arial"/>
    </font>
    <font>
      <b/>
      <sz val="12.0"/>
      <color theme="1"/>
      <name val="Arial"/>
    </font>
    <font>
      <sz val="12.0"/>
      <color rgb="FFFFFFFF"/>
      <name val="Arial"/>
    </font>
    <font>
      <sz val="12.0"/>
      <color theme="4"/>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xf borderId="0" fillId="0" fontId="4" numFmtId="0" xfId="0" applyFont="1"/>
    <xf borderId="0" fillId="2" fontId="4" numFmtId="0" xfId="0" applyAlignment="1" applyFill="1" applyFont="1">
      <alignment readingOrder="0"/>
    </xf>
    <xf borderId="0" fillId="0" fontId="5" numFmtId="0" xfId="0" applyFont="1"/>
    <xf borderId="0" fillId="0" fontId="6" numFmtId="0" xfId="0" applyAlignment="1" applyFont="1">
      <alignment horizontal="center"/>
    </xf>
    <xf borderId="0" fillId="0" fontId="7" numFmtId="0" xfId="0" applyAlignment="1" applyFont="1">
      <alignment vertical="bottom"/>
    </xf>
    <xf borderId="1" fillId="0" fontId="7" numFmtId="0" xfId="0" applyAlignment="1" applyBorder="1" applyFont="1">
      <alignment vertical="bottom"/>
    </xf>
    <xf borderId="1" fillId="0" fontId="7" numFmtId="0" xfId="0" applyAlignment="1" applyBorder="1" applyFont="1">
      <alignment shrinkToFit="0" vertical="bottom" wrapText="1"/>
    </xf>
    <xf borderId="1" fillId="0" fontId="7" numFmtId="0" xfId="0" applyAlignment="1" applyBorder="1" applyFont="1">
      <alignment horizontal="left" vertical="bottom"/>
    </xf>
    <xf borderId="0" fillId="0" fontId="1"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horizontal="center" readingOrder="0"/>
    </xf>
    <xf borderId="0" fillId="0" fontId="8" numFmtId="0" xfId="0" applyAlignment="1" applyFont="1">
      <alignment horizontal="left" readingOrder="0" shrinkToFit="0" wrapText="1"/>
    </xf>
    <xf borderId="0" fillId="0" fontId="5" numFmtId="0" xfId="0" applyAlignment="1" applyFont="1">
      <alignment readingOrder="0" shrinkToFit="0" vertical="center" wrapText="1"/>
    </xf>
    <xf borderId="0" fillId="0" fontId="1" numFmtId="0" xfId="0" applyAlignment="1" applyFont="1">
      <alignment readingOrder="0" vertical="center"/>
    </xf>
    <xf borderId="0" fillId="0" fontId="5" numFmtId="0" xfId="0" applyAlignment="1" applyFont="1">
      <alignment horizontal="center" readingOrder="0" vertical="center"/>
    </xf>
    <xf borderId="0" fillId="0" fontId="5" numFmtId="0" xfId="0" applyAlignment="1" applyFont="1">
      <alignment shrinkToFit="0" wrapText="1"/>
    </xf>
    <xf borderId="0" fillId="0" fontId="5" numFmtId="0" xfId="0" applyAlignment="1" applyFont="1">
      <alignment horizontal="center"/>
    </xf>
    <xf borderId="0" fillId="0" fontId="5" numFmtId="0" xfId="0" applyAlignment="1" applyFont="1">
      <alignment vertical="bottom"/>
    </xf>
    <xf borderId="1" fillId="0" fontId="5" numFmtId="0" xfId="0" applyAlignment="1" applyBorder="1" applyFont="1">
      <alignment vertical="bottom"/>
    </xf>
    <xf borderId="1" fillId="0" fontId="5" numFmtId="0" xfId="0" applyAlignment="1" applyBorder="1" applyFont="1">
      <alignment vertical="bottom"/>
    </xf>
    <xf borderId="1" fillId="3" fontId="5" numFmtId="0" xfId="0" applyAlignment="1" applyBorder="1" applyFill="1" applyFont="1">
      <alignment shrinkToFit="0" vertical="bottom" wrapText="1"/>
    </xf>
    <xf borderId="0" fillId="0" fontId="8"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9" numFmtId="0" xfId="0" applyAlignment="1" applyFont="1">
      <alignment readingOrder="0"/>
    </xf>
    <xf borderId="1" fillId="0" fontId="4" numFmtId="0" xfId="0" applyBorder="1" applyFont="1"/>
    <xf borderId="2" fillId="0" fontId="5" numFmtId="0" xfId="0" applyBorder="1" applyFont="1"/>
    <xf borderId="3" fillId="0" fontId="10" numFmtId="0" xfId="0" applyBorder="1" applyFont="1"/>
    <xf borderId="4" fillId="0" fontId="10" numFmtId="0" xfId="0" applyBorder="1" applyFont="1"/>
    <xf borderId="1" fillId="0" fontId="5" numFmtId="0" xfId="0" applyBorder="1" applyFont="1"/>
    <xf borderId="0" fillId="0" fontId="11" numFmtId="0" xfId="0" applyFont="1"/>
    <xf borderId="0" fillId="0" fontId="12" numFmtId="0" xfId="0" applyAlignment="1" applyFont="1">
      <alignment shrinkToFit="0" wrapText="1"/>
    </xf>
    <xf borderId="0" fillId="4" fontId="2" numFmtId="0" xfId="0" applyAlignment="1" applyFill="1" applyFont="1">
      <alignment readingOrder="0"/>
    </xf>
    <xf borderId="0" fillId="0" fontId="13" numFmtId="0" xfId="0" applyFont="1"/>
    <xf borderId="1" fillId="5" fontId="5" numFmtId="0" xfId="0" applyAlignment="1" applyBorder="1" applyFill="1" applyFont="1">
      <alignment shrinkToFit="0" vertical="bottom" wrapText="1"/>
    </xf>
    <xf borderId="2" fillId="0" fontId="5" numFmtId="0" xfId="0" applyAlignment="1" applyBorder="1" applyFont="1">
      <alignment readingOrder="0" vertical="bottom"/>
    </xf>
    <xf borderId="0" fillId="0" fontId="5" numFmtId="0" xfId="0" applyAlignment="1" applyFont="1">
      <alignment horizontal="center" shrinkToFit="0" vertical="center" wrapText="1"/>
    </xf>
    <xf borderId="1" fillId="5" fontId="5" numFmtId="0" xfId="0" applyAlignment="1" applyBorder="1" applyFont="1">
      <alignment shrinkToFit="0" wrapText="1"/>
    </xf>
    <xf borderId="2" fillId="0" fontId="5" numFmtId="0" xfId="0" applyAlignment="1" applyBorder="1" applyFont="1">
      <alignment readingOrder="0"/>
    </xf>
    <xf borderId="1" fillId="5" fontId="5" numFmtId="0" xfId="0" applyBorder="1" applyFont="1"/>
    <xf borderId="0" fillId="0" fontId="14" numFmtId="0" xfId="0" applyFont="1"/>
    <xf borderId="0" fillId="0" fontId="15" numFmtId="0" xfId="0" applyAlignment="1" applyFont="1">
      <alignment shrinkToFit="0" wrapText="1"/>
    </xf>
    <xf borderId="0" fillId="0" fontId="5" numFmtId="0" xfId="0" applyAlignment="1" applyFont="1">
      <alignment horizontal="left" shrinkToFit="0" vertical="center" wrapText="1"/>
    </xf>
    <xf borderId="0" fillId="0" fontId="6" numFmtId="0" xfId="0" applyFont="1"/>
    <xf borderId="0" fillId="0" fontId="16" numFmtId="0" xfId="0" applyFont="1"/>
    <xf borderId="0" fillId="0" fontId="5" numFmtId="0" xfId="0" applyAlignment="1" applyFont="1">
      <alignment shrinkToFit="0" vertical="center" wrapText="1"/>
    </xf>
    <xf borderId="0" fillId="0" fontId="17" numFmtId="0" xfId="0" applyFont="1"/>
    <xf borderId="1" fillId="0" fontId="5" numFmtId="0" xfId="0" applyAlignment="1" applyBorder="1" applyFont="1">
      <alignment shrinkToFit="0" wrapText="1"/>
    </xf>
    <xf borderId="0" fillId="0" fontId="15" numFmtId="0" xfId="0" applyFont="1"/>
    <xf borderId="0" fillId="6" fontId="18" numFmtId="0" xfId="0" applyAlignment="1" applyFill="1" applyFont="1">
      <alignment readingOrder="0"/>
    </xf>
    <xf borderId="2" fillId="5" fontId="5" numFmtId="0" xfId="0" applyBorder="1" applyFont="1"/>
    <xf borderId="5" fillId="0" fontId="5" numFmtId="0" xfId="0" applyAlignment="1" applyBorder="1" applyFont="1">
      <alignment readingOrder="0"/>
    </xf>
    <xf borderId="6" fillId="0" fontId="10" numFmtId="0" xfId="0" applyBorder="1" applyFont="1"/>
    <xf borderId="7" fillId="0" fontId="10" numFmtId="0" xfId="0" applyBorder="1" applyFont="1"/>
    <xf borderId="8" fillId="0" fontId="10" numFmtId="0" xfId="0" applyBorder="1" applyFont="1"/>
    <xf borderId="9" fillId="0" fontId="10" numFmtId="0" xfId="0" applyBorder="1" applyFont="1"/>
    <xf borderId="10" fillId="0" fontId="10" numFmtId="0" xfId="0" applyBorder="1" applyFont="1"/>
    <xf borderId="0" fillId="0" fontId="12" numFmtId="0" xfId="0" applyFont="1"/>
    <xf borderId="1" fillId="7" fontId="5" numFmtId="0" xfId="0" applyBorder="1" applyFill="1" applyFont="1"/>
    <xf borderId="2" fillId="7" fontId="5" numFmtId="0" xfId="0" applyBorder="1" applyFont="1"/>
    <xf borderId="2" fillId="0" fontId="5" numFmtId="0" xfId="0" applyAlignment="1" applyBorder="1" applyFont="1">
      <alignment vertical="bottom"/>
    </xf>
    <xf borderId="1" fillId="8" fontId="5" numFmtId="0" xfId="0" applyBorder="1" applyFill="1" applyFont="1"/>
    <xf borderId="2" fillId="8" fontId="5" numFmtId="0" xfId="0" applyBorder="1" applyFont="1"/>
    <xf borderId="2" fillId="0" fontId="16" numFmtId="0" xfId="0" applyAlignment="1" applyBorder="1" applyFont="1">
      <alignment readingOrder="0"/>
    </xf>
    <xf borderId="5" fillId="0" fontId="5" numFmtId="0" xfId="0" applyAlignment="1" applyBorder="1" applyFont="1">
      <alignment readingOrder="0" shrinkToFit="0" wrapText="1"/>
    </xf>
    <xf borderId="11" fillId="0" fontId="10" numFmtId="0" xfId="0" applyBorder="1" applyFont="1"/>
    <xf borderId="12" fillId="0" fontId="10" numFmtId="0" xfId="0" applyBorder="1" applyFont="1"/>
    <xf borderId="2" fillId="0" fontId="16" numFmtId="0" xfId="0" applyBorder="1" applyFont="1"/>
    <xf borderId="0" fillId="0" fontId="19" numFmtId="0" xfId="0" applyFont="1"/>
    <xf borderId="5" fillId="0" fontId="5" numFmtId="0" xfId="0" applyBorder="1" applyFont="1"/>
    <xf borderId="5" fillId="0" fontId="5" numFmtId="0" xfId="0" applyAlignment="1" applyBorder="1" applyFont="1">
      <alignment vertical="bottom"/>
    </xf>
    <xf borderId="5" fillId="0" fontId="5" numFmtId="0" xfId="0" applyAlignment="1" applyBorder="1" applyFont="1">
      <alignment readingOrder="0" vertical="center"/>
    </xf>
    <xf borderId="5" fillId="0" fontId="5" numFmtId="0" xfId="0" applyAlignment="1" applyBorder="1" applyFont="1">
      <alignment readingOrder="0" shrinkToFit="0" vertical="top" wrapText="1"/>
    </xf>
    <xf borderId="0" fillId="6" fontId="18" numFmtId="0" xfId="0" applyFont="1"/>
    <xf borderId="5" fillId="0" fontId="5" numFmtId="0" xfId="0" applyAlignment="1" applyBorder="1" applyFont="1">
      <alignment readingOrder="0" shrinkToFit="0" vertical="center" wrapText="1"/>
    </xf>
    <xf borderId="2" fillId="0" fontId="5" numFmtId="0" xfId="0" applyAlignment="1" applyBorder="1" applyFont="1">
      <alignment readingOrder="0" shrinkToFit="0" wrapText="0"/>
    </xf>
    <xf borderId="5" fillId="0" fontId="8" numFmtId="0" xfId="0" applyAlignment="1" applyBorder="1" applyFont="1">
      <alignment readingOrder="0" vertical="center"/>
    </xf>
    <xf borderId="2" fillId="0" fontId="5" numFmtId="0" xfId="0" applyAlignment="1" applyBorder="1" applyFont="1">
      <alignment readingOrder="0" shrinkToFit="0" wrapText="1"/>
    </xf>
    <xf borderId="0" fillId="0" fontId="20" numFmtId="0" xfId="0" applyFont="1"/>
    <xf borderId="0" fillId="4" fontId="21" numFmtId="0" xfId="0" applyAlignment="1" applyFont="1">
      <alignment readingOrder="0"/>
    </xf>
    <xf borderId="0" fillId="0" fontId="22" numFmtId="0" xfId="0" applyFont="1"/>
    <xf borderId="0" fillId="0" fontId="6" numFmtId="0" xfId="0" applyAlignment="1" applyFont="1">
      <alignment shrinkToFit="0" wrapText="1"/>
    </xf>
    <xf borderId="0" fillId="0" fontId="23" numFmtId="0" xfId="0" applyAlignment="1" applyFont="1">
      <alignment shrinkToFit="0" wrapText="1"/>
    </xf>
    <xf borderId="0" fillId="0" fontId="23" numFmtId="0" xfId="0" applyFont="1"/>
    <xf borderId="1" fillId="7" fontId="23" numFmtId="0" xfId="0" applyAlignment="1" applyBorder="1" applyFont="1">
      <alignment shrinkToFit="0" wrapText="1"/>
    </xf>
    <xf borderId="1" fillId="7" fontId="23" numFmtId="0" xfId="0" applyBorder="1" applyFont="1"/>
    <xf borderId="1" fillId="0" fontId="5" numFmtId="0" xfId="0" applyAlignment="1" applyBorder="1" applyFont="1">
      <alignment readingOrder="0"/>
    </xf>
    <xf borderId="1" fillId="0" fontId="4" numFmtId="0" xfId="0" applyAlignment="1" applyBorder="1" applyFont="1">
      <alignment horizontal="right" shrinkToFit="0" wrapText="1"/>
    </xf>
    <xf borderId="1" fillId="0" fontId="4"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10</xdr:row>
      <xdr:rowOff>257175</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19</xdr:row>
      <xdr:rowOff>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26</xdr:row>
      <xdr:rowOff>304800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180975</xdr:colOff>
      <xdr:row>32</xdr:row>
      <xdr:rowOff>133350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50.38"/>
    <col customWidth="1" min="4" max="4" width="33.13"/>
    <col customWidth="1" min="5" max="5" width="54.88"/>
    <col customWidth="1" min="6" max="6" width="25.75"/>
  </cols>
  <sheetData>
    <row r="1" ht="15.75" customHeight="1">
      <c r="H1" s="1"/>
    </row>
    <row r="2" ht="15.75" customHeight="1">
      <c r="A2" s="2">
        <f>VALUE(LEFT(C4,FIND(" - ",C4)-1))</f>
        <v>964</v>
      </c>
      <c r="B2" s="3" t="s">
        <v>0</v>
      </c>
      <c r="H2" s="1"/>
    </row>
    <row r="3" ht="15.75" customHeight="1">
      <c r="H3" s="1"/>
    </row>
    <row r="4" ht="15.75" customHeight="1">
      <c r="B4" s="4" t="s">
        <v>1</v>
      </c>
      <c r="C4" s="5" t="s">
        <v>2</v>
      </c>
    </row>
    <row r="5" ht="15.75" customHeight="1">
      <c r="B5" s="6" t="s">
        <v>3</v>
      </c>
      <c r="C5" s="6" t="s">
        <v>4</v>
      </c>
    </row>
    <row r="6" ht="15.75" customHeight="1">
      <c r="H6" s="7"/>
    </row>
    <row r="7" ht="15.75" customHeight="1">
      <c r="H7" s="7"/>
    </row>
    <row r="8" ht="15.75" customHeight="1">
      <c r="A8" s="8"/>
      <c r="B8" s="9" t="s">
        <v>5</v>
      </c>
      <c r="C8" s="10" t="s">
        <v>6</v>
      </c>
      <c r="D8" s="9" t="s">
        <v>7</v>
      </c>
      <c r="E8" s="9" t="s">
        <v>8</v>
      </c>
      <c r="F8" s="9" t="s">
        <v>9</v>
      </c>
      <c r="G8" s="9" t="s">
        <v>10</v>
      </c>
      <c r="H8" s="11" t="s">
        <v>11</v>
      </c>
    </row>
    <row r="9" ht="51.75" customHeight="1">
      <c r="B9" s="12">
        <v>1.0</v>
      </c>
      <c r="C9" s="13" t="s">
        <v>12</v>
      </c>
      <c r="D9" s="14" t="s">
        <v>13</v>
      </c>
      <c r="E9" s="14" t="s">
        <v>14</v>
      </c>
      <c r="F9" s="14" t="s">
        <v>15</v>
      </c>
      <c r="G9" s="14" t="s">
        <v>16</v>
      </c>
      <c r="H9" s="15">
        <v>2.0</v>
      </c>
    </row>
    <row r="10" ht="15.75" customHeight="1">
      <c r="B10" s="12">
        <v>2.0</v>
      </c>
      <c r="C10" s="13" t="s">
        <v>12</v>
      </c>
      <c r="D10" s="14" t="s">
        <v>13</v>
      </c>
      <c r="E10" s="14" t="s">
        <v>14</v>
      </c>
      <c r="F10" s="14" t="s">
        <v>17</v>
      </c>
      <c r="G10" s="14" t="s">
        <v>16</v>
      </c>
      <c r="H10" s="15">
        <v>3.0</v>
      </c>
    </row>
    <row r="11" ht="15.75" customHeight="1">
      <c r="B11" s="12">
        <v>3.0</v>
      </c>
      <c r="C11" s="13" t="s">
        <v>12</v>
      </c>
      <c r="D11" s="14" t="s">
        <v>13</v>
      </c>
      <c r="E11" s="14" t="s">
        <v>14</v>
      </c>
      <c r="F11" s="14" t="s">
        <v>17</v>
      </c>
      <c r="G11" s="14" t="s">
        <v>16</v>
      </c>
      <c r="H11" s="15">
        <v>3.0</v>
      </c>
    </row>
    <row r="12" ht="15.75" customHeight="1">
      <c r="B12" s="12">
        <v>4.0</v>
      </c>
      <c r="C12" s="13" t="s">
        <v>12</v>
      </c>
      <c r="D12" s="14" t="s">
        <v>13</v>
      </c>
      <c r="E12" s="14" t="s">
        <v>14</v>
      </c>
      <c r="F12" s="14" t="s">
        <v>17</v>
      </c>
      <c r="G12" s="14" t="s">
        <v>16</v>
      </c>
      <c r="H12" s="15">
        <v>4.0</v>
      </c>
    </row>
    <row r="13" ht="15.75" customHeight="1">
      <c r="B13" s="12">
        <v>5.0</v>
      </c>
      <c r="C13" s="13" t="s">
        <v>18</v>
      </c>
      <c r="D13" s="14" t="s">
        <v>19</v>
      </c>
      <c r="E13" s="14" t="s">
        <v>19</v>
      </c>
      <c r="F13" s="16" t="s">
        <v>20</v>
      </c>
      <c r="G13" s="14" t="s">
        <v>16</v>
      </c>
      <c r="H13" s="15">
        <v>3.0</v>
      </c>
    </row>
    <row r="14" ht="15.75" customHeight="1">
      <c r="B14" s="12">
        <v>6.0</v>
      </c>
      <c r="C14" s="13" t="s">
        <v>18</v>
      </c>
      <c r="D14" s="12" t="s">
        <v>19</v>
      </c>
      <c r="E14" s="12" t="s">
        <v>19</v>
      </c>
      <c r="F14" s="16" t="s">
        <v>21</v>
      </c>
      <c r="G14" s="14" t="s">
        <v>16</v>
      </c>
      <c r="H14" s="15">
        <v>3.0</v>
      </c>
    </row>
    <row r="15" ht="15.75" customHeight="1">
      <c r="B15" s="12">
        <v>7.0</v>
      </c>
      <c r="C15" s="13" t="s">
        <v>18</v>
      </c>
      <c r="D15" s="12" t="s">
        <v>19</v>
      </c>
      <c r="E15" s="12" t="s">
        <v>19</v>
      </c>
      <c r="F15" s="16" t="s">
        <v>22</v>
      </c>
      <c r="G15" s="14" t="s">
        <v>16</v>
      </c>
      <c r="H15" s="15">
        <v>3.0</v>
      </c>
    </row>
    <row r="16" ht="59.25" customHeight="1">
      <c r="B16" s="12">
        <v>8.0</v>
      </c>
      <c r="C16" s="13" t="s">
        <v>18</v>
      </c>
      <c r="D16" s="12" t="s">
        <v>19</v>
      </c>
      <c r="E16" s="12" t="s">
        <v>19</v>
      </c>
      <c r="F16" s="16" t="s">
        <v>23</v>
      </c>
      <c r="G16" s="14" t="s">
        <v>16</v>
      </c>
      <c r="H16" s="15">
        <v>3.0</v>
      </c>
    </row>
    <row r="17">
      <c r="B17" s="12">
        <v>9.0</v>
      </c>
      <c r="C17" s="17" t="s">
        <v>18</v>
      </c>
      <c r="D17" s="18" t="s">
        <v>24</v>
      </c>
      <c r="E17" s="18" t="s">
        <v>25</v>
      </c>
      <c r="F17" s="18" t="s">
        <v>26</v>
      </c>
      <c r="G17" s="18" t="s">
        <v>27</v>
      </c>
      <c r="H17" s="19">
        <v>4.0</v>
      </c>
    </row>
    <row r="18">
      <c r="B18" s="12">
        <v>10.0</v>
      </c>
      <c r="C18" s="17" t="s">
        <v>18</v>
      </c>
      <c r="D18" s="18" t="s">
        <v>24</v>
      </c>
      <c r="E18" s="18" t="s">
        <v>25</v>
      </c>
      <c r="F18" s="18" t="s">
        <v>28</v>
      </c>
      <c r="G18" s="18" t="s">
        <v>27</v>
      </c>
      <c r="H18" s="19">
        <v>4.0</v>
      </c>
    </row>
    <row r="19">
      <c r="B19" s="12">
        <v>11.0</v>
      </c>
      <c r="C19" s="17" t="s">
        <v>18</v>
      </c>
      <c r="D19" s="18" t="s">
        <v>24</v>
      </c>
      <c r="E19" s="18" t="s">
        <v>25</v>
      </c>
      <c r="F19" s="18" t="s">
        <v>29</v>
      </c>
      <c r="G19" s="18" t="s">
        <v>27</v>
      </c>
      <c r="H19" s="19">
        <v>4.0</v>
      </c>
    </row>
    <row r="20">
      <c r="B20" s="12">
        <v>12.0</v>
      </c>
      <c r="C20" s="17" t="s">
        <v>18</v>
      </c>
      <c r="D20" s="18" t="s">
        <v>24</v>
      </c>
      <c r="E20" s="18" t="s">
        <v>25</v>
      </c>
      <c r="F20" s="18" t="s">
        <v>30</v>
      </c>
      <c r="G20" s="18" t="s">
        <v>27</v>
      </c>
      <c r="H20" s="19">
        <v>4.0</v>
      </c>
    </row>
    <row r="21" ht="15.75" customHeight="1">
      <c r="B21" s="12">
        <v>13.0</v>
      </c>
      <c r="C21" s="13" t="s">
        <v>12</v>
      </c>
      <c r="D21" s="12" t="s">
        <v>31</v>
      </c>
      <c r="E21" s="12" t="s">
        <v>32</v>
      </c>
      <c r="F21" s="18" t="s">
        <v>33</v>
      </c>
      <c r="G21" s="18" t="s">
        <v>27</v>
      </c>
      <c r="H21" s="15">
        <v>6.0</v>
      </c>
    </row>
    <row r="22" ht="15.75" customHeight="1">
      <c r="B22" s="12">
        <v>14.0</v>
      </c>
      <c r="C22" s="13" t="s">
        <v>34</v>
      </c>
      <c r="D22" s="12" t="s">
        <v>31</v>
      </c>
      <c r="E22" s="12" t="s">
        <v>35</v>
      </c>
      <c r="F22" s="12" t="s">
        <v>36</v>
      </c>
      <c r="G22" s="18" t="s">
        <v>27</v>
      </c>
      <c r="H22" s="15">
        <v>6.0</v>
      </c>
    </row>
    <row r="23" ht="15.75" customHeight="1">
      <c r="B23" s="12">
        <v>15.0</v>
      </c>
      <c r="C23" s="13" t="s">
        <v>34</v>
      </c>
      <c r="D23" s="12" t="s">
        <v>31</v>
      </c>
      <c r="E23" s="12" t="s">
        <v>35</v>
      </c>
      <c r="F23" s="12" t="s">
        <v>37</v>
      </c>
      <c r="G23" s="18" t="s">
        <v>27</v>
      </c>
      <c r="H23" s="15">
        <v>6.0</v>
      </c>
    </row>
    <row r="24" ht="15.75" customHeight="1">
      <c r="B24" s="12">
        <v>16.0</v>
      </c>
      <c r="C24" s="13" t="s">
        <v>34</v>
      </c>
      <c r="D24" s="12" t="s">
        <v>31</v>
      </c>
      <c r="E24" s="12" t="s">
        <v>35</v>
      </c>
      <c r="F24" s="12" t="s">
        <v>38</v>
      </c>
      <c r="G24" s="18" t="s">
        <v>27</v>
      </c>
      <c r="H24" s="15">
        <v>6.0</v>
      </c>
    </row>
    <row r="25" ht="15.75" customHeight="1">
      <c r="B25" s="12">
        <v>17.0</v>
      </c>
      <c r="C25" s="20"/>
      <c r="H25" s="21"/>
    </row>
    <row r="26" ht="15.75" customHeight="1">
      <c r="B26" s="12">
        <v>18.0</v>
      </c>
      <c r="C26" s="20"/>
      <c r="H26" s="21"/>
    </row>
    <row r="27" ht="15.75" customHeight="1">
      <c r="B27" s="12">
        <v>19.0</v>
      </c>
      <c r="C27" s="13" t="s">
        <v>34</v>
      </c>
      <c r="D27" s="22" t="s">
        <v>39</v>
      </c>
      <c r="E27" s="23" t="s">
        <v>35</v>
      </c>
      <c r="F27" s="23" t="s">
        <v>40</v>
      </c>
      <c r="G27" s="18" t="s">
        <v>27</v>
      </c>
      <c r="H27" s="15">
        <v>7.0</v>
      </c>
    </row>
    <row r="28" ht="15.75" customHeight="1">
      <c r="B28" s="12">
        <v>20.0</v>
      </c>
      <c r="C28" s="13" t="s">
        <v>34</v>
      </c>
      <c r="D28" s="24" t="s">
        <v>39</v>
      </c>
      <c r="E28" s="23" t="s">
        <v>35</v>
      </c>
      <c r="F28" s="23" t="s">
        <v>41</v>
      </c>
      <c r="G28" s="18" t="s">
        <v>27</v>
      </c>
      <c r="H28" s="15">
        <v>7.0</v>
      </c>
    </row>
    <row r="29" ht="15.75" customHeight="1">
      <c r="B29" s="12">
        <v>21.0</v>
      </c>
      <c r="C29" s="13" t="s">
        <v>34</v>
      </c>
      <c r="D29" s="24" t="s">
        <v>39</v>
      </c>
      <c r="E29" s="23" t="s">
        <v>35</v>
      </c>
      <c r="F29" s="23" t="s">
        <v>42</v>
      </c>
      <c r="G29" s="18" t="s">
        <v>27</v>
      </c>
      <c r="H29" s="15">
        <v>7.0</v>
      </c>
    </row>
    <row r="30" ht="15.75" customHeight="1">
      <c r="B30" s="12">
        <v>22.0</v>
      </c>
      <c r="C30" s="13" t="s">
        <v>34</v>
      </c>
      <c r="D30" s="24" t="s">
        <v>39</v>
      </c>
      <c r="E30" s="23" t="s">
        <v>35</v>
      </c>
      <c r="F30" s="23" t="s">
        <v>43</v>
      </c>
      <c r="G30" s="18" t="s">
        <v>27</v>
      </c>
      <c r="H30" s="15">
        <v>7.0</v>
      </c>
    </row>
    <row r="31" ht="15.75" customHeight="1">
      <c r="B31" s="12">
        <v>23.0</v>
      </c>
      <c r="C31" s="13" t="s">
        <v>34</v>
      </c>
      <c r="D31" s="24" t="s">
        <v>39</v>
      </c>
      <c r="E31" s="25" t="s">
        <v>44</v>
      </c>
      <c r="F31" s="23" t="s">
        <v>45</v>
      </c>
      <c r="H31" s="15">
        <v>7.0</v>
      </c>
    </row>
    <row r="32" ht="15.75" customHeight="1">
      <c r="B32" s="12">
        <v>24.0</v>
      </c>
      <c r="C32" s="13" t="s">
        <v>46</v>
      </c>
      <c r="D32" s="24" t="s">
        <v>39</v>
      </c>
      <c r="E32" s="12" t="s">
        <v>47</v>
      </c>
      <c r="F32" s="12" t="s">
        <v>48</v>
      </c>
      <c r="G32" s="12" t="s">
        <v>49</v>
      </c>
      <c r="H32" s="15">
        <v>8.0</v>
      </c>
    </row>
    <row r="33" ht="15.75" customHeight="1">
      <c r="B33" s="12">
        <v>25.0</v>
      </c>
      <c r="C33" s="13" t="s">
        <v>46</v>
      </c>
      <c r="D33" s="24" t="s">
        <v>39</v>
      </c>
      <c r="E33" s="12" t="s">
        <v>47</v>
      </c>
      <c r="F33" s="12" t="s">
        <v>48</v>
      </c>
      <c r="G33" s="12" t="s">
        <v>49</v>
      </c>
      <c r="H33" s="15">
        <v>8.0</v>
      </c>
    </row>
    <row r="34" ht="15.75" customHeight="1">
      <c r="B34" s="12">
        <v>26.0</v>
      </c>
      <c r="C34" s="20"/>
      <c r="H34" s="21"/>
    </row>
    <row r="35" ht="15.75" customHeight="1">
      <c r="B35" s="12">
        <v>27.0</v>
      </c>
      <c r="C35" s="20"/>
      <c r="H35" s="21"/>
    </row>
    <row r="36" ht="15.75" customHeight="1">
      <c r="B36" s="12">
        <v>28.0</v>
      </c>
      <c r="C36" s="20"/>
      <c r="H36" s="21"/>
    </row>
    <row r="37" ht="15.75" customHeight="1">
      <c r="B37" s="12">
        <v>29.0</v>
      </c>
      <c r="C37" s="20"/>
      <c r="H37" s="21"/>
    </row>
    <row r="38" ht="53.25" customHeight="1">
      <c r="B38" s="12">
        <v>30.0</v>
      </c>
      <c r="C38" s="26" t="s">
        <v>50</v>
      </c>
      <c r="D38" s="27" t="s">
        <v>51</v>
      </c>
      <c r="E38" s="28" t="s">
        <v>52</v>
      </c>
      <c r="F38" s="28" t="s">
        <v>53</v>
      </c>
      <c r="G38" s="12" t="s">
        <v>49</v>
      </c>
      <c r="H38" s="15">
        <v>9.0</v>
      </c>
    </row>
    <row r="39" ht="53.25" customHeight="1">
      <c r="B39" s="12">
        <v>31.0</v>
      </c>
      <c r="C39" s="26" t="s">
        <v>50</v>
      </c>
      <c r="D39" s="27" t="s">
        <v>51</v>
      </c>
      <c r="E39" s="28" t="s">
        <v>52</v>
      </c>
      <c r="F39" s="28" t="s">
        <v>54</v>
      </c>
      <c r="G39" s="12" t="s">
        <v>49</v>
      </c>
      <c r="H39" s="15">
        <v>9.0</v>
      </c>
    </row>
    <row r="40" ht="53.25" customHeight="1">
      <c r="B40" s="12">
        <v>32.0</v>
      </c>
      <c r="C40" s="26" t="s">
        <v>50</v>
      </c>
      <c r="D40" s="27" t="s">
        <v>51</v>
      </c>
      <c r="E40" s="28" t="s">
        <v>52</v>
      </c>
      <c r="F40" s="28" t="s">
        <v>55</v>
      </c>
      <c r="G40" s="12" t="s">
        <v>49</v>
      </c>
      <c r="H40" s="15">
        <v>9.0</v>
      </c>
    </row>
    <row r="41" ht="53.25" customHeight="1">
      <c r="B41" s="12">
        <v>33.0</v>
      </c>
      <c r="C41" s="26" t="s">
        <v>50</v>
      </c>
      <c r="D41" s="27" t="s">
        <v>51</v>
      </c>
      <c r="E41" s="28" t="s">
        <v>52</v>
      </c>
      <c r="F41" s="28" t="s">
        <v>56</v>
      </c>
      <c r="G41" s="12" t="s">
        <v>49</v>
      </c>
      <c r="H41" s="15">
        <v>9.0</v>
      </c>
    </row>
    <row r="42" ht="53.25" customHeight="1">
      <c r="B42" s="12">
        <v>34.0</v>
      </c>
      <c r="C42" s="26" t="s">
        <v>50</v>
      </c>
      <c r="D42" s="27" t="s">
        <v>51</v>
      </c>
      <c r="E42" s="28" t="s">
        <v>52</v>
      </c>
      <c r="F42" s="28" t="s">
        <v>57</v>
      </c>
      <c r="G42" s="12" t="s">
        <v>49</v>
      </c>
      <c r="H42" s="15">
        <v>9.0</v>
      </c>
    </row>
    <row r="43" ht="26.25" customHeight="1">
      <c r="B43" s="12">
        <v>35.0</v>
      </c>
      <c r="C43" s="13" t="s">
        <v>58</v>
      </c>
      <c r="D43" s="18" t="s">
        <v>59</v>
      </c>
      <c r="E43" s="18" t="s">
        <v>60</v>
      </c>
      <c r="F43" s="29" t="s">
        <v>61</v>
      </c>
      <c r="G43" s="18" t="s">
        <v>49</v>
      </c>
      <c r="H43" s="19">
        <v>10.0</v>
      </c>
    </row>
    <row r="44">
      <c r="B44" s="12">
        <v>36.0</v>
      </c>
      <c r="C44" s="13" t="s">
        <v>58</v>
      </c>
      <c r="D44" s="18" t="s">
        <v>59</v>
      </c>
      <c r="E44" s="18" t="s">
        <v>60</v>
      </c>
      <c r="F44" s="29" t="s">
        <v>62</v>
      </c>
      <c r="G44" s="18" t="s">
        <v>49</v>
      </c>
      <c r="H44" s="19">
        <v>10.0</v>
      </c>
    </row>
    <row r="45">
      <c r="B45" s="12">
        <v>37.0</v>
      </c>
      <c r="C45" s="13" t="s">
        <v>58</v>
      </c>
      <c r="D45" s="18" t="s">
        <v>59</v>
      </c>
      <c r="E45" s="18" t="s">
        <v>60</v>
      </c>
      <c r="F45" s="29" t="s">
        <v>63</v>
      </c>
      <c r="G45" s="18" t="s">
        <v>49</v>
      </c>
      <c r="H45" s="19">
        <v>10.0</v>
      </c>
    </row>
    <row r="46">
      <c r="B46" s="12">
        <v>38.0</v>
      </c>
      <c r="C46" s="13" t="s">
        <v>58</v>
      </c>
      <c r="D46" s="18" t="s">
        <v>59</v>
      </c>
      <c r="E46" s="18" t="s">
        <v>60</v>
      </c>
      <c r="F46" s="18" t="s">
        <v>64</v>
      </c>
      <c r="G46" s="18" t="s">
        <v>49</v>
      </c>
      <c r="H46" s="19">
        <v>10.0</v>
      </c>
    </row>
    <row r="47" ht="15.75" customHeight="1">
      <c r="B47" s="12">
        <v>39.0</v>
      </c>
      <c r="C47" s="20"/>
      <c r="H47" s="21"/>
    </row>
    <row r="48" ht="15.75" customHeight="1">
      <c r="B48" s="12">
        <v>40.0</v>
      </c>
      <c r="C48" s="13" t="s">
        <v>12</v>
      </c>
      <c r="D48" s="12" t="s">
        <v>31</v>
      </c>
      <c r="E48" s="12" t="s">
        <v>32</v>
      </c>
      <c r="F48" s="12" t="s">
        <v>65</v>
      </c>
      <c r="H48" s="15">
        <v>5.0</v>
      </c>
    </row>
    <row r="49" ht="15.75" customHeight="1">
      <c r="B49" s="12">
        <v>41.0</v>
      </c>
      <c r="C49" s="13" t="s">
        <v>12</v>
      </c>
      <c r="D49" s="12" t="s">
        <v>31</v>
      </c>
      <c r="E49" s="12" t="s">
        <v>32</v>
      </c>
      <c r="F49" s="12" t="s">
        <v>66</v>
      </c>
      <c r="H49" s="15">
        <v>5.0</v>
      </c>
    </row>
    <row r="50" ht="15.75" customHeight="1">
      <c r="B50" s="12">
        <v>42.0</v>
      </c>
      <c r="C50" s="13" t="s">
        <v>12</v>
      </c>
      <c r="D50" s="12" t="s">
        <v>31</v>
      </c>
      <c r="E50" s="12" t="s">
        <v>32</v>
      </c>
      <c r="F50" s="12" t="s">
        <v>67</v>
      </c>
      <c r="H50" s="15">
        <v>5.0</v>
      </c>
    </row>
    <row r="51" ht="15.75" customHeight="1">
      <c r="B51" s="12">
        <v>43.0</v>
      </c>
      <c r="C51" s="13" t="s">
        <v>12</v>
      </c>
      <c r="D51" s="12" t="s">
        <v>31</v>
      </c>
      <c r="E51" s="12" t="s">
        <v>32</v>
      </c>
      <c r="F51" s="12" t="s">
        <v>68</v>
      </c>
      <c r="H51" s="15">
        <v>5.0</v>
      </c>
    </row>
    <row r="52" ht="15.75" customHeight="1">
      <c r="B52" s="12">
        <v>44.0</v>
      </c>
      <c r="C52" s="13" t="s">
        <v>58</v>
      </c>
      <c r="D52" s="12" t="s">
        <v>69</v>
      </c>
      <c r="E52" s="12" t="s">
        <v>70</v>
      </c>
      <c r="F52" s="12" t="s">
        <v>71</v>
      </c>
      <c r="H52" s="15">
        <v>11.0</v>
      </c>
    </row>
    <row r="53" ht="15.75" customHeight="1">
      <c r="B53" s="12">
        <v>45.0</v>
      </c>
      <c r="C53" s="13" t="s">
        <v>58</v>
      </c>
      <c r="D53" s="12" t="s">
        <v>69</v>
      </c>
      <c r="E53" s="12" t="s">
        <v>70</v>
      </c>
      <c r="F53" s="30" t="s">
        <v>72</v>
      </c>
      <c r="H53" s="15">
        <v>11.0</v>
      </c>
    </row>
    <row r="54" ht="15.75" customHeight="1">
      <c r="B54" s="12">
        <v>46.0</v>
      </c>
      <c r="C54" s="13" t="s">
        <v>58</v>
      </c>
      <c r="D54" s="12" t="s">
        <v>69</v>
      </c>
      <c r="E54" s="12" t="s">
        <v>70</v>
      </c>
      <c r="F54" s="12" t="s">
        <v>73</v>
      </c>
      <c r="H54" s="15">
        <v>11.0</v>
      </c>
    </row>
    <row r="55" ht="15.75" customHeight="1">
      <c r="B55" s="12">
        <v>47.0</v>
      </c>
      <c r="C55" s="13" t="s">
        <v>58</v>
      </c>
      <c r="D55" s="12" t="s">
        <v>69</v>
      </c>
      <c r="E55" s="12" t="s">
        <v>70</v>
      </c>
      <c r="F55" s="30" t="s">
        <v>74</v>
      </c>
      <c r="H55" s="15">
        <v>11.0</v>
      </c>
    </row>
    <row r="56" ht="15.75" customHeight="1">
      <c r="B56" s="12">
        <v>48.0</v>
      </c>
      <c r="C56" s="13" t="s">
        <v>58</v>
      </c>
      <c r="D56" s="12" t="s">
        <v>69</v>
      </c>
      <c r="E56" s="12" t="s">
        <v>70</v>
      </c>
      <c r="F56" s="30" t="s">
        <v>75</v>
      </c>
      <c r="H56" s="15">
        <v>11.0</v>
      </c>
    </row>
    <row r="57" ht="15.75" customHeight="1">
      <c r="B57" s="12">
        <v>49.0</v>
      </c>
      <c r="C57" s="13" t="s">
        <v>58</v>
      </c>
      <c r="D57" s="12" t="s">
        <v>69</v>
      </c>
      <c r="E57" s="12" t="s">
        <v>70</v>
      </c>
      <c r="F57" s="30" t="s">
        <v>76</v>
      </c>
      <c r="H57" s="15">
        <v>11.0</v>
      </c>
    </row>
    <row r="58" ht="44.25" customHeight="1">
      <c r="B58" s="12">
        <v>50.0</v>
      </c>
      <c r="C58" s="13" t="s">
        <v>58</v>
      </c>
      <c r="D58" s="12" t="s">
        <v>69</v>
      </c>
      <c r="E58" s="12" t="s">
        <v>70</v>
      </c>
      <c r="F58" s="30" t="s">
        <v>77</v>
      </c>
      <c r="H58" s="15">
        <v>11.0</v>
      </c>
    </row>
    <row r="59" ht="15.75" customHeight="1">
      <c r="C59" s="20"/>
      <c r="H59" s="21"/>
    </row>
    <row r="60" ht="15.75" customHeight="1">
      <c r="C60" s="20"/>
      <c r="H60" s="21"/>
    </row>
    <row r="61" ht="15.75" customHeight="1">
      <c r="C61" s="20"/>
      <c r="H61" s="21"/>
    </row>
    <row r="62" ht="15.75" customHeight="1">
      <c r="C62" s="20"/>
      <c r="H62" s="21"/>
    </row>
    <row r="63" ht="15.75" customHeight="1">
      <c r="C63" s="20"/>
      <c r="H63" s="21"/>
    </row>
    <row r="64" ht="15.75" customHeight="1">
      <c r="C64" s="20"/>
      <c r="H64" s="21"/>
    </row>
    <row r="65" ht="15.75" customHeight="1">
      <c r="C65" s="20"/>
      <c r="H65" s="21"/>
    </row>
    <row r="66" ht="15.75" customHeight="1">
      <c r="C66" s="20"/>
      <c r="H66" s="21"/>
    </row>
    <row r="67" ht="15.75" customHeight="1">
      <c r="C67" s="20"/>
      <c r="H67" s="21"/>
    </row>
    <row r="68" ht="15.75" customHeight="1">
      <c r="C68" s="20"/>
      <c r="H68" s="21"/>
    </row>
    <row r="69" ht="15.75" customHeight="1">
      <c r="C69" s="20"/>
      <c r="H69" s="21"/>
    </row>
    <row r="70" ht="15.75" customHeight="1">
      <c r="C70" s="20"/>
      <c r="H70" s="21"/>
    </row>
    <row r="71" ht="15.75" customHeight="1">
      <c r="C71" s="20"/>
      <c r="H71" s="21"/>
    </row>
    <row r="72" ht="15.75" customHeight="1">
      <c r="C72" s="20"/>
      <c r="H72" s="21"/>
    </row>
    <row r="73" ht="15.75" customHeight="1">
      <c r="C73" s="20"/>
      <c r="H73" s="21"/>
    </row>
    <row r="74" ht="15.75" customHeight="1">
      <c r="C74" s="20"/>
      <c r="H74" s="21"/>
    </row>
    <row r="75" ht="15.75" customHeight="1">
      <c r="C75" s="20"/>
      <c r="H75" s="21"/>
    </row>
    <row r="76" ht="15.75" customHeight="1">
      <c r="C76" s="20"/>
      <c r="H76" s="21"/>
    </row>
    <row r="77" ht="15.75" customHeight="1">
      <c r="C77" s="20"/>
      <c r="H77" s="21"/>
    </row>
    <row r="78" ht="15.75" customHeight="1">
      <c r="C78" s="20"/>
      <c r="H78" s="21"/>
    </row>
    <row r="79" ht="15.75" customHeight="1">
      <c r="C79" s="20"/>
      <c r="H79" s="21"/>
    </row>
    <row r="80" ht="15.75" customHeight="1">
      <c r="C80" s="20"/>
      <c r="H80" s="21"/>
    </row>
    <row r="81" ht="15.75" customHeight="1">
      <c r="C81" s="20"/>
      <c r="H81" s="21"/>
    </row>
    <row r="82" ht="15.75" customHeight="1">
      <c r="C82" s="20"/>
      <c r="H82" s="21"/>
    </row>
    <row r="83" ht="15.75" customHeight="1">
      <c r="C83" s="20"/>
      <c r="H83" s="21"/>
    </row>
    <row r="84" ht="15.75" customHeight="1">
      <c r="C84" s="20"/>
      <c r="H84" s="21"/>
    </row>
    <row r="85" ht="15.75" customHeight="1">
      <c r="C85" s="20"/>
      <c r="H85" s="21"/>
    </row>
    <row r="86" ht="15.75" customHeight="1">
      <c r="C86" s="20"/>
      <c r="H86" s="21"/>
    </row>
    <row r="87" ht="15.75" customHeight="1">
      <c r="C87" s="20"/>
      <c r="H87" s="21"/>
    </row>
    <row r="88" ht="15.75" customHeight="1">
      <c r="C88" s="20"/>
      <c r="H88" s="21"/>
    </row>
    <row r="89" ht="15.75" customHeight="1">
      <c r="C89" s="20"/>
      <c r="H89" s="21"/>
    </row>
    <row r="90" ht="15.75" customHeight="1">
      <c r="C90" s="20"/>
      <c r="H90" s="21"/>
    </row>
    <row r="91" ht="15.75" customHeight="1">
      <c r="C91" s="20"/>
      <c r="H91" s="21"/>
    </row>
    <row r="92" ht="15.75" customHeight="1">
      <c r="C92" s="20"/>
      <c r="H92" s="21"/>
    </row>
    <row r="93" ht="15.75" customHeight="1">
      <c r="C93" s="20"/>
      <c r="H93" s="21"/>
    </row>
    <row r="94" ht="15.75" customHeight="1">
      <c r="C94" s="20"/>
      <c r="H94" s="21"/>
    </row>
    <row r="95" ht="15.75" customHeight="1">
      <c r="C95" s="20"/>
      <c r="H95" s="21"/>
    </row>
    <row r="96" ht="15.75" customHeight="1">
      <c r="C96" s="20"/>
      <c r="H96" s="21"/>
    </row>
    <row r="97" ht="15.75" customHeight="1">
      <c r="C97" s="20"/>
      <c r="H97" s="21"/>
    </row>
    <row r="98" ht="15.75" customHeight="1">
      <c r="C98" s="20"/>
      <c r="H98" s="21"/>
    </row>
    <row r="99" ht="15.75" customHeight="1">
      <c r="C99" s="20"/>
      <c r="H99" s="21"/>
    </row>
    <row r="100" ht="15.75" customHeight="1">
      <c r="C100" s="20"/>
      <c r="H100" s="21"/>
    </row>
    <row r="101" ht="15.75" customHeight="1">
      <c r="C101" s="20"/>
      <c r="H101" s="21"/>
    </row>
    <row r="102" ht="15.75" customHeight="1">
      <c r="C102" s="20"/>
      <c r="H102" s="1"/>
    </row>
    <row r="103" ht="15.75" customHeight="1">
      <c r="C103" s="20"/>
      <c r="H103" s="1"/>
    </row>
    <row r="104" ht="15.75" customHeight="1">
      <c r="C104" s="20"/>
      <c r="H104" s="1"/>
    </row>
    <row r="105" ht="15.75" customHeight="1">
      <c r="C105" s="20"/>
      <c r="H105" s="1"/>
    </row>
    <row r="106" ht="15.75" customHeight="1">
      <c r="C106" s="20"/>
      <c r="H106" s="1"/>
    </row>
    <row r="107" ht="15.75" customHeight="1">
      <c r="C107" s="20"/>
      <c r="H107" s="1"/>
    </row>
    <row r="108" ht="15.75" customHeight="1">
      <c r="C108" s="20"/>
      <c r="H108" s="1"/>
    </row>
    <row r="109" ht="15.75" customHeight="1">
      <c r="C109" s="20"/>
      <c r="H109" s="1"/>
    </row>
    <row r="110" ht="15.75" customHeight="1">
      <c r="C110" s="20"/>
      <c r="H110" s="1"/>
    </row>
    <row r="111" ht="15.75" customHeight="1">
      <c r="C111" s="20"/>
      <c r="H111" s="1"/>
    </row>
    <row r="112" ht="15.75" customHeight="1">
      <c r="C112" s="20"/>
      <c r="H112" s="1"/>
    </row>
    <row r="113" ht="15.75" customHeight="1">
      <c r="C113" s="20"/>
      <c r="H113" s="1"/>
    </row>
    <row r="114" ht="15.75" customHeight="1">
      <c r="C114" s="20"/>
      <c r="H114" s="1"/>
    </row>
    <row r="115" ht="15.75" customHeight="1">
      <c r="C115" s="20"/>
      <c r="H115" s="1"/>
    </row>
    <row r="116" ht="15.75" customHeight="1">
      <c r="C116" s="20"/>
      <c r="H116" s="1"/>
    </row>
    <row r="117" ht="15.75" customHeight="1">
      <c r="C117" s="20"/>
      <c r="H117" s="1"/>
    </row>
    <row r="118" ht="15.75" customHeight="1">
      <c r="C118" s="20"/>
      <c r="H118" s="1"/>
    </row>
    <row r="119" ht="15.75" customHeight="1">
      <c r="C119" s="20"/>
      <c r="H119" s="1"/>
    </row>
    <row r="120" ht="15.75" customHeight="1">
      <c r="C120" s="20"/>
      <c r="H120" s="1"/>
    </row>
    <row r="121" ht="15.75" customHeight="1">
      <c r="C121" s="20"/>
      <c r="H121" s="1"/>
    </row>
    <row r="122" ht="15.75" customHeight="1">
      <c r="C122" s="20"/>
      <c r="H122" s="1"/>
    </row>
    <row r="123" ht="15.75" customHeight="1">
      <c r="C123" s="20"/>
      <c r="H123" s="1"/>
    </row>
    <row r="124" ht="15.75" customHeight="1">
      <c r="C124" s="20"/>
      <c r="H124" s="1"/>
    </row>
    <row r="125" ht="15.75" customHeight="1">
      <c r="C125" s="20"/>
      <c r="H125" s="1"/>
    </row>
    <row r="126" ht="15.75" customHeight="1">
      <c r="C126" s="20"/>
      <c r="H126" s="1"/>
    </row>
    <row r="127" ht="15.75" customHeight="1">
      <c r="C127" s="20"/>
      <c r="H127" s="1"/>
    </row>
    <row r="128" ht="15.75" customHeight="1">
      <c r="C128" s="20"/>
      <c r="H128" s="1"/>
    </row>
    <row r="129" ht="15.75" customHeight="1">
      <c r="C129" s="20"/>
      <c r="H129" s="1"/>
    </row>
    <row r="130" ht="15.75" customHeight="1">
      <c r="C130" s="20"/>
      <c r="H130" s="1"/>
    </row>
    <row r="131" ht="15.75" customHeight="1">
      <c r="C131" s="20"/>
      <c r="H131" s="1"/>
    </row>
    <row r="132" ht="15.75" customHeight="1">
      <c r="C132" s="20"/>
      <c r="H132" s="1"/>
    </row>
    <row r="133" ht="15.75" customHeight="1">
      <c r="C133" s="20"/>
      <c r="H133" s="1"/>
    </row>
    <row r="134" ht="15.75" customHeight="1">
      <c r="C134" s="20"/>
      <c r="H134" s="1"/>
    </row>
    <row r="135" ht="15.75" customHeight="1">
      <c r="C135" s="20"/>
      <c r="H135" s="1"/>
    </row>
    <row r="136" ht="15.75" customHeight="1">
      <c r="H136" s="1"/>
    </row>
    <row r="137" ht="15.75" customHeight="1">
      <c r="H137" s="1"/>
    </row>
    <row r="138" ht="15.75" customHeight="1">
      <c r="H138" s="1"/>
    </row>
    <row r="139" ht="15.75" customHeight="1">
      <c r="H139" s="1"/>
    </row>
    <row r="140" ht="15.75" customHeight="1">
      <c r="H140" s="1"/>
    </row>
    <row r="141" ht="15.75" customHeight="1">
      <c r="H141" s="1"/>
    </row>
    <row r="142" ht="15.75" customHeight="1">
      <c r="H142" s="1"/>
    </row>
    <row r="143" ht="15.75" customHeight="1">
      <c r="H143" s="1"/>
    </row>
    <row r="144" ht="15.75" customHeight="1">
      <c r="H144" s="1"/>
    </row>
    <row r="145" ht="15.75" customHeight="1">
      <c r="H145" s="1"/>
    </row>
    <row r="146" ht="15.75" customHeight="1">
      <c r="H146" s="1"/>
    </row>
    <row r="147" ht="15.75" customHeight="1">
      <c r="H147" s="1"/>
    </row>
    <row r="148" ht="15.75" customHeight="1">
      <c r="H148" s="1"/>
    </row>
    <row r="149" ht="15.75" customHeight="1">
      <c r="H149" s="1"/>
    </row>
    <row r="150" ht="15.75" customHeight="1">
      <c r="H150" s="1"/>
    </row>
    <row r="151" ht="15.75" customHeight="1">
      <c r="H151" s="1"/>
    </row>
    <row r="152" ht="15.75" customHeight="1">
      <c r="H152" s="1"/>
    </row>
    <row r="153" ht="15.75" customHeight="1">
      <c r="H153" s="1"/>
    </row>
    <row r="154" ht="15.75" customHeight="1">
      <c r="H154" s="1"/>
    </row>
    <row r="155" ht="15.75" customHeight="1">
      <c r="H155" s="1"/>
    </row>
    <row r="156" ht="15.75" customHeight="1">
      <c r="H156" s="1"/>
    </row>
    <row r="157" ht="15.75" customHeight="1">
      <c r="H157" s="1"/>
    </row>
    <row r="158" ht="15.75" customHeight="1">
      <c r="H158" s="1"/>
    </row>
    <row r="159" ht="15.75" customHeight="1">
      <c r="H159" s="1"/>
    </row>
    <row r="160" ht="15.75" customHeight="1">
      <c r="H160" s="1"/>
    </row>
    <row r="161" ht="15.75" customHeight="1">
      <c r="H161" s="1"/>
    </row>
    <row r="162" ht="15.75" customHeight="1">
      <c r="H162" s="1"/>
    </row>
    <row r="163" ht="15.75" customHeight="1">
      <c r="H163" s="1"/>
    </row>
    <row r="164" ht="15.75" customHeight="1">
      <c r="H164" s="1"/>
    </row>
    <row r="165" ht="15.75" customHeight="1">
      <c r="H165" s="1"/>
    </row>
    <row r="166" ht="15.75" customHeight="1">
      <c r="H166" s="1"/>
    </row>
    <row r="167" ht="15.75" customHeight="1">
      <c r="H167" s="1"/>
    </row>
    <row r="168" ht="15.75" customHeight="1">
      <c r="H168" s="1"/>
    </row>
    <row r="169" ht="15.75" customHeight="1">
      <c r="H169" s="1"/>
    </row>
    <row r="170" ht="15.75" customHeight="1">
      <c r="H170" s="1"/>
    </row>
    <row r="171" ht="15.75" customHeight="1">
      <c r="H171" s="1"/>
    </row>
    <row r="172" ht="15.75" customHeight="1">
      <c r="H172" s="1"/>
    </row>
    <row r="173" ht="15.75" customHeight="1">
      <c r="H173" s="1"/>
    </row>
    <row r="174" ht="15.75" customHeight="1">
      <c r="H174" s="1"/>
    </row>
    <row r="175" ht="15.75" customHeight="1">
      <c r="H175" s="1"/>
    </row>
    <row r="176" ht="15.75" customHeight="1">
      <c r="H176" s="1"/>
    </row>
    <row r="177" ht="15.75" customHeight="1">
      <c r="H177" s="1"/>
    </row>
    <row r="178" ht="15.75" customHeight="1">
      <c r="H178" s="1"/>
    </row>
    <row r="179" ht="15.75" customHeight="1">
      <c r="H179" s="1"/>
    </row>
    <row r="180" ht="15.75" customHeight="1">
      <c r="H180" s="1"/>
    </row>
    <row r="181" ht="15.75" customHeight="1">
      <c r="H181" s="1"/>
    </row>
    <row r="182" ht="15.75" customHeight="1">
      <c r="H182" s="1"/>
    </row>
    <row r="183" ht="15.75" customHeight="1">
      <c r="H183" s="1"/>
    </row>
    <row r="184" ht="15.75" customHeight="1">
      <c r="H184" s="1"/>
    </row>
    <row r="185" ht="15.75" customHeight="1">
      <c r="H185" s="1"/>
    </row>
    <row r="186" ht="15.75" customHeight="1">
      <c r="H186" s="1"/>
    </row>
    <row r="187" ht="15.75" customHeight="1">
      <c r="H187" s="1"/>
    </row>
    <row r="188" ht="15.75" customHeight="1">
      <c r="H188" s="1"/>
    </row>
    <row r="189" ht="15.75" customHeight="1">
      <c r="H189" s="1"/>
    </row>
    <row r="190" ht="15.75" customHeight="1">
      <c r="H190" s="1"/>
    </row>
    <row r="191" ht="15.75" customHeight="1">
      <c r="H191" s="1"/>
    </row>
    <row r="192" ht="15.75" customHeight="1">
      <c r="H192" s="1"/>
    </row>
    <row r="193" ht="15.75" customHeight="1">
      <c r="H193" s="1"/>
    </row>
    <row r="194" ht="15.75" customHeight="1">
      <c r="H194" s="1"/>
    </row>
    <row r="195" ht="15.75" customHeight="1">
      <c r="H195" s="1"/>
    </row>
    <row r="196" ht="15.75" customHeight="1">
      <c r="H196" s="1"/>
    </row>
    <row r="197" ht="15.75" customHeight="1">
      <c r="H197" s="1"/>
    </row>
    <row r="198" ht="15.75" customHeight="1">
      <c r="H198" s="1"/>
    </row>
    <row r="199" ht="15.75" customHeight="1">
      <c r="H199" s="1"/>
    </row>
    <row r="200" ht="15.75" customHeight="1">
      <c r="H200" s="1"/>
    </row>
    <row r="201" ht="15.75" customHeight="1">
      <c r="H201" s="1"/>
    </row>
    <row r="202" ht="15.75" customHeight="1">
      <c r="H202" s="1"/>
    </row>
    <row r="203" ht="15.75" customHeight="1">
      <c r="H203" s="1"/>
    </row>
    <row r="204" ht="15.75" customHeight="1">
      <c r="H204" s="1"/>
    </row>
    <row r="205" ht="15.75" customHeight="1">
      <c r="H205" s="1"/>
    </row>
    <row r="206" ht="15.75" customHeight="1">
      <c r="H206" s="1"/>
    </row>
    <row r="207" ht="15.75" customHeight="1">
      <c r="H207" s="1"/>
    </row>
    <row r="208" ht="15.75" customHeight="1">
      <c r="H208" s="1"/>
    </row>
    <row r="209" ht="15.75" customHeight="1">
      <c r="H209" s="1"/>
    </row>
    <row r="210" ht="15.75" customHeight="1">
      <c r="H210" s="1"/>
    </row>
    <row r="211" ht="15.75" customHeight="1">
      <c r="H211" s="1"/>
    </row>
    <row r="212" ht="15.75" customHeight="1">
      <c r="H212" s="1"/>
    </row>
    <row r="213" ht="15.75" customHeight="1">
      <c r="H213" s="1"/>
    </row>
    <row r="214" ht="15.75" customHeight="1">
      <c r="H214" s="1"/>
    </row>
    <row r="215" ht="15.75" customHeight="1">
      <c r="H215" s="1"/>
    </row>
    <row r="216" ht="15.75" customHeight="1">
      <c r="H216" s="1"/>
    </row>
    <row r="217" ht="15.75" customHeight="1">
      <c r="H217" s="1"/>
    </row>
    <row r="218" ht="15.75" customHeight="1">
      <c r="H218" s="1"/>
    </row>
    <row r="219" ht="15.75" customHeight="1">
      <c r="H219" s="1"/>
    </row>
    <row r="220" ht="15.75" customHeight="1">
      <c r="H220" s="1"/>
    </row>
    <row r="221" ht="15.75" customHeight="1">
      <c r="H221" s="1"/>
    </row>
    <row r="222" ht="15.75" customHeight="1">
      <c r="H222" s="1"/>
    </row>
    <row r="223" ht="15.75" customHeight="1">
      <c r="H223" s="1"/>
    </row>
    <row r="224" ht="15.75" customHeight="1">
      <c r="H224" s="1"/>
    </row>
    <row r="225" ht="15.75" customHeight="1">
      <c r="H225" s="1"/>
    </row>
    <row r="226" ht="15.75" customHeight="1">
      <c r="H226" s="1"/>
    </row>
    <row r="227" ht="15.75" customHeight="1">
      <c r="H227" s="1"/>
    </row>
    <row r="228" ht="15.75" customHeight="1">
      <c r="H228" s="1"/>
    </row>
    <row r="229" ht="15.75" customHeight="1">
      <c r="H229" s="1"/>
    </row>
    <row r="230" ht="15.75" customHeight="1">
      <c r="H230" s="1"/>
    </row>
    <row r="231" ht="15.75" customHeight="1">
      <c r="H231" s="1"/>
    </row>
    <row r="232" ht="15.75" customHeight="1">
      <c r="H232" s="1"/>
    </row>
    <row r="233" ht="15.75" customHeight="1">
      <c r="H233" s="1"/>
    </row>
    <row r="234" ht="15.75" customHeight="1">
      <c r="H234" s="1"/>
    </row>
    <row r="235" ht="15.75" customHeight="1">
      <c r="H235" s="1"/>
    </row>
    <row r="236" ht="15.75" customHeight="1">
      <c r="H236" s="1"/>
    </row>
    <row r="237" ht="15.75" customHeight="1">
      <c r="H237" s="1"/>
    </row>
    <row r="238" ht="15.75" customHeight="1">
      <c r="H238" s="1"/>
    </row>
    <row r="239" ht="15.75" customHeight="1">
      <c r="H239" s="1"/>
    </row>
    <row r="240" ht="15.75" customHeight="1">
      <c r="H240" s="1"/>
    </row>
    <row r="241" ht="15.75" customHeight="1">
      <c r="H241" s="1"/>
    </row>
    <row r="242" ht="15.75" customHeight="1">
      <c r="H242" s="1"/>
    </row>
    <row r="243" ht="15.75" customHeight="1">
      <c r="H243" s="1"/>
    </row>
    <row r="244" ht="15.75" customHeight="1">
      <c r="H244" s="1"/>
    </row>
    <row r="245" ht="15.75" customHeight="1">
      <c r="H245" s="1"/>
    </row>
    <row r="246" ht="15.75" customHeight="1">
      <c r="H246" s="1"/>
    </row>
    <row r="247" ht="15.75" customHeight="1">
      <c r="H247" s="1"/>
    </row>
    <row r="248" ht="15.75" customHeight="1">
      <c r="H248" s="1"/>
    </row>
    <row r="249" ht="15.75" customHeight="1">
      <c r="H249" s="1"/>
    </row>
    <row r="250" ht="15.75" customHeight="1">
      <c r="H250" s="1"/>
    </row>
    <row r="251" ht="15.75" customHeight="1">
      <c r="H251" s="1"/>
    </row>
    <row r="252" ht="15.75" customHeight="1">
      <c r="H252" s="1"/>
    </row>
    <row r="253" ht="15.75" customHeight="1">
      <c r="H253" s="1"/>
    </row>
    <row r="254" ht="15.75" customHeight="1">
      <c r="H254" s="1"/>
    </row>
    <row r="255" ht="15.75" customHeight="1">
      <c r="H255" s="1"/>
    </row>
    <row r="256" ht="15.75" customHeight="1">
      <c r="H256" s="1"/>
    </row>
    <row r="257" ht="15.75" customHeight="1">
      <c r="H257" s="1"/>
    </row>
    <row r="258" ht="15.75" customHeight="1">
      <c r="H258" s="1"/>
    </row>
    <row r="259" ht="15.75" customHeight="1">
      <c r="H259" s="1"/>
    </row>
    <row r="260" ht="15.75" customHeight="1">
      <c r="H260" s="1"/>
    </row>
    <row r="261" ht="15.75" customHeight="1">
      <c r="H261" s="1"/>
    </row>
    <row r="262" ht="15.75" customHeight="1">
      <c r="H262" s="1"/>
    </row>
    <row r="263" ht="15.75" customHeight="1">
      <c r="H263" s="1"/>
    </row>
    <row r="264" ht="15.75" customHeight="1">
      <c r="H264" s="1"/>
    </row>
    <row r="265" ht="15.75" customHeight="1">
      <c r="H265" s="1"/>
    </row>
    <row r="266" ht="15.75" customHeight="1">
      <c r="H266" s="1"/>
    </row>
    <row r="267" ht="15.75" customHeight="1">
      <c r="H267" s="1"/>
    </row>
    <row r="268" ht="15.75" customHeight="1">
      <c r="H268" s="1"/>
    </row>
    <row r="269" ht="15.75" customHeight="1">
      <c r="H269" s="1"/>
    </row>
    <row r="270" ht="15.75" customHeight="1">
      <c r="H270" s="1"/>
    </row>
    <row r="271" ht="15.75" customHeight="1">
      <c r="H271" s="1"/>
    </row>
    <row r="272" ht="15.75" customHeight="1">
      <c r="H272" s="1"/>
    </row>
    <row r="273" ht="15.75" customHeight="1">
      <c r="H273" s="1"/>
    </row>
    <row r="274" ht="15.75" customHeight="1">
      <c r="H274" s="1"/>
    </row>
    <row r="275" ht="15.75" customHeight="1">
      <c r="H275" s="1"/>
    </row>
    <row r="276" ht="15.75" customHeight="1">
      <c r="H276" s="1"/>
    </row>
    <row r="277" ht="15.75" customHeight="1">
      <c r="H277" s="1"/>
    </row>
    <row r="278" ht="15.75" customHeight="1">
      <c r="H278" s="1"/>
    </row>
    <row r="279" ht="15.75" customHeight="1">
      <c r="H279" s="1"/>
    </row>
    <row r="280" ht="15.75" customHeight="1">
      <c r="H280" s="1"/>
    </row>
    <row r="281" ht="15.75" customHeight="1">
      <c r="H281" s="1"/>
    </row>
    <row r="282" ht="15.75" customHeight="1">
      <c r="H282" s="1"/>
    </row>
    <row r="283" ht="15.75" customHeight="1">
      <c r="H283" s="1"/>
    </row>
    <row r="284" ht="15.75" customHeight="1">
      <c r="H284" s="1"/>
    </row>
    <row r="285" ht="15.75" customHeight="1">
      <c r="H285" s="1"/>
    </row>
    <row r="286" ht="15.75" customHeight="1">
      <c r="H286" s="1"/>
    </row>
    <row r="287" ht="15.75" customHeight="1">
      <c r="H287" s="1"/>
    </row>
    <row r="288" ht="15.75" customHeight="1">
      <c r="H288" s="1"/>
    </row>
    <row r="289" ht="15.75" customHeight="1">
      <c r="H289" s="1"/>
    </row>
    <row r="290" ht="15.75" customHeight="1">
      <c r="H290" s="1"/>
    </row>
    <row r="291" ht="15.75" customHeight="1">
      <c r="H291" s="1"/>
    </row>
    <row r="292" ht="15.75" customHeight="1">
      <c r="H292" s="1"/>
    </row>
    <row r="293" ht="15.75" customHeight="1">
      <c r="H293" s="1"/>
    </row>
    <row r="294" ht="15.75" customHeight="1">
      <c r="H294" s="1"/>
    </row>
    <row r="295" ht="15.75" customHeight="1">
      <c r="H295" s="1"/>
    </row>
    <row r="296" ht="15.75" customHeight="1">
      <c r="H296" s="1"/>
    </row>
    <row r="297" ht="15.75" customHeight="1">
      <c r="H297" s="1"/>
    </row>
    <row r="298" ht="15.75" customHeight="1">
      <c r="H298" s="1"/>
    </row>
    <row r="299" ht="15.75" customHeight="1">
      <c r="H299" s="1"/>
    </row>
    <row r="300" ht="15.75" customHeight="1">
      <c r="H300" s="1"/>
    </row>
    <row r="301" ht="15.75" customHeight="1">
      <c r="H301" s="1"/>
    </row>
    <row r="302" ht="15.75" customHeight="1">
      <c r="H302" s="1"/>
    </row>
    <row r="303" ht="15.75" customHeight="1">
      <c r="H303" s="1"/>
    </row>
    <row r="304" ht="15.75" customHeight="1">
      <c r="H304" s="1"/>
    </row>
    <row r="305" ht="15.75" customHeight="1">
      <c r="H305" s="1"/>
    </row>
    <row r="306" ht="15.75" customHeight="1">
      <c r="H306" s="1"/>
    </row>
    <row r="307" ht="15.75" customHeight="1">
      <c r="H307" s="1"/>
    </row>
    <row r="308" ht="15.75" customHeight="1">
      <c r="H308" s="1"/>
    </row>
    <row r="309" ht="15.75" customHeight="1">
      <c r="H309" s="1"/>
    </row>
    <row r="310" ht="15.75" customHeight="1">
      <c r="H310" s="1"/>
    </row>
    <row r="311" ht="15.75" customHeight="1">
      <c r="H311" s="1"/>
    </row>
    <row r="312" ht="15.75" customHeight="1">
      <c r="H312" s="1"/>
    </row>
    <row r="313" ht="15.75" customHeight="1">
      <c r="H313" s="1"/>
    </row>
    <row r="314" ht="15.75" customHeight="1">
      <c r="H314" s="1"/>
    </row>
    <row r="315" ht="15.75" customHeight="1">
      <c r="H315" s="1"/>
    </row>
    <row r="316" ht="15.75" customHeight="1">
      <c r="H316" s="1"/>
    </row>
    <row r="317" ht="15.75" customHeight="1">
      <c r="H317" s="1"/>
    </row>
    <row r="318" ht="15.75" customHeight="1">
      <c r="H318" s="1"/>
    </row>
    <row r="319" ht="15.75" customHeight="1">
      <c r="H319" s="1"/>
    </row>
    <row r="320" ht="15.75" customHeight="1">
      <c r="H320" s="1"/>
    </row>
    <row r="321" ht="15.75" customHeight="1">
      <c r="H321" s="1"/>
    </row>
    <row r="322" ht="15.75" customHeight="1">
      <c r="H322" s="1"/>
    </row>
    <row r="323" ht="15.75" customHeight="1">
      <c r="H323" s="1"/>
    </row>
    <row r="324" ht="15.75" customHeight="1">
      <c r="H324" s="1"/>
    </row>
    <row r="325" ht="15.75" customHeight="1">
      <c r="H325" s="1"/>
    </row>
    <row r="326" ht="15.75" customHeight="1">
      <c r="H326" s="1"/>
    </row>
    <row r="327" ht="15.75" customHeight="1">
      <c r="H327" s="1"/>
    </row>
    <row r="328" ht="15.75" customHeight="1">
      <c r="H328" s="1"/>
    </row>
    <row r="329" ht="15.75" customHeight="1">
      <c r="H329" s="1"/>
    </row>
    <row r="330" ht="15.75" customHeight="1">
      <c r="H330" s="1"/>
    </row>
    <row r="331" ht="15.75" customHeight="1">
      <c r="H331" s="1"/>
    </row>
    <row r="332" ht="15.75" customHeight="1">
      <c r="H332" s="1"/>
    </row>
    <row r="333" ht="15.75" customHeight="1">
      <c r="H333" s="1"/>
    </row>
    <row r="334" ht="15.75" customHeight="1">
      <c r="H334" s="1"/>
    </row>
    <row r="335" ht="15.75" customHeight="1">
      <c r="H335" s="1"/>
    </row>
    <row r="336" ht="15.75" customHeight="1">
      <c r="H336" s="1"/>
    </row>
    <row r="337" ht="15.75" customHeight="1">
      <c r="H337" s="1"/>
    </row>
    <row r="338" ht="15.75" customHeight="1">
      <c r="H338" s="1"/>
    </row>
    <row r="339" ht="15.75" customHeight="1">
      <c r="H339" s="1"/>
    </row>
    <row r="340" ht="15.75" customHeight="1">
      <c r="H340" s="1"/>
    </row>
    <row r="341" ht="15.75" customHeight="1">
      <c r="H341" s="1"/>
    </row>
    <row r="342" ht="15.75" customHeight="1">
      <c r="H342" s="1"/>
    </row>
    <row r="343" ht="15.75" customHeight="1">
      <c r="H343" s="1"/>
    </row>
    <row r="344" ht="15.75" customHeight="1">
      <c r="H344" s="1"/>
    </row>
    <row r="345" ht="15.75" customHeight="1">
      <c r="H345" s="1"/>
    </row>
    <row r="346" ht="15.75" customHeight="1">
      <c r="H346" s="1"/>
    </row>
    <row r="347" ht="15.75" customHeight="1">
      <c r="H347" s="1"/>
    </row>
    <row r="348" ht="15.75" customHeight="1">
      <c r="H348" s="1"/>
    </row>
    <row r="349" ht="15.75" customHeight="1">
      <c r="H349" s="1"/>
    </row>
    <row r="350" ht="15.75" customHeight="1">
      <c r="H350" s="1"/>
    </row>
    <row r="351" ht="15.75" customHeight="1">
      <c r="H351" s="1"/>
    </row>
    <row r="352" ht="15.75" customHeight="1">
      <c r="H352" s="1"/>
    </row>
    <row r="353" ht="15.75" customHeight="1">
      <c r="H353" s="1"/>
    </row>
    <row r="354" ht="15.75" customHeight="1">
      <c r="H354" s="1"/>
    </row>
    <row r="355" ht="15.75" customHeight="1">
      <c r="H355" s="1"/>
    </row>
    <row r="356" ht="15.75" customHeight="1">
      <c r="H356" s="1"/>
    </row>
    <row r="357" ht="15.75" customHeight="1">
      <c r="H357" s="1"/>
    </row>
    <row r="358" ht="15.75" customHeight="1">
      <c r="H358" s="1"/>
    </row>
    <row r="359" ht="15.75" customHeight="1">
      <c r="H359" s="1"/>
    </row>
    <row r="360" ht="15.75" customHeight="1">
      <c r="H360" s="1"/>
    </row>
    <row r="361" ht="15.75" customHeight="1">
      <c r="H361" s="1"/>
    </row>
    <row r="362" ht="15.75" customHeight="1">
      <c r="H362" s="1"/>
    </row>
    <row r="363" ht="15.75" customHeight="1">
      <c r="H363" s="1"/>
    </row>
    <row r="364" ht="15.75" customHeight="1">
      <c r="H364" s="1"/>
    </row>
    <row r="365" ht="15.75" customHeight="1">
      <c r="H365" s="1"/>
    </row>
    <row r="366" ht="15.75" customHeight="1">
      <c r="H366" s="1"/>
    </row>
    <row r="367" ht="15.75" customHeight="1">
      <c r="H367" s="1"/>
    </row>
    <row r="368" ht="15.75" customHeight="1">
      <c r="H368" s="1"/>
    </row>
    <row r="369" ht="15.75" customHeight="1">
      <c r="H369" s="1"/>
    </row>
    <row r="370" ht="15.75" customHeight="1">
      <c r="H370" s="1"/>
    </row>
    <row r="371" ht="15.75" customHeight="1">
      <c r="H371" s="1"/>
    </row>
    <row r="372" ht="15.75" customHeight="1">
      <c r="H372" s="1"/>
    </row>
    <row r="373" ht="15.75" customHeight="1">
      <c r="H373" s="1"/>
    </row>
    <row r="374" ht="15.75" customHeight="1">
      <c r="H374" s="1"/>
    </row>
    <row r="375" ht="15.75" customHeight="1">
      <c r="H375" s="1"/>
    </row>
    <row r="376" ht="15.75" customHeight="1">
      <c r="H376" s="1"/>
    </row>
    <row r="377" ht="15.75" customHeight="1">
      <c r="H377" s="1"/>
    </row>
    <row r="378" ht="15.75" customHeight="1">
      <c r="H378" s="1"/>
    </row>
    <row r="379" ht="15.75" customHeight="1">
      <c r="H379" s="1"/>
    </row>
    <row r="380" ht="15.75" customHeight="1">
      <c r="H380" s="1"/>
    </row>
    <row r="381" ht="15.75" customHeight="1">
      <c r="H381" s="1"/>
    </row>
    <row r="382" ht="15.75" customHeight="1">
      <c r="H382" s="1"/>
    </row>
    <row r="383" ht="15.75" customHeight="1">
      <c r="H383" s="1"/>
    </row>
    <row r="384" ht="15.75" customHeight="1">
      <c r="H384" s="1"/>
    </row>
    <row r="385" ht="15.75" customHeight="1">
      <c r="H385" s="1"/>
    </row>
    <row r="386" ht="15.75" customHeight="1">
      <c r="H386" s="1"/>
    </row>
    <row r="387" ht="15.75" customHeight="1">
      <c r="H387" s="1"/>
    </row>
    <row r="388" ht="15.75" customHeight="1">
      <c r="H388" s="1"/>
    </row>
    <row r="389" ht="15.75" customHeight="1">
      <c r="H389" s="1"/>
    </row>
    <row r="390" ht="15.75" customHeight="1">
      <c r="H390" s="1"/>
    </row>
    <row r="391" ht="15.75" customHeight="1">
      <c r="H391" s="1"/>
    </row>
    <row r="392" ht="15.75" customHeight="1">
      <c r="H392" s="1"/>
    </row>
    <row r="393" ht="15.75" customHeight="1">
      <c r="H393" s="1"/>
    </row>
    <row r="394" ht="15.75" customHeight="1">
      <c r="H394" s="1"/>
    </row>
    <row r="395" ht="15.75" customHeight="1">
      <c r="H395" s="1"/>
    </row>
    <row r="396" ht="15.75" customHeight="1">
      <c r="H396" s="1"/>
    </row>
    <row r="397" ht="15.75" customHeight="1">
      <c r="H397" s="1"/>
    </row>
    <row r="398" ht="15.75" customHeight="1">
      <c r="H398" s="1"/>
    </row>
    <row r="399" ht="15.75" customHeight="1">
      <c r="H399" s="1"/>
    </row>
    <row r="400" ht="15.75" customHeight="1">
      <c r="H400" s="1"/>
    </row>
    <row r="401" ht="15.75" customHeight="1">
      <c r="H401" s="1"/>
    </row>
    <row r="402" ht="15.75" customHeight="1">
      <c r="H402" s="1"/>
    </row>
    <row r="403" ht="15.75" customHeight="1">
      <c r="H403" s="1"/>
    </row>
    <row r="404" ht="15.75" customHeight="1">
      <c r="H404" s="1"/>
    </row>
    <row r="405" ht="15.75" customHeight="1">
      <c r="H405" s="1"/>
    </row>
    <row r="406" ht="15.75" customHeight="1">
      <c r="H406" s="1"/>
    </row>
    <row r="407" ht="15.75" customHeight="1">
      <c r="H407" s="1"/>
    </row>
    <row r="408" ht="15.75" customHeight="1">
      <c r="H408" s="1"/>
    </row>
    <row r="409" ht="15.75" customHeight="1">
      <c r="H409" s="1"/>
    </row>
    <row r="410" ht="15.75" customHeight="1">
      <c r="H410" s="1"/>
    </row>
    <row r="411" ht="15.75" customHeight="1">
      <c r="H411" s="1"/>
    </row>
    <row r="412" ht="15.75" customHeight="1">
      <c r="H412" s="1"/>
    </row>
    <row r="413" ht="15.75" customHeight="1">
      <c r="H413" s="1"/>
    </row>
    <row r="414" ht="15.75" customHeight="1">
      <c r="H414" s="1"/>
    </row>
    <row r="415" ht="15.75" customHeight="1">
      <c r="H415" s="1"/>
    </row>
    <row r="416" ht="15.75" customHeight="1">
      <c r="H416" s="1"/>
    </row>
    <row r="417" ht="15.75" customHeight="1">
      <c r="H417" s="1"/>
    </row>
    <row r="418" ht="15.75" customHeight="1">
      <c r="H418" s="1"/>
    </row>
    <row r="419" ht="15.75" customHeight="1">
      <c r="H419" s="1"/>
    </row>
    <row r="420" ht="15.75" customHeight="1">
      <c r="H420" s="1"/>
    </row>
    <row r="421" ht="15.75" customHeight="1">
      <c r="H421" s="1"/>
    </row>
    <row r="422" ht="15.75" customHeight="1">
      <c r="H422" s="1"/>
    </row>
    <row r="423" ht="15.75" customHeight="1">
      <c r="H423" s="1"/>
    </row>
    <row r="424" ht="15.75" customHeight="1">
      <c r="H424" s="1"/>
    </row>
    <row r="425" ht="15.75" customHeight="1">
      <c r="H425" s="1"/>
    </row>
    <row r="426" ht="15.75" customHeight="1">
      <c r="H426" s="1"/>
    </row>
    <row r="427" ht="15.75" customHeight="1">
      <c r="H427" s="1"/>
    </row>
    <row r="428" ht="15.75" customHeight="1">
      <c r="H428" s="1"/>
    </row>
    <row r="429" ht="15.75" customHeight="1">
      <c r="H429" s="1"/>
    </row>
    <row r="430" ht="15.75" customHeight="1">
      <c r="H430" s="1"/>
    </row>
    <row r="431" ht="15.75" customHeight="1">
      <c r="H431" s="1"/>
    </row>
    <row r="432" ht="15.75" customHeight="1">
      <c r="H432" s="1"/>
    </row>
    <row r="433" ht="15.75" customHeight="1">
      <c r="H433" s="1"/>
    </row>
    <row r="434" ht="15.75" customHeight="1">
      <c r="H434" s="1"/>
    </row>
    <row r="435" ht="15.75" customHeight="1">
      <c r="H435" s="1"/>
    </row>
    <row r="436" ht="15.75" customHeight="1">
      <c r="H436" s="1"/>
    </row>
    <row r="437" ht="15.75" customHeight="1">
      <c r="H437" s="1"/>
    </row>
    <row r="438" ht="15.75" customHeight="1">
      <c r="H438" s="1"/>
    </row>
    <row r="439" ht="15.75" customHeight="1">
      <c r="H439" s="1"/>
    </row>
    <row r="440" ht="15.75" customHeight="1">
      <c r="H440" s="1"/>
    </row>
    <row r="441" ht="15.75" customHeight="1">
      <c r="H441" s="1"/>
    </row>
    <row r="442" ht="15.75" customHeight="1">
      <c r="H442" s="1"/>
    </row>
    <row r="443" ht="15.75" customHeight="1">
      <c r="H443" s="1"/>
    </row>
    <row r="444" ht="15.75" customHeight="1">
      <c r="H444" s="1"/>
    </row>
    <row r="445" ht="15.75" customHeight="1">
      <c r="H445" s="1"/>
    </row>
    <row r="446" ht="15.75" customHeight="1">
      <c r="H446" s="1"/>
    </row>
    <row r="447" ht="15.75" customHeight="1">
      <c r="H447" s="1"/>
    </row>
    <row r="448" ht="15.75" customHeight="1">
      <c r="H448" s="1"/>
    </row>
    <row r="449" ht="15.75" customHeight="1">
      <c r="H449" s="1"/>
    </row>
    <row r="450" ht="15.75" customHeight="1">
      <c r="H450" s="1"/>
    </row>
    <row r="451" ht="15.75" customHeight="1">
      <c r="H451" s="1"/>
    </row>
    <row r="452" ht="15.75" customHeight="1">
      <c r="H452" s="1"/>
    </row>
    <row r="453" ht="15.75" customHeight="1">
      <c r="H453" s="1"/>
    </row>
    <row r="454" ht="15.75" customHeight="1">
      <c r="H454" s="1"/>
    </row>
    <row r="455" ht="15.75" customHeight="1">
      <c r="H455" s="1"/>
    </row>
    <row r="456" ht="15.75" customHeight="1">
      <c r="H456" s="1"/>
    </row>
    <row r="457" ht="15.75" customHeight="1">
      <c r="H457" s="1"/>
    </row>
    <row r="458" ht="15.75" customHeight="1">
      <c r="H458" s="1"/>
    </row>
    <row r="459" ht="15.75" customHeight="1">
      <c r="H459" s="1"/>
    </row>
    <row r="460" ht="15.75" customHeight="1">
      <c r="H460" s="1"/>
    </row>
    <row r="461" ht="15.75" customHeight="1">
      <c r="H461" s="1"/>
    </row>
    <row r="462" ht="15.75" customHeight="1">
      <c r="H462" s="1"/>
    </row>
    <row r="463" ht="15.75" customHeight="1">
      <c r="H463" s="1"/>
    </row>
    <row r="464" ht="15.75" customHeight="1">
      <c r="H464" s="1"/>
    </row>
    <row r="465" ht="15.75" customHeight="1">
      <c r="H465" s="1"/>
    </row>
    <row r="466" ht="15.75" customHeight="1">
      <c r="H466" s="1"/>
    </row>
    <row r="467" ht="15.75" customHeight="1">
      <c r="H467" s="1"/>
    </row>
    <row r="468" ht="15.75" customHeight="1">
      <c r="H468" s="1"/>
    </row>
    <row r="469" ht="15.75" customHeight="1">
      <c r="H469" s="1"/>
    </row>
    <row r="470" ht="15.75" customHeight="1">
      <c r="H470" s="1"/>
    </row>
    <row r="471" ht="15.75" customHeight="1">
      <c r="H471" s="1"/>
    </row>
    <row r="472" ht="15.75" customHeight="1">
      <c r="H472" s="1"/>
    </row>
    <row r="473" ht="15.75" customHeight="1">
      <c r="H473" s="1"/>
    </row>
    <row r="474" ht="15.75" customHeight="1">
      <c r="H474" s="1"/>
    </row>
    <row r="475" ht="15.75" customHeight="1">
      <c r="H475" s="1"/>
    </row>
    <row r="476" ht="15.75" customHeight="1">
      <c r="H476" s="1"/>
    </row>
    <row r="477" ht="15.75" customHeight="1">
      <c r="H477" s="1"/>
    </row>
    <row r="478" ht="15.75" customHeight="1">
      <c r="H478" s="1"/>
    </row>
    <row r="479" ht="15.75" customHeight="1">
      <c r="H479" s="1"/>
    </row>
    <row r="480" ht="15.75" customHeight="1">
      <c r="H480" s="1"/>
    </row>
    <row r="481" ht="15.75" customHeight="1">
      <c r="H481" s="1"/>
    </row>
    <row r="482" ht="15.75" customHeight="1">
      <c r="H482" s="1"/>
    </row>
    <row r="483" ht="15.75" customHeight="1">
      <c r="H483" s="1"/>
    </row>
    <row r="484" ht="15.75" customHeight="1">
      <c r="H484" s="1"/>
    </row>
    <row r="485" ht="15.75" customHeight="1">
      <c r="H485" s="1"/>
    </row>
    <row r="486" ht="15.75" customHeight="1">
      <c r="H486" s="1"/>
    </row>
    <row r="487" ht="15.75" customHeight="1">
      <c r="H487" s="1"/>
    </row>
    <row r="488" ht="15.75" customHeight="1">
      <c r="H488" s="1"/>
    </row>
    <row r="489" ht="15.75" customHeight="1">
      <c r="H489" s="1"/>
    </row>
    <row r="490" ht="15.75" customHeight="1">
      <c r="H490" s="1"/>
    </row>
    <row r="491" ht="15.75" customHeight="1">
      <c r="H491" s="1"/>
    </row>
    <row r="492" ht="15.75" customHeight="1">
      <c r="H492" s="1"/>
    </row>
    <row r="493" ht="15.75" customHeight="1">
      <c r="H493" s="1"/>
    </row>
    <row r="494" ht="15.75" customHeight="1">
      <c r="H494" s="1"/>
    </row>
    <row r="495" ht="15.75" customHeight="1">
      <c r="H495" s="1"/>
    </row>
    <row r="496" ht="15.75" customHeight="1">
      <c r="H496" s="1"/>
    </row>
    <row r="497" ht="15.75" customHeight="1">
      <c r="H497" s="1"/>
    </row>
    <row r="498" ht="15.75" customHeight="1">
      <c r="H498" s="1"/>
    </row>
    <row r="499" ht="15.75" customHeight="1">
      <c r="H499" s="1"/>
    </row>
    <row r="500" ht="15.75" customHeight="1">
      <c r="H500" s="1"/>
    </row>
    <row r="501" ht="15.75" customHeight="1">
      <c r="H501" s="1"/>
    </row>
    <row r="502" ht="15.75" customHeight="1">
      <c r="H502" s="1"/>
    </row>
    <row r="503" ht="15.75" customHeight="1">
      <c r="H503" s="1"/>
    </row>
    <row r="504" ht="15.75" customHeight="1">
      <c r="H504" s="1"/>
    </row>
    <row r="505" ht="15.75" customHeight="1">
      <c r="H505" s="1"/>
    </row>
    <row r="506" ht="15.75" customHeight="1">
      <c r="H506" s="1"/>
    </row>
    <row r="507" ht="15.75" customHeight="1">
      <c r="H507" s="1"/>
    </row>
    <row r="508" ht="15.75" customHeight="1">
      <c r="H508" s="1"/>
    </row>
    <row r="509" ht="15.75" customHeight="1">
      <c r="H509" s="1"/>
    </row>
    <row r="510" ht="15.75" customHeight="1">
      <c r="H510" s="1"/>
    </row>
    <row r="511" ht="15.75" customHeight="1">
      <c r="H511" s="1"/>
    </row>
    <row r="512" ht="15.75" customHeight="1">
      <c r="H512" s="1"/>
    </row>
    <row r="513" ht="15.75" customHeight="1">
      <c r="H513" s="1"/>
    </row>
    <row r="514" ht="15.75" customHeight="1">
      <c r="H514" s="1"/>
    </row>
    <row r="515" ht="15.75" customHeight="1">
      <c r="H515" s="1"/>
    </row>
    <row r="516" ht="15.75" customHeight="1">
      <c r="H516" s="1"/>
    </row>
    <row r="517" ht="15.75" customHeight="1">
      <c r="H517" s="1"/>
    </row>
    <row r="518" ht="15.75" customHeight="1">
      <c r="H518" s="1"/>
    </row>
    <row r="519" ht="15.75" customHeight="1">
      <c r="H519" s="1"/>
    </row>
    <row r="520" ht="15.75" customHeight="1">
      <c r="H520" s="1"/>
    </row>
    <row r="521" ht="15.75" customHeight="1">
      <c r="H521" s="1"/>
    </row>
    <row r="522" ht="15.75" customHeight="1">
      <c r="H522" s="1"/>
    </row>
    <row r="523" ht="15.75" customHeight="1">
      <c r="H523" s="1"/>
    </row>
    <row r="524" ht="15.75" customHeight="1">
      <c r="H524" s="1"/>
    </row>
    <row r="525" ht="15.75" customHeight="1">
      <c r="H525" s="1"/>
    </row>
    <row r="526" ht="15.75" customHeight="1">
      <c r="H526" s="1"/>
    </row>
    <row r="527" ht="15.75" customHeight="1">
      <c r="H527" s="1"/>
    </row>
    <row r="528" ht="15.75" customHeight="1">
      <c r="H528" s="1"/>
    </row>
    <row r="529" ht="15.75" customHeight="1">
      <c r="H529" s="1"/>
    </row>
    <row r="530" ht="15.75" customHeight="1">
      <c r="H530" s="1"/>
    </row>
    <row r="531" ht="15.75" customHeight="1">
      <c r="H531" s="1"/>
    </row>
    <row r="532" ht="15.75" customHeight="1">
      <c r="H532" s="1"/>
    </row>
    <row r="533" ht="15.75" customHeight="1">
      <c r="H533" s="1"/>
    </row>
    <row r="534" ht="15.75" customHeight="1">
      <c r="H534" s="1"/>
    </row>
    <row r="535" ht="15.75" customHeight="1">
      <c r="H535" s="1"/>
    </row>
    <row r="536" ht="15.75" customHeight="1">
      <c r="H536" s="1"/>
    </row>
    <row r="537" ht="15.75" customHeight="1">
      <c r="H537" s="1"/>
    </row>
    <row r="538" ht="15.75" customHeight="1">
      <c r="H538" s="1"/>
    </row>
    <row r="539" ht="15.75" customHeight="1">
      <c r="H539" s="1"/>
    </row>
    <row r="540" ht="15.75" customHeight="1">
      <c r="H540" s="1"/>
    </row>
    <row r="541" ht="15.75" customHeight="1">
      <c r="H541" s="1"/>
    </row>
    <row r="542" ht="15.75" customHeight="1">
      <c r="H542" s="1"/>
    </row>
    <row r="543" ht="15.75" customHeight="1">
      <c r="H543" s="1"/>
    </row>
    <row r="544" ht="15.75" customHeight="1">
      <c r="H544" s="1"/>
    </row>
    <row r="545" ht="15.75" customHeight="1">
      <c r="H545" s="1"/>
    </row>
    <row r="546" ht="15.75" customHeight="1">
      <c r="H546" s="1"/>
    </row>
    <row r="547" ht="15.75" customHeight="1">
      <c r="H547" s="1"/>
    </row>
    <row r="548" ht="15.75" customHeight="1">
      <c r="H548" s="1"/>
    </row>
    <row r="549" ht="15.75" customHeight="1">
      <c r="H549" s="1"/>
    </row>
    <row r="550" ht="15.75" customHeight="1">
      <c r="H550" s="1"/>
    </row>
    <row r="551" ht="15.75" customHeight="1">
      <c r="H551" s="1"/>
    </row>
    <row r="552" ht="15.75" customHeight="1">
      <c r="H552" s="1"/>
    </row>
    <row r="553" ht="15.75" customHeight="1">
      <c r="H553" s="1"/>
    </row>
    <row r="554" ht="15.75" customHeight="1">
      <c r="H554" s="1"/>
    </row>
    <row r="555" ht="15.75" customHeight="1">
      <c r="H555" s="1"/>
    </row>
    <row r="556" ht="15.75" customHeight="1">
      <c r="H556" s="1"/>
    </row>
    <row r="557" ht="15.75" customHeight="1">
      <c r="H557" s="1"/>
    </row>
    <row r="558" ht="15.75" customHeight="1">
      <c r="H558" s="1"/>
    </row>
    <row r="559" ht="15.75" customHeight="1">
      <c r="H559" s="1"/>
    </row>
    <row r="560" ht="15.75" customHeight="1">
      <c r="H560" s="1"/>
    </row>
    <row r="561" ht="15.75" customHeight="1">
      <c r="H561" s="1"/>
    </row>
    <row r="562" ht="15.75" customHeight="1">
      <c r="H562" s="1"/>
    </row>
    <row r="563" ht="15.75" customHeight="1">
      <c r="H563" s="1"/>
    </row>
    <row r="564" ht="15.75" customHeight="1">
      <c r="H564" s="1"/>
    </row>
    <row r="565" ht="15.75" customHeight="1">
      <c r="H565" s="1"/>
    </row>
    <row r="566" ht="15.75" customHeight="1">
      <c r="H566" s="1"/>
    </row>
    <row r="567" ht="15.75" customHeight="1">
      <c r="H567" s="1"/>
    </row>
    <row r="568" ht="15.75" customHeight="1">
      <c r="H568" s="1"/>
    </row>
    <row r="569" ht="15.75" customHeight="1">
      <c r="H569" s="1"/>
    </row>
    <row r="570" ht="15.75" customHeight="1">
      <c r="H570" s="1"/>
    </row>
    <row r="571" ht="15.75" customHeight="1">
      <c r="H571" s="1"/>
    </row>
    <row r="572" ht="15.75" customHeight="1">
      <c r="H572" s="1"/>
    </row>
    <row r="573" ht="15.75" customHeight="1">
      <c r="H573" s="1"/>
    </row>
    <row r="574" ht="15.75" customHeight="1">
      <c r="H574" s="1"/>
    </row>
    <row r="575" ht="15.75" customHeight="1">
      <c r="H575" s="1"/>
    </row>
    <row r="576" ht="15.75" customHeight="1">
      <c r="H576" s="1"/>
    </row>
    <row r="577" ht="15.75" customHeight="1">
      <c r="H577" s="1"/>
    </row>
    <row r="578" ht="15.75" customHeight="1">
      <c r="H578" s="1"/>
    </row>
    <row r="579" ht="15.75" customHeight="1">
      <c r="H579" s="1"/>
    </row>
    <row r="580" ht="15.75" customHeight="1">
      <c r="H580" s="1"/>
    </row>
    <row r="581" ht="15.75" customHeight="1">
      <c r="H581" s="1"/>
    </row>
    <row r="582" ht="15.75" customHeight="1">
      <c r="H582" s="1"/>
    </row>
    <row r="583" ht="15.75" customHeight="1">
      <c r="H583" s="1"/>
    </row>
    <row r="584" ht="15.75" customHeight="1">
      <c r="H584" s="1"/>
    </row>
    <row r="585" ht="15.75" customHeight="1">
      <c r="H585" s="1"/>
    </row>
    <row r="586" ht="15.75" customHeight="1">
      <c r="H586" s="1"/>
    </row>
    <row r="587" ht="15.75" customHeight="1">
      <c r="H587" s="1"/>
    </row>
    <row r="588" ht="15.75" customHeight="1">
      <c r="H588" s="1"/>
    </row>
    <row r="589" ht="15.75" customHeight="1">
      <c r="H589" s="1"/>
    </row>
    <row r="590" ht="15.75" customHeight="1">
      <c r="H590" s="1"/>
    </row>
    <row r="591" ht="15.75" customHeight="1">
      <c r="H591" s="1"/>
    </row>
    <row r="592" ht="15.75" customHeight="1">
      <c r="H592" s="1"/>
    </row>
    <row r="593" ht="15.75" customHeight="1">
      <c r="H593" s="1"/>
    </row>
    <row r="594" ht="15.75" customHeight="1">
      <c r="H594" s="1"/>
    </row>
    <row r="595" ht="15.75" customHeight="1">
      <c r="H595" s="1"/>
    </row>
    <row r="596" ht="15.75" customHeight="1">
      <c r="H596" s="1"/>
    </row>
    <row r="597" ht="15.75" customHeight="1">
      <c r="H597" s="1"/>
    </row>
    <row r="598" ht="15.75" customHeight="1">
      <c r="H598" s="1"/>
    </row>
    <row r="599" ht="15.75" customHeight="1">
      <c r="H599" s="1"/>
    </row>
    <row r="600" ht="15.75" customHeight="1">
      <c r="H600" s="1"/>
    </row>
    <row r="601" ht="15.75" customHeight="1">
      <c r="H601" s="1"/>
    </row>
    <row r="602" ht="15.75" customHeight="1">
      <c r="H602" s="1"/>
    </row>
    <row r="603" ht="15.75" customHeight="1">
      <c r="H603" s="1"/>
    </row>
    <row r="604" ht="15.75" customHeight="1">
      <c r="H604" s="1"/>
    </row>
    <row r="605" ht="15.75" customHeight="1">
      <c r="H605" s="1"/>
    </row>
    <row r="606" ht="15.75" customHeight="1">
      <c r="H606" s="1"/>
    </row>
    <row r="607" ht="15.75" customHeight="1">
      <c r="H607" s="1"/>
    </row>
    <row r="608" ht="15.75" customHeight="1">
      <c r="H608" s="1"/>
    </row>
    <row r="609" ht="15.75" customHeight="1">
      <c r="H609" s="1"/>
    </row>
    <row r="610" ht="15.75" customHeight="1">
      <c r="H610" s="1"/>
    </row>
    <row r="611" ht="15.75" customHeight="1">
      <c r="H611" s="1"/>
    </row>
    <row r="612" ht="15.75" customHeight="1">
      <c r="H612" s="1"/>
    </row>
    <row r="613" ht="15.75" customHeight="1">
      <c r="H613" s="1"/>
    </row>
    <row r="614" ht="15.75" customHeight="1">
      <c r="H614" s="1"/>
    </row>
    <row r="615" ht="15.75" customHeight="1">
      <c r="H615" s="1"/>
    </row>
    <row r="616" ht="15.75" customHeight="1">
      <c r="H616" s="1"/>
    </row>
    <row r="617" ht="15.75" customHeight="1">
      <c r="H617" s="1"/>
    </row>
    <row r="618" ht="15.75" customHeight="1">
      <c r="H618" s="1"/>
    </row>
    <row r="619" ht="15.75" customHeight="1">
      <c r="H619" s="1"/>
    </row>
    <row r="620" ht="15.75" customHeight="1">
      <c r="H620" s="1"/>
    </row>
    <row r="621" ht="15.75" customHeight="1">
      <c r="H621" s="1"/>
    </row>
    <row r="622" ht="15.75" customHeight="1">
      <c r="H622" s="1"/>
    </row>
    <row r="623" ht="15.75" customHeight="1">
      <c r="H623" s="1"/>
    </row>
    <row r="624" ht="15.75" customHeight="1">
      <c r="H624" s="1"/>
    </row>
    <row r="625" ht="15.75" customHeight="1">
      <c r="H625" s="1"/>
    </row>
    <row r="626" ht="15.75" customHeight="1">
      <c r="H626" s="1"/>
    </row>
    <row r="627" ht="15.75" customHeight="1">
      <c r="H627" s="1"/>
    </row>
    <row r="628" ht="15.75" customHeight="1">
      <c r="H628" s="1"/>
    </row>
    <row r="629" ht="15.75" customHeight="1">
      <c r="H629" s="1"/>
    </row>
    <row r="630" ht="15.75" customHeight="1">
      <c r="H630" s="1"/>
    </row>
    <row r="631" ht="15.75" customHeight="1">
      <c r="H631" s="1"/>
    </row>
    <row r="632" ht="15.75" customHeight="1">
      <c r="H632" s="1"/>
    </row>
    <row r="633" ht="15.75" customHeight="1">
      <c r="H633" s="1"/>
    </row>
    <row r="634" ht="15.75" customHeight="1">
      <c r="H634" s="1"/>
    </row>
    <row r="635" ht="15.75" customHeight="1">
      <c r="H635" s="1"/>
    </row>
    <row r="636" ht="15.75" customHeight="1">
      <c r="H636" s="1"/>
    </row>
    <row r="637" ht="15.75" customHeight="1">
      <c r="H637" s="1"/>
    </row>
    <row r="638" ht="15.75" customHeight="1">
      <c r="H638" s="1"/>
    </row>
    <row r="639" ht="15.75" customHeight="1">
      <c r="H639" s="1"/>
    </row>
    <row r="640" ht="15.75" customHeight="1">
      <c r="H640" s="1"/>
    </row>
    <row r="641" ht="15.75" customHeight="1">
      <c r="H641" s="1"/>
    </row>
    <row r="642" ht="15.75" customHeight="1">
      <c r="H642" s="1"/>
    </row>
    <row r="643" ht="15.75" customHeight="1">
      <c r="H643" s="1"/>
    </row>
    <row r="644" ht="15.75" customHeight="1">
      <c r="H644" s="1"/>
    </row>
    <row r="645" ht="15.75" customHeight="1">
      <c r="H645" s="1"/>
    </row>
    <row r="646" ht="15.75" customHeight="1">
      <c r="H646" s="1"/>
    </row>
    <row r="647" ht="15.75" customHeight="1">
      <c r="H647" s="1"/>
    </row>
    <row r="648" ht="15.75" customHeight="1">
      <c r="H648" s="1"/>
    </row>
    <row r="649" ht="15.75" customHeight="1">
      <c r="H649" s="1"/>
    </row>
    <row r="650" ht="15.75" customHeight="1">
      <c r="H650" s="1"/>
    </row>
    <row r="651" ht="15.75" customHeight="1">
      <c r="H651" s="1"/>
    </row>
    <row r="652" ht="15.75" customHeight="1">
      <c r="H652" s="1"/>
    </row>
    <row r="653" ht="15.75" customHeight="1">
      <c r="H653" s="1"/>
    </row>
    <row r="654" ht="15.75" customHeight="1">
      <c r="H654" s="1"/>
    </row>
    <row r="655" ht="15.75" customHeight="1">
      <c r="H655" s="1"/>
    </row>
    <row r="656" ht="15.75" customHeight="1">
      <c r="H656" s="1"/>
    </row>
    <row r="657" ht="15.75" customHeight="1">
      <c r="H657" s="1"/>
    </row>
    <row r="658" ht="15.75" customHeight="1">
      <c r="H658" s="1"/>
    </row>
    <row r="659" ht="15.75" customHeight="1">
      <c r="H659" s="1"/>
    </row>
    <row r="660" ht="15.75" customHeight="1">
      <c r="H660" s="1"/>
    </row>
    <row r="661" ht="15.75" customHeight="1">
      <c r="H661" s="1"/>
    </row>
    <row r="662" ht="15.75" customHeight="1">
      <c r="H662" s="1"/>
    </row>
    <row r="663" ht="15.75" customHeight="1">
      <c r="H663" s="1"/>
    </row>
    <row r="664" ht="15.75" customHeight="1">
      <c r="H664" s="1"/>
    </row>
    <row r="665" ht="15.75" customHeight="1">
      <c r="H665" s="1"/>
    </row>
    <row r="666" ht="15.75" customHeight="1">
      <c r="H666" s="1"/>
    </row>
    <row r="667" ht="15.75" customHeight="1">
      <c r="H667" s="1"/>
    </row>
    <row r="668" ht="15.75" customHeight="1">
      <c r="H668" s="1"/>
    </row>
    <row r="669" ht="15.75" customHeight="1">
      <c r="H669" s="1"/>
    </row>
    <row r="670" ht="15.75" customHeight="1">
      <c r="H670" s="1"/>
    </row>
    <row r="671" ht="15.75" customHeight="1">
      <c r="H671" s="1"/>
    </row>
    <row r="672" ht="15.75" customHeight="1">
      <c r="H672" s="1"/>
    </row>
    <row r="673" ht="15.75" customHeight="1">
      <c r="H673" s="1"/>
    </row>
    <row r="674" ht="15.75" customHeight="1">
      <c r="H674" s="1"/>
    </row>
    <row r="675" ht="15.75" customHeight="1">
      <c r="H675" s="1"/>
    </row>
    <row r="676" ht="15.75" customHeight="1">
      <c r="H676" s="1"/>
    </row>
    <row r="677" ht="15.75" customHeight="1">
      <c r="H677" s="1"/>
    </row>
    <row r="678" ht="15.75" customHeight="1">
      <c r="H678" s="1"/>
    </row>
    <row r="679" ht="15.75" customHeight="1">
      <c r="H679" s="1"/>
    </row>
    <row r="680" ht="15.75" customHeight="1">
      <c r="H680" s="1"/>
    </row>
    <row r="681" ht="15.75" customHeight="1">
      <c r="H681" s="1"/>
    </row>
    <row r="682" ht="15.75" customHeight="1">
      <c r="H682" s="1"/>
    </row>
    <row r="683" ht="15.75" customHeight="1">
      <c r="H683" s="1"/>
    </row>
    <row r="684" ht="15.75" customHeight="1">
      <c r="H684" s="1"/>
    </row>
    <row r="685" ht="15.75" customHeight="1">
      <c r="H685" s="1"/>
    </row>
    <row r="686" ht="15.75" customHeight="1">
      <c r="H686" s="1"/>
    </row>
    <row r="687" ht="15.75" customHeight="1">
      <c r="H687" s="1"/>
    </row>
    <row r="688" ht="15.75" customHeight="1">
      <c r="H688" s="1"/>
    </row>
    <row r="689" ht="15.75" customHeight="1">
      <c r="H689" s="1"/>
    </row>
    <row r="690" ht="15.75" customHeight="1">
      <c r="H690" s="1"/>
    </row>
    <row r="691" ht="15.75" customHeight="1">
      <c r="H691" s="1"/>
    </row>
    <row r="692" ht="15.75" customHeight="1">
      <c r="H692" s="1"/>
    </row>
    <row r="693" ht="15.75" customHeight="1">
      <c r="H693" s="1"/>
    </row>
    <row r="694" ht="15.75" customHeight="1">
      <c r="H694" s="1"/>
    </row>
    <row r="695" ht="15.75" customHeight="1">
      <c r="H695" s="1"/>
    </row>
    <row r="696" ht="15.75" customHeight="1">
      <c r="H696" s="1"/>
    </row>
    <row r="697" ht="15.75" customHeight="1">
      <c r="H697" s="1"/>
    </row>
    <row r="698" ht="15.75" customHeight="1">
      <c r="H698" s="1"/>
    </row>
    <row r="699" ht="15.75" customHeight="1">
      <c r="H699" s="1"/>
    </row>
    <row r="700" ht="15.75" customHeight="1">
      <c r="H700" s="1"/>
    </row>
    <row r="701" ht="15.75" customHeight="1">
      <c r="H701" s="1"/>
    </row>
    <row r="702" ht="15.75" customHeight="1">
      <c r="H702" s="1"/>
    </row>
    <row r="703" ht="15.75" customHeight="1">
      <c r="H703" s="1"/>
    </row>
    <row r="704" ht="15.75" customHeight="1">
      <c r="H704" s="1"/>
    </row>
    <row r="705" ht="15.75" customHeight="1">
      <c r="H705" s="1"/>
    </row>
    <row r="706" ht="15.75" customHeight="1">
      <c r="H706" s="1"/>
    </row>
    <row r="707" ht="15.75" customHeight="1">
      <c r="H707" s="1"/>
    </row>
    <row r="708" ht="15.75" customHeight="1">
      <c r="H708" s="1"/>
    </row>
    <row r="709" ht="15.75" customHeight="1">
      <c r="H709" s="1"/>
    </row>
    <row r="710" ht="15.75" customHeight="1">
      <c r="H710" s="1"/>
    </row>
    <row r="711" ht="15.75" customHeight="1">
      <c r="H711" s="1"/>
    </row>
    <row r="712" ht="15.75" customHeight="1">
      <c r="H712" s="1"/>
    </row>
    <row r="713" ht="15.75" customHeight="1">
      <c r="H713" s="1"/>
    </row>
    <row r="714" ht="15.75" customHeight="1">
      <c r="H714" s="1"/>
    </row>
    <row r="715" ht="15.75" customHeight="1">
      <c r="H715" s="1"/>
    </row>
    <row r="716" ht="15.75" customHeight="1">
      <c r="H716" s="1"/>
    </row>
    <row r="717" ht="15.75" customHeight="1">
      <c r="H717" s="1"/>
    </row>
    <row r="718" ht="15.75" customHeight="1">
      <c r="H718" s="1"/>
    </row>
    <row r="719" ht="15.75" customHeight="1">
      <c r="H719" s="1"/>
    </row>
    <row r="720" ht="15.75" customHeight="1">
      <c r="H720" s="1"/>
    </row>
    <row r="721" ht="15.75" customHeight="1">
      <c r="H721" s="1"/>
    </row>
    <row r="722" ht="15.75" customHeight="1">
      <c r="H722" s="1"/>
    </row>
    <row r="723" ht="15.75" customHeight="1">
      <c r="H723" s="1"/>
    </row>
    <row r="724" ht="15.75" customHeight="1">
      <c r="H724" s="1"/>
    </row>
    <row r="725" ht="15.75" customHeight="1">
      <c r="H725" s="1"/>
    </row>
    <row r="726" ht="15.75" customHeight="1">
      <c r="H726" s="1"/>
    </row>
    <row r="727" ht="15.75" customHeight="1">
      <c r="H727" s="1"/>
    </row>
    <row r="728" ht="15.75" customHeight="1">
      <c r="H728" s="1"/>
    </row>
    <row r="729" ht="15.75" customHeight="1">
      <c r="H729" s="1"/>
    </row>
    <row r="730" ht="15.75" customHeight="1">
      <c r="H730" s="1"/>
    </row>
    <row r="731" ht="15.75" customHeight="1">
      <c r="H731" s="1"/>
    </row>
    <row r="732" ht="15.75" customHeight="1">
      <c r="H732" s="1"/>
    </row>
    <row r="733" ht="15.75" customHeight="1">
      <c r="H733" s="1"/>
    </row>
    <row r="734" ht="15.75" customHeight="1">
      <c r="H734" s="1"/>
    </row>
    <row r="735" ht="15.75" customHeight="1">
      <c r="H735" s="1"/>
    </row>
    <row r="736" ht="15.75" customHeight="1">
      <c r="H736" s="1"/>
    </row>
    <row r="737" ht="15.75" customHeight="1">
      <c r="H737" s="1"/>
    </row>
    <row r="738" ht="15.75" customHeight="1">
      <c r="H738" s="1"/>
    </row>
    <row r="739" ht="15.75" customHeight="1">
      <c r="H739" s="1"/>
    </row>
    <row r="740" ht="15.75" customHeight="1">
      <c r="H740" s="1"/>
    </row>
    <row r="741" ht="15.75" customHeight="1">
      <c r="H741" s="1"/>
    </row>
    <row r="742" ht="15.75" customHeight="1">
      <c r="H742" s="1"/>
    </row>
    <row r="743" ht="15.75" customHeight="1">
      <c r="H743" s="1"/>
    </row>
    <row r="744" ht="15.75" customHeight="1">
      <c r="H744" s="1"/>
    </row>
    <row r="745" ht="15.75" customHeight="1">
      <c r="H745" s="1"/>
    </row>
    <row r="746" ht="15.75" customHeight="1">
      <c r="H746" s="1"/>
    </row>
    <row r="747" ht="15.75" customHeight="1">
      <c r="H747" s="1"/>
    </row>
    <row r="748" ht="15.75" customHeight="1">
      <c r="H748" s="1"/>
    </row>
    <row r="749" ht="15.75" customHeight="1">
      <c r="H749" s="1"/>
    </row>
    <row r="750" ht="15.75" customHeight="1">
      <c r="H750" s="1"/>
    </row>
    <row r="751" ht="15.75" customHeight="1">
      <c r="H751" s="1"/>
    </row>
    <row r="752" ht="15.75" customHeight="1">
      <c r="H752" s="1"/>
    </row>
    <row r="753" ht="15.75" customHeight="1">
      <c r="H753" s="1"/>
    </row>
    <row r="754" ht="15.75" customHeight="1">
      <c r="H754" s="1"/>
    </row>
    <row r="755" ht="15.75" customHeight="1">
      <c r="H755" s="1"/>
    </row>
    <row r="756" ht="15.75" customHeight="1">
      <c r="H756" s="1"/>
    </row>
    <row r="757" ht="15.75" customHeight="1">
      <c r="H757" s="1"/>
    </row>
    <row r="758" ht="15.75" customHeight="1">
      <c r="H758" s="1"/>
    </row>
    <row r="759" ht="15.75" customHeight="1">
      <c r="H759" s="1"/>
    </row>
    <row r="760" ht="15.75" customHeight="1">
      <c r="H760" s="1"/>
    </row>
    <row r="761" ht="15.75" customHeight="1">
      <c r="H761" s="1"/>
    </row>
    <row r="762" ht="15.75" customHeight="1">
      <c r="H762" s="1"/>
    </row>
    <row r="763" ht="15.75" customHeight="1">
      <c r="H763" s="1"/>
    </row>
    <row r="764" ht="15.75" customHeight="1">
      <c r="H764" s="1"/>
    </row>
    <row r="765" ht="15.75" customHeight="1">
      <c r="H765" s="1"/>
    </row>
    <row r="766" ht="15.75" customHeight="1">
      <c r="H766" s="1"/>
    </row>
    <row r="767" ht="15.75" customHeight="1">
      <c r="H767" s="1"/>
    </row>
    <row r="768" ht="15.75" customHeight="1">
      <c r="H768" s="1"/>
    </row>
    <row r="769" ht="15.75" customHeight="1">
      <c r="H769" s="1"/>
    </row>
    <row r="770" ht="15.75" customHeight="1">
      <c r="H770" s="1"/>
    </row>
    <row r="771" ht="15.75" customHeight="1">
      <c r="H771" s="1"/>
    </row>
    <row r="772" ht="15.75" customHeight="1">
      <c r="H772" s="1"/>
    </row>
    <row r="773" ht="15.75" customHeight="1">
      <c r="H773" s="1"/>
    </row>
    <row r="774" ht="15.75" customHeight="1">
      <c r="H774" s="1"/>
    </row>
    <row r="775" ht="15.75" customHeight="1">
      <c r="H775" s="1"/>
    </row>
    <row r="776" ht="15.75" customHeight="1">
      <c r="H776" s="1"/>
    </row>
    <row r="777" ht="15.75" customHeight="1">
      <c r="H777" s="1"/>
    </row>
    <row r="778" ht="15.75" customHeight="1">
      <c r="H778" s="1"/>
    </row>
    <row r="779" ht="15.75" customHeight="1">
      <c r="H779" s="1"/>
    </row>
    <row r="780" ht="15.75" customHeight="1">
      <c r="H780" s="1"/>
    </row>
    <row r="781" ht="15.75" customHeight="1">
      <c r="H781" s="1"/>
    </row>
    <row r="782" ht="15.75" customHeight="1">
      <c r="H782" s="1"/>
    </row>
    <row r="783" ht="15.75" customHeight="1">
      <c r="H783" s="1"/>
    </row>
    <row r="784" ht="15.75" customHeight="1">
      <c r="H784" s="1"/>
    </row>
    <row r="785" ht="15.75" customHeight="1">
      <c r="H785" s="1"/>
    </row>
    <row r="786" ht="15.75" customHeight="1">
      <c r="H786" s="1"/>
    </row>
    <row r="787" ht="15.75" customHeight="1">
      <c r="H787" s="1"/>
    </row>
    <row r="788" ht="15.75" customHeight="1">
      <c r="H788" s="1"/>
    </row>
    <row r="789" ht="15.75" customHeight="1">
      <c r="H789" s="1"/>
    </row>
    <row r="790" ht="15.75" customHeight="1">
      <c r="H790" s="1"/>
    </row>
    <row r="791" ht="15.75" customHeight="1">
      <c r="H791" s="1"/>
    </row>
    <row r="792" ht="15.75" customHeight="1">
      <c r="H792" s="1"/>
    </row>
    <row r="793" ht="15.75" customHeight="1">
      <c r="H793" s="1"/>
    </row>
    <row r="794" ht="15.75" customHeight="1">
      <c r="H794" s="1"/>
    </row>
    <row r="795" ht="15.75" customHeight="1">
      <c r="H795" s="1"/>
    </row>
    <row r="796" ht="15.75" customHeight="1">
      <c r="H796" s="1"/>
    </row>
    <row r="797" ht="15.75" customHeight="1">
      <c r="H797" s="1"/>
    </row>
    <row r="798" ht="15.75" customHeight="1">
      <c r="H798" s="1"/>
    </row>
    <row r="799" ht="15.75" customHeight="1">
      <c r="H799" s="1"/>
    </row>
    <row r="800" ht="15.75" customHeight="1">
      <c r="H800" s="1"/>
    </row>
    <row r="801" ht="15.75" customHeight="1">
      <c r="H801" s="1"/>
    </row>
    <row r="802" ht="15.75" customHeight="1">
      <c r="H802" s="1"/>
    </row>
    <row r="803" ht="15.75" customHeight="1">
      <c r="H803" s="1"/>
    </row>
    <row r="804" ht="15.75" customHeight="1">
      <c r="H804" s="1"/>
    </row>
    <row r="805" ht="15.75" customHeight="1">
      <c r="H805" s="1"/>
    </row>
    <row r="806" ht="15.75" customHeight="1">
      <c r="H806" s="1"/>
    </row>
    <row r="807" ht="15.75" customHeight="1">
      <c r="H807" s="1"/>
    </row>
    <row r="808" ht="15.75" customHeight="1">
      <c r="H808" s="1"/>
    </row>
    <row r="809" ht="15.75" customHeight="1">
      <c r="H809" s="1"/>
    </row>
    <row r="810" ht="15.75" customHeight="1">
      <c r="H810" s="1"/>
    </row>
    <row r="811" ht="15.75" customHeight="1">
      <c r="H811" s="1"/>
    </row>
    <row r="812" ht="15.75" customHeight="1">
      <c r="H812" s="1"/>
    </row>
    <row r="813" ht="15.75" customHeight="1">
      <c r="H813" s="1"/>
    </row>
    <row r="814" ht="15.75" customHeight="1">
      <c r="H814" s="1"/>
    </row>
    <row r="815" ht="15.75" customHeight="1">
      <c r="H815" s="1"/>
    </row>
    <row r="816" ht="15.75" customHeight="1">
      <c r="H816" s="1"/>
    </row>
    <row r="817" ht="15.75" customHeight="1">
      <c r="H817" s="1"/>
    </row>
    <row r="818" ht="15.75" customHeight="1">
      <c r="H818" s="1"/>
    </row>
    <row r="819" ht="15.75" customHeight="1">
      <c r="H819" s="1"/>
    </row>
    <row r="820" ht="15.75" customHeight="1">
      <c r="H820" s="1"/>
    </row>
    <row r="821" ht="15.75" customHeight="1">
      <c r="H821" s="1"/>
    </row>
    <row r="822" ht="15.75" customHeight="1">
      <c r="H822" s="1"/>
    </row>
    <row r="823" ht="15.75" customHeight="1">
      <c r="H823" s="1"/>
    </row>
    <row r="824" ht="15.75" customHeight="1">
      <c r="H824" s="1"/>
    </row>
    <row r="825" ht="15.75" customHeight="1">
      <c r="H825" s="1"/>
    </row>
    <row r="826" ht="15.75" customHeight="1">
      <c r="H826" s="1"/>
    </row>
    <row r="827" ht="15.75" customHeight="1">
      <c r="H827" s="1"/>
    </row>
    <row r="828" ht="15.75" customHeight="1">
      <c r="H828" s="1"/>
    </row>
    <row r="829" ht="15.75" customHeight="1">
      <c r="H829" s="1"/>
    </row>
    <row r="830" ht="15.75" customHeight="1">
      <c r="H830" s="1"/>
    </row>
    <row r="831" ht="15.75" customHeight="1">
      <c r="H831" s="1"/>
    </row>
    <row r="832" ht="15.75" customHeight="1">
      <c r="H832" s="1"/>
    </row>
    <row r="833" ht="15.75" customHeight="1">
      <c r="H833" s="1"/>
    </row>
    <row r="834" ht="15.75" customHeight="1">
      <c r="H834" s="1"/>
    </row>
    <row r="835" ht="15.75" customHeight="1">
      <c r="H835" s="1"/>
    </row>
    <row r="836" ht="15.75" customHeight="1">
      <c r="H836" s="1"/>
    </row>
    <row r="837" ht="15.75" customHeight="1">
      <c r="H837" s="1"/>
    </row>
    <row r="838" ht="15.75" customHeight="1">
      <c r="H838" s="1"/>
    </row>
    <row r="839" ht="15.75" customHeight="1">
      <c r="H839" s="1"/>
    </row>
    <row r="840" ht="15.75" customHeight="1">
      <c r="H840" s="1"/>
    </row>
    <row r="841" ht="15.75" customHeight="1">
      <c r="H841" s="1"/>
    </row>
    <row r="842" ht="15.75" customHeight="1">
      <c r="H842" s="1"/>
    </row>
    <row r="843" ht="15.75" customHeight="1">
      <c r="H843" s="1"/>
    </row>
    <row r="844" ht="15.75" customHeight="1">
      <c r="H844" s="1"/>
    </row>
    <row r="845" ht="15.75" customHeight="1">
      <c r="H845" s="1"/>
    </row>
    <row r="846" ht="15.75" customHeight="1">
      <c r="H846" s="1"/>
    </row>
    <row r="847" ht="15.75" customHeight="1">
      <c r="H847" s="1"/>
    </row>
    <row r="848" ht="15.75" customHeight="1">
      <c r="H848" s="1"/>
    </row>
    <row r="849" ht="15.75" customHeight="1">
      <c r="H849" s="1"/>
    </row>
    <row r="850" ht="15.75" customHeight="1">
      <c r="H850" s="1"/>
    </row>
    <row r="851" ht="15.75" customHeight="1">
      <c r="H851" s="1"/>
    </row>
    <row r="852" ht="15.75" customHeight="1">
      <c r="H852" s="1"/>
    </row>
    <row r="853" ht="15.75" customHeight="1">
      <c r="H853" s="1"/>
    </row>
    <row r="854" ht="15.75" customHeight="1">
      <c r="H854" s="1"/>
    </row>
    <row r="855" ht="15.75" customHeight="1">
      <c r="H855" s="1"/>
    </row>
    <row r="856" ht="15.75" customHeight="1">
      <c r="H856" s="1"/>
    </row>
    <row r="857" ht="15.75" customHeight="1">
      <c r="H857" s="1"/>
    </row>
    <row r="858" ht="15.75" customHeight="1">
      <c r="H858" s="1"/>
    </row>
    <row r="859" ht="15.75" customHeight="1">
      <c r="H859" s="1"/>
    </row>
    <row r="860" ht="15.75" customHeight="1">
      <c r="H860" s="1"/>
    </row>
    <row r="861" ht="15.75" customHeight="1">
      <c r="H861" s="1"/>
    </row>
    <row r="862" ht="15.75" customHeight="1">
      <c r="H862" s="1"/>
    </row>
    <row r="863" ht="15.75" customHeight="1">
      <c r="H863" s="1"/>
    </row>
    <row r="864" ht="15.75" customHeight="1">
      <c r="H864" s="1"/>
    </row>
    <row r="865" ht="15.75" customHeight="1">
      <c r="H865" s="1"/>
    </row>
    <row r="866" ht="15.75" customHeight="1">
      <c r="H866" s="1"/>
    </row>
    <row r="867" ht="15.75" customHeight="1">
      <c r="H867" s="1"/>
    </row>
    <row r="868" ht="15.75" customHeight="1">
      <c r="H868" s="1"/>
    </row>
    <row r="869" ht="15.75" customHeight="1">
      <c r="H869" s="1"/>
    </row>
    <row r="870" ht="15.75" customHeight="1">
      <c r="H870" s="1"/>
    </row>
    <row r="871" ht="15.75" customHeight="1">
      <c r="H871" s="1"/>
    </row>
    <row r="872" ht="15.75" customHeight="1">
      <c r="H872" s="1"/>
    </row>
    <row r="873" ht="15.75" customHeight="1">
      <c r="H873" s="1"/>
    </row>
    <row r="874" ht="15.75" customHeight="1">
      <c r="H874" s="1"/>
    </row>
    <row r="875" ht="15.75" customHeight="1">
      <c r="H875" s="1"/>
    </row>
    <row r="876" ht="15.75" customHeight="1">
      <c r="H876" s="1"/>
    </row>
    <row r="877" ht="15.75" customHeight="1">
      <c r="H877" s="1"/>
    </row>
    <row r="878" ht="15.75" customHeight="1">
      <c r="H878" s="1"/>
    </row>
    <row r="879" ht="15.75" customHeight="1">
      <c r="H879" s="1"/>
    </row>
    <row r="880" ht="15.75" customHeight="1">
      <c r="H880" s="1"/>
    </row>
    <row r="881" ht="15.75" customHeight="1">
      <c r="H881" s="1"/>
    </row>
    <row r="882" ht="15.75" customHeight="1">
      <c r="H882" s="1"/>
    </row>
    <row r="883" ht="15.75" customHeight="1">
      <c r="H883" s="1"/>
    </row>
    <row r="884" ht="15.75" customHeight="1">
      <c r="H884" s="1"/>
    </row>
    <row r="885" ht="15.75" customHeight="1">
      <c r="H885" s="1"/>
    </row>
    <row r="886" ht="15.75" customHeight="1">
      <c r="H886" s="1"/>
    </row>
    <row r="887" ht="15.75" customHeight="1">
      <c r="H887" s="1"/>
    </row>
    <row r="888" ht="15.75" customHeight="1">
      <c r="H888" s="1"/>
    </row>
    <row r="889" ht="15.75" customHeight="1">
      <c r="H889" s="1"/>
    </row>
    <row r="890" ht="15.75" customHeight="1">
      <c r="H890" s="1"/>
    </row>
    <row r="891" ht="15.75" customHeight="1">
      <c r="H891" s="1"/>
    </row>
    <row r="892" ht="15.75" customHeight="1">
      <c r="H892" s="1"/>
    </row>
    <row r="893" ht="15.75" customHeight="1">
      <c r="H893" s="1"/>
    </row>
    <row r="894" ht="15.75" customHeight="1">
      <c r="H894" s="1"/>
    </row>
    <row r="895" ht="15.75" customHeight="1">
      <c r="H895" s="1"/>
    </row>
    <row r="896" ht="15.75" customHeight="1">
      <c r="H896" s="1"/>
    </row>
    <row r="897" ht="15.75" customHeight="1">
      <c r="H897" s="1"/>
    </row>
    <row r="898" ht="15.75" customHeight="1">
      <c r="H898" s="1"/>
    </row>
    <row r="899" ht="15.75" customHeight="1">
      <c r="H899" s="1"/>
    </row>
    <row r="900" ht="15.75" customHeight="1">
      <c r="H900" s="1"/>
    </row>
    <row r="901" ht="15.75" customHeight="1">
      <c r="H901" s="1"/>
    </row>
    <row r="902" ht="15.75" customHeight="1">
      <c r="H902" s="1"/>
    </row>
    <row r="903" ht="15.75" customHeight="1">
      <c r="H903" s="1"/>
    </row>
    <row r="904" ht="15.75" customHeight="1">
      <c r="H904" s="1"/>
    </row>
    <row r="905" ht="15.75" customHeight="1">
      <c r="H905" s="1"/>
    </row>
    <row r="906" ht="15.75" customHeight="1">
      <c r="H906" s="1"/>
    </row>
    <row r="907" ht="15.75" customHeight="1">
      <c r="H907" s="1"/>
    </row>
    <row r="908" ht="15.75" customHeight="1">
      <c r="H908" s="1"/>
    </row>
    <row r="909" ht="15.75" customHeight="1">
      <c r="H909" s="1"/>
    </row>
    <row r="910" ht="15.75" customHeight="1">
      <c r="H910" s="1"/>
    </row>
    <row r="911" ht="15.75" customHeight="1">
      <c r="H911" s="1"/>
    </row>
    <row r="912" ht="15.75" customHeight="1">
      <c r="H912" s="1"/>
    </row>
    <row r="913" ht="15.75" customHeight="1">
      <c r="H913" s="1"/>
    </row>
    <row r="914" ht="15.75" customHeight="1">
      <c r="H914" s="1"/>
    </row>
    <row r="915" ht="15.75" customHeight="1">
      <c r="H915" s="1"/>
    </row>
    <row r="916" ht="15.75" customHeight="1">
      <c r="H916" s="1"/>
    </row>
    <row r="917" ht="15.75" customHeight="1">
      <c r="H917" s="1"/>
    </row>
    <row r="918" ht="15.75" customHeight="1">
      <c r="H918" s="1"/>
    </row>
    <row r="919" ht="15.75" customHeight="1">
      <c r="H919" s="1"/>
    </row>
    <row r="920" ht="15.75" customHeight="1">
      <c r="H920" s="1"/>
    </row>
    <row r="921" ht="15.75" customHeight="1">
      <c r="H921" s="1"/>
    </row>
    <row r="922" ht="15.75" customHeight="1">
      <c r="H922" s="1"/>
    </row>
    <row r="923" ht="15.75" customHeight="1">
      <c r="H923" s="1"/>
    </row>
    <row r="924" ht="15.75" customHeight="1">
      <c r="H924" s="1"/>
    </row>
    <row r="925" ht="15.75" customHeight="1">
      <c r="H925" s="1"/>
    </row>
    <row r="926" ht="15.75" customHeight="1">
      <c r="H926" s="1"/>
    </row>
    <row r="927" ht="15.75" customHeight="1">
      <c r="H927" s="1"/>
    </row>
    <row r="928" ht="15.75" customHeight="1">
      <c r="H928" s="1"/>
    </row>
    <row r="929" ht="15.75" customHeight="1">
      <c r="H929" s="1"/>
    </row>
    <row r="930" ht="15.75" customHeight="1">
      <c r="H930" s="1"/>
    </row>
    <row r="931" ht="15.75" customHeight="1">
      <c r="H931" s="1"/>
    </row>
    <row r="932" ht="15.75" customHeight="1">
      <c r="H932" s="1"/>
    </row>
    <row r="933" ht="15.75" customHeight="1">
      <c r="H933" s="1"/>
    </row>
    <row r="934" ht="15.75" customHeight="1">
      <c r="H934" s="1"/>
    </row>
    <row r="935" ht="15.75" customHeight="1">
      <c r="H935" s="1"/>
    </row>
    <row r="936" ht="15.75" customHeight="1">
      <c r="H936" s="1"/>
    </row>
    <row r="937" ht="15.75" customHeight="1">
      <c r="H937" s="1"/>
    </row>
    <row r="938" ht="15.75" customHeight="1">
      <c r="H938" s="1"/>
    </row>
    <row r="939" ht="15.75" customHeight="1">
      <c r="H939" s="1"/>
    </row>
    <row r="940" ht="15.75" customHeight="1">
      <c r="H940" s="1"/>
    </row>
    <row r="941" ht="15.75" customHeight="1">
      <c r="H941" s="1"/>
    </row>
    <row r="942" ht="15.75" customHeight="1">
      <c r="H942" s="1"/>
    </row>
    <row r="943" ht="15.75" customHeight="1">
      <c r="H943" s="1"/>
    </row>
    <row r="944" ht="15.75" customHeight="1">
      <c r="H944" s="1"/>
    </row>
    <row r="945" ht="15.75" customHeight="1">
      <c r="H945" s="1"/>
    </row>
    <row r="946" ht="15.75" customHeight="1">
      <c r="H946" s="1"/>
    </row>
    <row r="947" ht="15.75" customHeight="1">
      <c r="H947" s="1"/>
    </row>
    <row r="948" ht="15.75" customHeight="1">
      <c r="H948" s="1"/>
    </row>
    <row r="949" ht="15.75" customHeight="1">
      <c r="H949" s="1"/>
    </row>
    <row r="950" ht="15.75" customHeight="1">
      <c r="H950" s="1"/>
    </row>
    <row r="951" ht="15.75" customHeight="1">
      <c r="H951" s="1"/>
    </row>
    <row r="952" ht="15.75" customHeight="1">
      <c r="H952" s="1"/>
    </row>
    <row r="953" ht="15.75" customHeight="1">
      <c r="H953" s="1"/>
    </row>
    <row r="954" ht="15.75" customHeight="1">
      <c r="H954" s="1"/>
    </row>
    <row r="955" ht="15.75" customHeight="1">
      <c r="H955" s="1"/>
    </row>
    <row r="956" ht="15.75" customHeight="1">
      <c r="H956" s="1"/>
    </row>
    <row r="957" ht="15.75" customHeight="1">
      <c r="H957" s="1"/>
    </row>
    <row r="958" ht="15.75" customHeight="1">
      <c r="H958" s="1"/>
    </row>
    <row r="959" ht="15.75" customHeight="1">
      <c r="H959" s="1"/>
    </row>
    <row r="960" ht="15.75" customHeight="1">
      <c r="H960" s="1"/>
    </row>
    <row r="961" ht="15.75" customHeight="1">
      <c r="H961" s="1"/>
    </row>
    <row r="962" ht="15.75" customHeight="1">
      <c r="H962" s="1"/>
    </row>
    <row r="963" ht="15.75" customHeight="1">
      <c r="H963" s="1"/>
    </row>
    <row r="964" ht="15.75" customHeight="1">
      <c r="H964" s="1"/>
    </row>
    <row r="965" ht="15.75" customHeight="1">
      <c r="H965" s="1"/>
    </row>
    <row r="966" ht="15.75" customHeight="1">
      <c r="H966" s="1"/>
    </row>
    <row r="967" ht="15.75" customHeight="1">
      <c r="H967" s="1"/>
    </row>
    <row r="968" ht="15.75" customHeight="1">
      <c r="H968" s="1"/>
    </row>
    <row r="969" ht="15.75" customHeight="1">
      <c r="H969" s="1"/>
    </row>
    <row r="970" ht="15.75" customHeight="1">
      <c r="H970" s="1"/>
    </row>
    <row r="971" ht="15.75" customHeight="1">
      <c r="H971" s="1"/>
    </row>
    <row r="972" ht="15.75" customHeight="1">
      <c r="H972" s="1"/>
    </row>
    <row r="973" ht="15.75" customHeight="1">
      <c r="H973" s="1"/>
    </row>
    <row r="974" ht="15.75" customHeight="1">
      <c r="H974" s="1"/>
    </row>
    <row r="975" ht="15.75" customHeight="1">
      <c r="H975" s="1"/>
    </row>
    <row r="976" ht="15.75" customHeight="1">
      <c r="H976" s="1"/>
    </row>
    <row r="977" ht="15.75" customHeight="1">
      <c r="H977" s="1"/>
    </row>
    <row r="978" ht="15.75" customHeight="1">
      <c r="H978" s="1"/>
    </row>
    <row r="979" ht="15.75" customHeight="1">
      <c r="H979" s="1"/>
    </row>
    <row r="980" ht="15.75" customHeight="1">
      <c r="H980" s="1"/>
    </row>
    <row r="981" ht="15.75" customHeight="1">
      <c r="H981" s="1"/>
    </row>
    <row r="982" ht="15.75" customHeight="1">
      <c r="H982" s="1"/>
    </row>
    <row r="983" ht="15.75" customHeight="1">
      <c r="H983" s="1"/>
    </row>
    <row r="984" ht="15.75" customHeight="1">
      <c r="H984" s="1"/>
    </row>
    <row r="985" ht="15.75" customHeight="1">
      <c r="H985" s="1"/>
    </row>
    <row r="986" ht="15.75" customHeight="1">
      <c r="H986" s="1"/>
    </row>
    <row r="987" ht="15.75" customHeight="1">
      <c r="H987" s="1"/>
    </row>
    <row r="988" ht="15.75" customHeight="1">
      <c r="H988" s="1"/>
    </row>
    <row r="989" ht="15.75" customHeight="1">
      <c r="H989" s="1"/>
    </row>
    <row r="990" ht="15.75" customHeight="1">
      <c r="H990" s="1"/>
    </row>
    <row r="991" ht="15.75" customHeight="1">
      <c r="H991" s="1"/>
    </row>
    <row r="992" ht="15.75" customHeight="1">
      <c r="H992" s="1"/>
    </row>
    <row r="993" ht="15.75" customHeight="1">
      <c r="H993" s="1"/>
    </row>
    <row r="994" ht="15.75" customHeight="1">
      <c r="H994" s="1"/>
    </row>
    <row r="995" ht="15.75" customHeight="1">
      <c r="H995" s="1"/>
    </row>
    <row r="996" ht="15.75" customHeight="1">
      <c r="H996" s="1"/>
    </row>
    <row r="997" ht="15.75" customHeight="1">
      <c r="H997" s="1"/>
    </row>
    <row r="998" ht="15.75" customHeight="1">
      <c r="H998" s="1"/>
    </row>
    <row r="999" ht="15.75" customHeight="1">
      <c r="H999" s="1"/>
    </row>
  </sheetData>
  <mergeCells count="2">
    <mergeCell ref="C4:H4"/>
    <mergeCell ref="C5:H5"/>
  </mergeCells>
  <dataValidations>
    <dataValidation type="list" allowBlank="1" showErrorMessage="1" sqref="C9:C16 C18:C101">
      <formula1>METADATA!$I$17:$I$37</formula1>
    </dataValidation>
    <dataValidation type="list" allowBlank="1" showErrorMessage="1" sqref="C4">
      <formula1>METADATA!$A$2:$A$80</formula1>
    </dataValidation>
    <dataValidation type="list" allowBlank="1" showErrorMessage="1" sqref="H9:H101">
      <formula1>"2,3,4,5,6,7,8,9,10,11"</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3" t="s">
        <v>0</v>
      </c>
    </row>
    <row r="3" ht="15.75" customHeight="1"/>
    <row r="4" ht="15.75" customHeight="1">
      <c r="B4" s="31" t="s">
        <v>1</v>
      </c>
      <c r="C4" s="32" t="str">
        <f>'Diseño'!C4</f>
        <v>964 - Organización Computacional</v>
      </c>
      <c r="D4" s="33"/>
      <c r="E4" s="33"/>
      <c r="F4" s="33"/>
      <c r="G4" s="34"/>
    </row>
    <row r="5" ht="15.75" customHeight="1">
      <c r="B5" s="35" t="s">
        <v>11</v>
      </c>
      <c r="C5" s="32">
        <v>1.0</v>
      </c>
      <c r="D5" s="33"/>
      <c r="E5" s="33"/>
      <c r="F5" s="33"/>
      <c r="G5" s="34"/>
    </row>
    <row r="6" ht="15.75" customHeight="1">
      <c r="B6" s="35" t="s">
        <v>78</v>
      </c>
      <c r="C6" s="32">
        <f>B15+B22+B29+B41+B47+C48</f>
        <v>100</v>
      </c>
      <c r="D6" s="33"/>
      <c r="E6" s="33"/>
      <c r="F6" s="33"/>
      <c r="G6" s="34"/>
    </row>
    <row r="7" ht="15.75" customHeight="1"/>
    <row r="8" ht="15.75" customHeight="1"/>
    <row r="9" ht="15.75" customHeight="1">
      <c r="A9" s="36" t="s">
        <v>79</v>
      </c>
      <c r="G9" s="37" t="s">
        <v>80</v>
      </c>
      <c r="H9" s="38">
        <v>15.0</v>
      </c>
    </row>
    <row r="10" ht="15.75" customHeight="1">
      <c r="G10" s="39" t="s">
        <v>81</v>
      </c>
    </row>
    <row r="11" ht="24.0" customHeight="1">
      <c r="A11" s="40" t="s">
        <v>82</v>
      </c>
      <c r="B11" s="41" t="s">
        <v>83</v>
      </c>
      <c r="C11" s="33"/>
      <c r="D11" s="33"/>
      <c r="E11" s="33"/>
      <c r="F11" s="33"/>
      <c r="G11" s="33"/>
      <c r="H11" s="34"/>
    </row>
    <row r="12" ht="27.75" customHeight="1">
      <c r="A12" s="40" t="s">
        <v>84</v>
      </c>
      <c r="B12" s="41" t="s">
        <v>85</v>
      </c>
      <c r="C12" s="33"/>
      <c r="D12" s="33"/>
      <c r="E12" s="33"/>
      <c r="F12" s="33"/>
      <c r="G12" s="33"/>
      <c r="H12" s="34"/>
      <c r="K12" s="42" t="s">
        <v>86</v>
      </c>
    </row>
    <row r="13" ht="54.0" customHeight="1">
      <c r="A13" s="43" t="s">
        <v>87</v>
      </c>
      <c r="B13" s="44" t="s">
        <v>88</v>
      </c>
      <c r="C13" s="33"/>
      <c r="D13" s="33"/>
      <c r="E13" s="33"/>
      <c r="F13" s="33"/>
      <c r="G13" s="33"/>
      <c r="H13" s="34"/>
    </row>
    <row r="14" ht="29.25" customHeight="1">
      <c r="A14" s="43" t="s">
        <v>89</v>
      </c>
      <c r="B14" s="44" t="s">
        <v>90</v>
      </c>
      <c r="C14" s="33"/>
      <c r="D14" s="33"/>
      <c r="E14" s="33"/>
      <c r="F14" s="33"/>
      <c r="G14" s="33"/>
      <c r="H14" s="34"/>
    </row>
    <row r="15" ht="15.75" customHeight="1">
      <c r="A15" s="45" t="s">
        <v>91</v>
      </c>
      <c r="B15" s="44">
        <v>15.0</v>
      </c>
      <c r="C15" s="33"/>
      <c r="D15" s="33"/>
      <c r="E15" s="33"/>
      <c r="F15" s="33"/>
      <c r="G15" s="33"/>
      <c r="H15" s="34"/>
    </row>
    <row r="16" ht="15.75" customHeight="1"/>
    <row r="17" ht="15.75" customHeight="1"/>
    <row r="18" ht="15.75" customHeight="1">
      <c r="A18" s="46" t="s">
        <v>92</v>
      </c>
      <c r="G18" s="37" t="s">
        <v>80</v>
      </c>
      <c r="H18" s="38">
        <v>25.0</v>
      </c>
    </row>
    <row r="19" ht="15.75" customHeight="1">
      <c r="G19" s="39" t="s">
        <v>93</v>
      </c>
    </row>
    <row r="20" ht="176.25" customHeight="1">
      <c r="A20" s="40" t="s">
        <v>94</v>
      </c>
      <c r="B20" s="41" t="s">
        <v>95</v>
      </c>
      <c r="C20" s="33"/>
      <c r="D20" s="33"/>
      <c r="E20" s="33"/>
      <c r="F20" s="33"/>
      <c r="G20" s="33"/>
      <c r="H20" s="34"/>
      <c r="K20" s="42" t="s">
        <v>96</v>
      </c>
    </row>
    <row r="21" ht="93.0" customHeight="1">
      <c r="A21" s="40" t="s">
        <v>97</v>
      </c>
      <c r="B21" s="41" t="s">
        <v>98</v>
      </c>
      <c r="C21" s="33"/>
      <c r="D21" s="33"/>
      <c r="E21" s="33"/>
      <c r="F21" s="33"/>
      <c r="G21" s="33"/>
      <c r="H21" s="34"/>
    </row>
    <row r="22" ht="15.75" customHeight="1">
      <c r="A22" s="45" t="s">
        <v>91</v>
      </c>
      <c r="B22" s="44">
        <v>25.0</v>
      </c>
      <c r="C22" s="33"/>
      <c r="D22" s="33"/>
      <c r="E22" s="33"/>
      <c r="F22" s="33"/>
      <c r="G22" s="33"/>
      <c r="H22" s="34"/>
    </row>
    <row r="23" ht="15.75" customHeight="1"/>
    <row r="24" ht="15.75" customHeight="1"/>
    <row r="25" ht="15.75" customHeight="1">
      <c r="A25" s="46" t="s">
        <v>99</v>
      </c>
      <c r="G25" s="47" t="s">
        <v>80</v>
      </c>
      <c r="H25" s="38">
        <v>30.0</v>
      </c>
    </row>
    <row r="26" ht="15.75" customHeight="1">
      <c r="G26" s="39" t="s">
        <v>100</v>
      </c>
      <c r="H26" s="39"/>
      <c r="I26" s="39"/>
      <c r="J26" s="39"/>
    </row>
    <row r="27" ht="39.75" customHeight="1">
      <c r="A27" s="40" t="s">
        <v>101</v>
      </c>
      <c r="B27" s="41" t="s">
        <v>102</v>
      </c>
      <c r="C27" s="33"/>
      <c r="D27" s="33"/>
      <c r="E27" s="33"/>
      <c r="F27" s="33"/>
      <c r="G27" s="33"/>
      <c r="H27" s="34"/>
      <c r="K27" s="48" t="s">
        <v>103</v>
      </c>
    </row>
    <row r="28" ht="101.25" customHeight="1">
      <c r="A28" s="40" t="s">
        <v>104</v>
      </c>
      <c r="B28" s="41" t="s">
        <v>105</v>
      </c>
      <c r="C28" s="33"/>
      <c r="D28" s="33"/>
      <c r="E28" s="33"/>
      <c r="F28" s="33"/>
      <c r="G28" s="33"/>
      <c r="H28" s="34"/>
    </row>
    <row r="29" ht="15.75" customHeight="1">
      <c r="A29" s="45" t="s">
        <v>91</v>
      </c>
      <c r="B29" s="44">
        <v>30.0</v>
      </c>
      <c r="C29" s="33"/>
      <c r="D29" s="33"/>
      <c r="E29" s="33"/>
      <c r="F29" s="33"/>
      <c r="G29" s="33"/>
      <c r="H29" s="34"/>
    </row>
    <row r="30" ht="15.75" customHeight="1"/>
    <row r="31" ht="15.75" customHeight="1"/>
    <row r="32" ht="15.75" customHeight="1">
      <c r="A32" s="46" t="s">
        <v>106</v>
      </c>
      <c r="G32" s="47" t="s">
        <v>80</v>
      </c>
      <c r="H32" s="38">
        <v>5.0</v>
      </c>
    </row>
    <row r="33" ht="24.0" customHeight="1">
      <c r="A33" s="49" t="s">
        <v>107</v>
      </c>
      <c r="G33" s="49" t="s">
        <v>108</v>
      </c>
      <c r="H33" s="50"/>
      <c r="I33" s="50"/>
    </row>
    <row r="34" ht="57.75" customHeight="1">
      <c r="A34" s="40" t="s">
        <v>109</v>
      </c>
      <c r="B34" s="41" t="s">
        <v>110</v>
      </c>
      <c r="C34" s="33"/>
      <c r="D34" s="33"/>
      <c r="E34" s="33"/>
      <c r="F34" s="33"/>
      <c r="G34" s="33"/>
      <c r="H34" s="34"/>
      <c r="K34" s="51" t="s">
        <v>111</v>
      </c>
    </row>
    <row r="35" ht="49.5" customHeight="1">
      <c r="A35" s="40" t="s">
        <v>112</v>
      </c>
      <c r="B35" s="41" t="s">
        <v>113</v>
      </c>
      <c r="C35" s="33"/>
      <c r="D35" s="33"/>
      <c r="E35" s="33"/>
      <c r="F35" s="33"/>
      <c r="G35" s="33"/>
      <c r="H35" s="34"/>
    </row>
    <row r="36" ht="15.75" customHeight="1">
      <c r="A36" s="45" t="s">
        <v>91</v>
      </c>
      <c r="B36" s="44">
        <v>5.0</v>
      </c>
      <c r="C36" s="33"/>
      <c r="D36" s="33"/>
      <c r="E36" s="33"/>
      <c r="F36" s="33"/>
      <c r="G36" s="33"/>
      <c r="H36" s="34"/>
    </row>
    <row r="37" ht="15.75" customHeight="1"/>
    <row r="38" ht="15.75" customHeight="1"/>
    <row r="39" ht="15.75" customHeight="1">
      <c r="A39" s="46" t="s">
        <v>114</v>
      </c>
      <c r="G39" s="47" t="s">
        <v>80</v>
      </c>
      <c r="H39" s="38">
        <v>20.0</v>
      </c>
    </row>
    <row r="40" ht="15.75" customHeight="1">
      <c r="G40" s="39" t="s">
        <v>115</v>
      </c>
    </row>
    <row r="41" ht="15.75" customHeight="1">
      <c r="A41" s="45" t="s">
        <v>91</v>
      </c>
      <c r="B41" s="44">
        <v>20.0</v>
      </c>
      <c r="C41" s="33"/>
      <c r="D41" s="33"/>
      <c r="E41" s="33"/>
      <c r="F41" s="33"/>
      <c r="G41" s="33"/>
      <c r="H41" s="34"/>
    </row>
    <row r="42" ht="15.75" customHeight="1"/>
    <row r="43" ht="15.75" customHeight="1"/>
    <row r="44" ht="15.75" customHeight="1">
      <c r="A44" s="46" t="s">
        <v>116</v>
      </c>
      <c r="G44" s="47" t="s">
        <v>80</v>
      </c>
      <c r="H44" s="38">
        <v>10.0</v>
      </c>
    </row>
    <row r="45" ht="15.75" customHeight="1">
      <c r="G45" s="39" t="s">
        <v>81</v>
      </c>
    </row>
    <row r="46" ht="105.0" customHeight="1">
      <c r="A46" s="40" t="s">
        <v>117</v>
      </c>
      <c r="B46" s="41" t="s">
        <v>118</v>
      </c>
      <c r="C46" s="33"/>
      <c r="D46" s="33"/>
      <c r="E46" s="33"/>
      <c r="F46" s="33"/>
      <c r="G46" s="33"/>
      <c r="H46" s="34"/>
    </row>
    <row r="47" ht="15.75" customHeight="1">
      <c r="A47" s="45" t="s">
        <v>91</v>
      </c>
      <c r="B47" s="44">
        <v>10.0</v>
      </c>
      <c r="C47" s="33"/>
      <c r="D47" s="33"/>
      <c r="E47" s="33"/>
      <c r="F47" s="33"/>
      <c r="G47" s="33"/>
      <c r="H47" s="34"/>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2.0</v>
      </c>
      <c r="D5" s="33"/>
      <c r="E5" s="33"/>
      <c r="F5" s="33"/>
      <c r="G5" s="34"/>
    </row>
    <row r="6" ht="15.75" customHeight="1">
      <c r="B6" s="53" t="s">
        <v>78</v>
      </c>
      <c r="C6" s="32">
        <f>H10+H21+H44+H68</f>
        <v>100</v>
      </c>
      <c r="D6" s="33"/>
      <c r="E6" s="33"/>
      <c r="F6" s="33"/>
      <c r="G6" s="34"/>
      <c r="I6" s="6"/>
    </row>
    <row r="7" ht="15.75" customHeight="1">
      <c r="B7" s="53" t="s">
        <v>120</v>
      </c>
      <c r="C7" s="32">
        <f>B49+B60</f>
        <v>0</v>
      </c>
      <c r="D7" s="33"/>
      <c r="E7" s="33"/>
      <c r="F7" s="33"/>
      <c r="G7" s="34"/>
    </row>
    <row r="8" ht="29.25" customHeight="1">
      <c r="B8" s="53" t="s">
        <v>121</v>
      </c>
      <c r="C8" s="32" t="str">
        <f>IF(H44&lt;=0, "❌ ERROR: La Actividad 1 debe tener un tiempo mayor a 0.", IF(H21&gt;60, "❌ ERROR: El 'Área de Conocimiento' no puede exceder los 60 min.", IF(C6&lt;100,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125</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57" t="s">
        <v>127</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5.75" customHeight="1">
      <c r="A18" s="57" t="s">
        <v>129</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ht="15.75" customHeight="1">
      <c r="A23" s="43" t="s">
        <v>132</v>
      </c>
      <c r="B23" s="44" t="s">
        <v>12</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IFERROR(__xludf.DUMMYFUNCTION("FILTER('Diseño'!D:D,'Diseño'!H:H=$C$5)"),"Conceptos básicos de la Electrónica")</f>
        <v>Conceptos básicos de la Electrónica</v>
      </c>
      <c r="C28" s="34"/>
      <c r="D28" s="32" t="str">
        <f>IFERROR(__xludf.DUMMYFUNCTION("FILTER('Diseño'!E:E,'Diseño'!H:H=$C$5)"),"Representación de datos en una computadora digital")</f>
        <v>Representación de datos en una computadora digital</v>
      </c>
      <c r="E28" s="34"/>
      <c r="F28" s="32" t="str">
        <f>IFERROR(__xludf.DUMMYFUNCTION("FILTER('Diseño'!F:F,'Diseño'!H:H=$C$5)"),"Sistemas numéricos posicionales.")</f>
        <v>Sistemas numéricos posicionales.</v>
      </c>
      <c r="G28" s="33"/>
      <c r="H28" s="34"/>
    </row>
    <row r="29" ht="15.75" customHeight="1">
      <c r="A29" s="35">
        <v>2.0</v>
      </c>
      <c r="B29" s="32" t="str">
        <f>IFERROR(__xludf.DUMMYFUNCTION("FILTER('Diseño'!D:D,'Diseño'!H:H=$C$5)"),"Conceptos básicos de la Electrónica")</f>
        <v>Conceptos básicos de la Electrónica</v>
      </c>
      <c r="C29" s="34"/>
      <c r="D29" s="32" t="str">
        <f>IFERROR(__xludf.DUMMYFUNCTION("FILTER('Diseño'!E:E,'Diseño'!H:H=$C$5)"),"Representación de datos en una computadora digital")</f>
        <v>Representación de datos en una computadora digital</v>
      </c>
      <c r="E29" s="34"/>
      <c r="F29" s="66" t="s">
        <v>17</v>
      </c>
      <c r="G29" s="33"/>
      <c r="H29" s="34"/>
    </row>
    <row r="30" ht="15.75" customHeight="1">
      <c r="A30" s="35">
        <v>3.0</v>
      </c>
      <c r="B30" s="32"/>
      <c r="C30" s="34"/>
      <c r="D30" s="32"/>
      <c r="E30" s="34"/>
      <c r="F30" s="32"/>
      <c r="G30" s="33"/>
      <c r="H30" s="34"/>
    </row>
    <row r="31" ht="15.75" customHeight="1">
      <c r="A31" s="35">
        <v>4.0</v>
      </c>
      <c r="B31" s="32"/>
      <c r="C31" s="34"/>
      <c r="D31" s="32"/>
      <c r="E31" s="34"/>
      <c r="F31" s="32"/>
      <c r="G31" s="33"/>
      <c r="H31" s="34"/>
    </row>
    <row r="32" ht="15.75" customHeight="1">
      <c r="A32" s="35">
        <v>5.0</v>
      </c>
      <c r="B32" s="32"/>
      <c r="C32" s="34"/>
      <c r="D32" s="32"/>
      <c r="E32" s="34"/>
      <c r="F32" s="32"/>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40.0</v>
      </c>
      <c r="E39" s="33"/>
      <c r="F39" s="33"/>
      <c r="G39" s="33"/>
      <c r="H39" s="34"/>
    </row>
    <row r="40" ht="15.75" customHeight="1">
      <c r="A40" s="35" t="s">
        <v>143</v>
      </c>
      <c r="B40" s="35" t="s">
        <v>142</v>
      </c>
      <c r="C40" s="35" t="s">
        <v>144</v>
      </c>
      <c r="D40" s="44">
        <v>10.0</v>
      </c>
      <c r="E40" s="33"/>
      <c r="F40" s="33"/>
      <c r="G40" s="33"/>
      <c r="H40" s="34"/>
    </row>
    <row r="41" ht="15.75" customHeight="1">
      <c r="A41" s="35" t="s">
        <v>145</v>
      </c>
      <c r="B41" s="35" t="s">
        <v>146</v>
      </c>
      <c r="C41" s="35"/>
      <c r="D41" s="44">
        <v>10.0</v>
      </c>
      <c r="E41" s="33"/>
      <c r="F41" s="33"/>
      <c r="G41" s="33"/>
      <c r="H41" s="34"/>
    </row>
    <row r="42" ht="15.75" customHeight="1">
      <c r="A42" s="35" t="s">
        <v>147</v>
      </c>
      <c r="B42" s="35" t="s">
        <v>142</v>
      </c>
      <c r="C42" s="35"/>
      <c r="D42" s="32"/>
      <c r="E42" s="33"/>
      <c r="F42" s="33"/>
      <c r="G42" s="33"/>
      <c r="H42" s="34"/>
    </row>
    <row r="43" ht="15.75" customHeight="1"/>
    <row r="44" ht="15.75" customHeight="1">
      <c r="A44" s="54" t="s">
        <v>148</v>
      </c>
      <c r="G44" s="47" t="s">
        <v>80</v>
      </c>
      <c r="H44" s="55">
        <f>B50</f>
        <v>40</v>
      </c>
    </row>
    <row r="45" ht="15.75" customHeight="1">
      <c r="G45" s="39" t="s">
        <v>149</v>
      </c>
    </row>
    <row r="46" ht="15.75" customHeight="1">
      <c r="A46" s="39" t="s">
        <v>150</v>
      </c>
    </row>
    <row r="47" ht="31.5" customHeight="1">
      <c r="A47" s="43" t="s">
        <v>151</v>
      </c>
      <c r="B47" s="44" t="s">
        <v>12</v>
      </c>
      <c r="C47" s="33"/>
      <c r="D47" s="33"/>
      <c r="E47" s="33"/>
      <c r="F47" s="33"/>
      <c r="G47" s="33"/>
      <c r="H47" s="34"/>
    </row>
    <row r="48" ht="15.75" customHeight="1">
      <c r="A48" s="43" t="s">
        <v>152</v>
      </c>
      <c r="B48" s="44" t="s">
        <v>153</v>
      </c>
      <c r="C48" s="33"/>
      <c r="D48" s="33"/>
      <c r="E48" s="33"/>
      <c r="F48" s="33"/>
      <c r="G48" s="33"/>
      <c r="H48" s="34"/>
    </row>
    <row r="49" ht="15.75" customHeight="1">
      <c r="A49" s="43" t="s">
        <v>120</v>
      </c>
      <c r="B49" s="69">
        <v>0.0</v>
      </c>
      <c r="C49" s="33"/>
      <c r="D49" s="33"/>
      <c r="E49" s="33"/>
      <c r="F49" s="33"/>
      <c r="G49" s="33"/>
      <c r="H49" s="34"/>
    </row>
    <row r="50" ht="15.75" customHeight="1">
      <c r="A50" s="43" t="s">
        <v>80</v>
      </c>
      <c r="B50" s="44">
        <v>40.0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70" t="s">
        <v>156</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f>B70</f>
        <v>5</v>
      </c>
    </row>
    <row r="69" ht="15.75" customHeight="1">
      <c r="G69" s="39" t="s">
        <v>160</v>
      </c>
    </row>
    <row r="70" ht="15.75" customHeight="1">
      <c r="A70" s="43" t="s">
        <v>80</v>
      </c>
      <c r="B70" s="69">
        <v>5.0</v>
      </c>
      <c r="C70" s="33"/>
      <c r="D70" s="33"/>
      <c r="E70" s="33"/>
      <c r="F70" s="33"/>
      <c r="G70" s="33"/>
      <c r="H70" s="34"/>
    </row>
    <row r="71" ht="15.75" customHeight="1">
      <c r="A71" s="68" t="s">
        <v>161</v>
      </c>
      <c r="B71" s="33"/>
      <c r="C71" s="33"/>
      <c r="D71" s="33"/>
      <c r="E71" s="33"/>
      <c r="F71" s="33"/>
      <c r="G71" s="33"/>
      <c r="H71" s="34"/>
    </row>
    <row r="72" ht="15.75" customHeight="1">
      <c r="A72" s="76"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31.63"/>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3.0</v>
      </c>
      <c r="D5" s="33"/>
      <c r="E5" s="33"/>
      <c r="F5" s="33"/>
      <c r="G5" s="34"/>
    </row>
    <row r="6" ht="15.75" customHeight="1">
      <c r="B6" s="53" t="s">
        <v>78</v>
      </c>
      <c r="C6" s="32">
        <f>H10+H21+H44+H68</f>
        <v>110</v>
      </c>
      <c r="D6" s="33"/>
      <c r="E6" s="33"/>
      <c r="F6" s="33"/>
      <c r="G6" s="34"/>
      <c r="I6" s="6"/>
    </row>
    <row r="7" ht="15.75" customHeight="1">
      <c r="B7" s="53" t="s">
        <v>120</v>
      </c>
      <c r="C7" s="32">
        <f>B49+B60</f>
        <v>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164</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70" t="s">
        <v>165</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9.5" customHeight="1">
      <c r="A18" s="70" t="s">
        <v>166</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ht="15.75" customHeight="1">
      <c r="A23" s="43" t="s">
        <v>132</v>
      </c>
      <c r="B23" s="44" t="s">
        <v>18</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44" t="s">
        <v>19</v>
      </c>
      <c r="C28" s="34"/>
      <c r="D28" s="44" t="s">
        <v>19</v>
      </c>
      <c r="E28" s="34"/>
      <c r="F28" s="44" t="s">
        <v>20</v>
      </c>
      <c r="G28" s="33"/>
      <c r="H28" s="34"/>
    </row>
    <row r="29" ht="15.75" customHeight="1">
      <c r="A29" s="35">
        <v>2.0</v>
      </c>
      <c r="B29" s="44" t="s">
        <v>19</v>
      </c>
      <c r="C29" s="34"/>
      <c r="D29" s="44" t="s">
        <v>19</v>
      </c>
      <c r="E29" s="34"/>
      <c r="F29" s="44" t="s">
        <v>21</v>
      </c>
      <c r="G29" s="33"/>
      <c r="H29" s="34"/>
    </row>
    <row r="30" ht="15.75" customHeight="1">
      <c r="A30" s="35">
        <v>3.0</v>
      </c>
      <c r="B30" s="44" t="s">
        <v>19</v>
      </c>
      <c r="C30" s="34"/>
      <c r="D30" s="44" t="s">
        <v>19</v>
      </c>
      <c r="E30" s="34"/>
      <c r="F30" s="44" t="s">
        <v>22</v>
      </c>
      <c r="G30" s="33"/>
      <c r="H30" s="34"/>
    </row>
    <row r="31" ht="15.75" customHeight="1">
      <c r="A31" s="35">
        <v>4.0</v>
      </c>
      <c r="B31" s="44" t="s">
        <v>19</v>
      </c>
      <c r="C31" s="34"/>
      <c r="D31" s="44" t="s">
        <v>19</v>
      </c>
      <c r="E31" s="34"/>
      <c r="F31" s="44" t="s">
        <v>23</v>
      </c>
      <c r="G31" s="33"/>
      <c r="H31" s="34"/>
    </row>
    <row r="32" ht="15.75" customHeight="1">
      <c r="A32" s="35">
        <v>5.0</v>
      </c>
      <c r="B32" s="32"/>
      <c r="C32" s="34"/>
      <c r="D32" s="32"/>
      <c r="E32" s="34"/>
      <c r="F32" s="32"/>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32"/>
      <c r="E39" s="33"/>
      <c r="F39" s="33"/>
      <c r="G39" s="33"/>
      <c r="H39" s="34"/>
    </row>
    <row r="40" ht="15.75" customHeight="1">
      <c r="A40" s="35" t="s">
        <v>143</v>
      </c>
      <c r="B40" s="35" t="s">
        <v>142</v>
      </c>
      <c r="C40" s="35" t="s">
        <v>144</v>
      </c>
      <c r="D40" s="32"/>
      <c r="E40" s="33"/>
      <c r="F40" s="33"/>
      <c r="G40" s="33"/>
      <c r="H40" s="34"/>
    </row>
    <row r="41" ht="15.75" customHeight="1">
      <c r="A41" s="35" t="s">
        <v>145</v>
      </c>
      <c r="B41" s="35" t="s">
        <v>146</v>
      </c>
      <c r="C41" s="35"/>
      <c r="D41" s="32"/>
      <c r="E41" s="33"/>
      <c r="F41" s="33"/>
      <c r="G41" s="33"/>
      <c r="H41" s="34"/>
    </row>
    <row r="42" ht="15.75" customHeight="1">
      <c r="A42" s="35" t="s">
        <v>147</v>
      </c>
      <c r="B42" s="35" t="s">
        <v>142</v>
      </c>
      <c r="C42" s="35"/>
      <c r="D42" s="32"/>
      <c r="E42" s="33"/>
      <c r="F42" s="33"/>
      <c r="G42" s="33"/>
      <c r="H42" s="34"/>
    </row>
    <row r="43" ht="15.75" customHeight="1"/>
    <row r="44" ht="15.75" customHeight="1">
      <c r="A44" s="54" t="s">
        <v>148</v>
      </c>
      <c r="G44" s="47" t="s">
        <v>80</v>
      </c>
      <c r="H44" s="55">
        <v>45.0</v>
      </c>
    </row>
    <row r="45" ht="15.75" customHeight="1">
      <c r="G45" s="39" t="s">
        <v>149</v>
      </c>
    </row>
    <row r="46" ht="15.75" customHeight="1">
      <c r="A46" s="39" t="s">
        <v>150</v>
      </c>
    </row>
    <row r="47" ht="41.25" customHeight="1">
      <c r="A47" s="43" t="s">
        <v>151</v>
      </c>
      <c r="B47" s="44" t="s">
        <v>18</v>
      </c>
      <c r="C47" s="33"/>
      <c r="D47" s="33"/>
      <c r="E47" s="33"/>
      <c r="F47" s="33"/>
      <c r="G47" s="33"/>
      <c r="H47" s="34"/>
    </row>
    <row r="48" ht="15.75" customHeight="1">
      <c r="A48" s="43" t="s">
        <v>152</v>
      </c>
      <c r="B48" s="44" t="s">
        <v>153</v>
      </c>
      <c r="C48" s="33"/>
      <c r="D48" s="33"/>
      <c r="E48" s="33"/>
      <c r="F48" s="33"/>
      <c r="G48" s="33"/>
      <c r="H48" s="34"/>
    </row>
    <row r="49" ht="15.75" customHeight="1">
      <c r="A49" s="43" t="s">
        <v>120</v>
      </c>
      <c r="B49" s="73">
        <v>0.0</v>
      </c>
      <c r="C49" s="33"/>
      <c r="D49" s="33"/>
      <c r="E49" s="33"/>
      <c r="F49" s="33"/>
      <c r="G49" s="33"/>
      <c r="H49" s="34"/>
    </row>
    <row r="50" ht="15.75" customHeight="1">
      <c r="A50" s="43" t="s">
        <v>80</v>
      </c>
      <c r="B50" s="44">
        <v>10.0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77" t="s">
        <v>167</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69">
        <v>10.0</v>
      </c>
      <c r="C70" s="33"/>
      <c r="D70" s="33"/>
      <c r="E70" s="33"/>
      <c r="F70" s="33"/>
      <c r="G70" s="33"/>
      <c r="H70" s="34"/>
    </row>
    <row r="71" ht="15.75" customHeight="1">
      <c r="A71" s="68" t="s">
        <v>161</v>
      </c>
      <c r="B71" s="33"/>
      <c r="C71" s="33"/>
      <c r="D71" s="33"/>
      <c r="E71" s="33"/>
      <c r="F71" s="33"/>
      <c r="G71" s="33"/>
      <c r="H71" s="34"/>
    </row>
    <row r="72" ht="15.75" customHeight="1">
      <c r="A72" s="76"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4.0</v>
      </c>
      <c r="D5" s="33"/>
      <c r="E5" s="33"/>
      <c r="F5" s="33"/>
      <c r="G5" s="34"/>
    </row>
    <row r="6" ht="15.75" customHeight="1">
      <c r="B6" s="53" t="s">
        <v>78</v>
      </c>
      <c r="C6" s="44">
        <v>100.0</v>
      </c>
      <c r="D6" s="33"/>
      <c r="E6" s="33"/>
      <c r="F6" s="33"/>
      <c r="G6" s="34"/>
      <c r="I6" s="6"/>
    </row>
    <row r="7" ht="15.75" customHeight="1">
      <c r="B7" s="53" t="s">
        <v>120</v>
      </c>
      <c r="C7" s="44">
        <v>1.0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168</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57" t="s">
        <v>169</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5.75" customHeight="1">
      <c r="A18" s="70" t="s">
        <v>170</v>
      </c>
      <c r="B18" s="58"/>
      <c r="C18" s="58"/>
      <c r="D18" s="58"/>
      <c r="E18" s="58"/>
      <c r="F18" s="58"/>
      <c r="G18" s="58"/>
      <c r="H18" s="59"/>
    </row>
    <row r="19" ht="28.5"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c r="A23" s="43" t="s">
        <v>132</v>
      </c>
      <c r="B23" s="17" t="s">
        <v>18</v>
      </c>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IFERROR(__xludf.DUMMYFUNCTION("FILTER('Diseño'!D:D,'Diseño'!H:H=$C$5)"),"Conceptos básicos de la Electrónica")</f>
        <v>Conceptos básicos de la Electrónica</v>
      </c>
      <c r="C28" s="34"/>
      <c r="D28" s="32" t="str">
        <f>IFERROR(__xludf.DUMMYFUNCTION("FILTER('Diseño'!E:E,'Diseño'!H:H=$C$5)"),"Representación de datos en una computadora digital")</f>
        <v>Representación de datos en una computadora digital</v>
      </c>
      <c r="E28" s="34"/>
      <c r="F28" s="32" t="str">
        <f>IFERROR(__xludf.DUMMYFUNCTION("FILTER('Diseño'!F:F,'Diseño'!H:H=$C$5)"),"Sistemas numéricos base 2, 8 y 16.")</f>
        <v>Sistemas numéricos base 2, 8 y 16.</v>
      </c>
      <c r="G28" s="33"/>
      <c r="H28" s="34"/>
    </row>
    <row r="29" ht="15.75" customHeight="1">
      <c r="A29" s="35">
        <v>2.0</v>
      </c>
      <c r="B29" s="32" t="str">
        <f>IFERROR(__xludf.DUMMYFUNCTION("""COMPUTED_VALUE"""),"Lógica Combinacional")</f>
        <v>Lógica Combinacional</v>
      </c>
      <c r="C29" s="34"/>
      <c r="D29" s="32" t="str">
        <f>IFERROR(__xludf.DUMMYFUNCTION("""COMPUTED_VALUE"""),"Diseño de Lógica Combinacional")</f>
        <v>Diseño de Lógica Combinacional</v>
      </c>
      <c r="E29" s="34"/>
      <c r="F29" s="32" t="str">
        <f>IFERROR(__xludf.DUMMYFUNCTION("""COMPUTED_VALUE"""),"Comparadores")</f>
        <v>Comparadores</v>
      </c>
      <c r="G29" s="33"/>
      <c r="H29" s="34"/>
    </row>
    <row r="30" ht="15.75" customHeight="1">
      <c r="A30" s="35">
        <v>3.0</v>
      </c>
      <c r="B30" s="32" t="str">
        <f>IFERROR(__xludf.DUMMYFUNCTION("""COMPUTED_VALUE"""),"Lógica Combinacional")</f>
        <v>Lógica Combinacional</v>
      </c>
      <c r="C30" s="34"/>
      <c r="D30" s="32" t="str">
        <f>IFERROR(__xludf.DUMMYFUNCTION("""COMPUTED_VALUE"""),"Diseño de Lógica Combinacional")</f>
        <v>Diseño de Lógica Combinacional</v>
      </c>
      <c r="E30" s="34"/>
      <c r="F30" s="32" t="str">
        <f>IFERROR(__xludf.DUMMYFUNCTION("""COMPUTED_VALUE"""),"Multiplexador")</f>
        <v>Multiplexador</v>
      </c>
      <c r="G30" s="33"/>
      <c r="H30" s="34"/>
    </row>
    <row r="31" ht="15.75" customHeight="1">
      <c r="A31" s="35">
        <v>4.0</v>
      </c>
      <c r="B31" s="32" t="str">
        <f>IFERROR(__xludf.DUMMYFUNCTION("""COMPUTED_VALUE"""),"Lógica Combinacional")</f>
        <v>Lógica Combinacional</v>
      </c>
      <c r="C31" s="34"/>
      <c r="D31" s="32" t="str">
        <f>IFERROR(__xludf.DUMMYFUNCTION("""COMPUTED_VALUE"""),"Diseño de Lógica Combinacional")</f>
        <v>Diseño de Lógica Combinacional</v>
      </c>
      <c r="E31" s="34"/>
      <c r="F31" s="32" t="str">
        <f>IFERROR(__xludf.DUMMYFUNCTION("""COMPUTED_VALUE"""),"Demultiplexador")</f>
        <v>Demultiplexador</v>
      </c>
      <c r="G31" s="33"/>
      <c r="H31" s="34"/>
    </row>
    <row r="32" ht="15.75" customHeight="1">
      <c r="A32" s="35">
        <v>5.0</v>
      </c>
      <c r="B32" s="32" t="str">
        <f>IFERROR(__xludf.DUMMYFUNCTION("""COMPUTED_VALUE"""),"Lógica Combinacional")</f>
        <v>Lógica Combinacional</v>
      </c>
      <c r="C32" s="34"/>
      <c r="D32" s="32" t="str">
        <f>IFERROR(__xludf.DUMMYFUNCTION("""COMPUTED_VALUE"""),"Diseño de Lógica Combinacional")</f>
        <v>Diseño de Lógica Combinacional</v>
      </c>
      <c r="E32" s="34"/>
      <c r="F32" s="32" t="str">
        <f>IFERROR(__xludf.DUMMYFUNCTION("""COMPUTED_VALUE"""),"De binario a BCD")</f>
        <v>De binario a BCD</v>
      </c>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35.0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32"/>
      <c r="E41" s="33"/>
      <c r="F41" s="33"/>
      <c r="G41" s="33"/>
      <c r="H41" s="34"/>
    </row>
    <row r="42" ht="15.75" customHeight="1">
      <c r="A42" s="35" t="s">
        <v>147</v>
      </c>
      <c r="B42" s="35" t="s">
        <v>142</v>
      </c>
      <c r="C42" s="35"/>
      <c r="D42" s="44">
        <v>10.0</v>
      </c>
      <c r="E42" s="33"/>
      <c r="F42" s="33"/>
      <c r="G42" s="33"/>
      <c r="H42" s="34"/>
    </row>
    <row r="43" ht="15.75" customHeight="1"/>
    <row r="44" ht="15.75" customHeight="1">
      <c r="A44" s="54" t="s">
        <v>148</v>
      </c>
      <c r="G44" s="47" t="s">
        <v>80</v>
      </c>
      <c r="H44" s="55">
        <v>45.0</v>
      </c>
    </row>
    <row r="45" ht="15.75" customHeight="1">
      <c r="G45" s="39" t="s">
        <v>149</v>
      </c>
    </row>
    <row r="46" ht="15.75" customHeight="1">
      <c r="A46" s="39" t="s">
        <v>150</v>
      </c>
    </row>
    <row r="47" ht="15.75" customHeight="1">
      <c r="A47" s="43" t="s">
        <v>151</v>
      </c>
      <c r="B47" s="44" t="s">
        <v>18</v>
      </c>
      <c r="C47" s="33"/>
      <c r="D47" s="33"/>
      <c r="E47" s="33"/>
      <c r="F47" s="33"/>
      <c r="G47" s="33"/>
      <c r="H47" s="34"/>
    </row>
    <row r="48" ht="15.75" customHeight="1">
      <c r="A48" s="43" t="s">
        <v>152</v>
      </c>
      <c r="B48" s="44" t="s">
        <v>171</v>
      </c>
      <c r="C48" s="33"/>
      <c r="D48" s="33"/>
      <c r="E48" s="33"/>
      <c r="F48" s="33"/>
      <c r="G48" s="33"/>
      <c r="H48" s="34"/>
    </row>
    <row r="49" ht="15.75" customHeight="1">
      <c r="A49" s="43" t="s">
        <v>120</v>
      </c>
      <c r="B49" s="73">
        <v>0.0</v>
      </c>
      <c r="C49" s="33"/>
      <c r="D49" s="33"/>
      <c r="E49" s="33"/>
      <c r="F49" s="33"/>
      <c r="G49" s="33"/>
      <c r="H49" s="34"/>
    </row>
    <row r="50" ht="15.75" customHeight="1">
      <c r="A50" s="43" t="s">
        <v>80</v>
      </c>
      <c r="B50" s="44">
        <v>35.0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70" t="s">
        <v>172</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69">
        <v>10.0</v>
      </c>
      <c r="C70" s="33"/>
      <c r="D70" s="33"/>
      <c r="E70" s="33"/>
      <c r="F70" s="33"/>
      <c r="G70" s="33"/>
      <c r="H70" s="34"/>
    </row>
    <row r="71" ht="15.75" customHeight="1">
      <c r="A71" s="68" t="s">
        <v>161</v>
      </c>
      <c r="B71" s="33"/>
      <c r="C71" s="33"/>
      <c r="D71" s="33"/>
      <c r="E71" s="33"/>
      <c r="F71" s="33"/>
      <c r="G71" s="33"/>
      <c r="H71" s="34"/>
    </row>
    <row r="72" ht="15.75" customHeight="1">
      <c r="A72" s="57"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4 B47 B58">
      <formula1>METADATA!$I$17:$I$40</formula1>
    </dataValidation>
    <dataValidation type="list" allowBlank="1" showErrorMessage="1" sqref="B48">
      <formula1>"actividades,Ejercicio practico,Cuestionario,Analisis,otros"</formula1>
    </dataValidation>
    <dataValidation type="list" allowBlank="1" showErrorMessage="1" sqref="B23">
      <formula1>METADATA!$I$17:$I$37</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5.0</v>
      </c>
      <c r="D5" s="33"/>
      <c r="E5" s="33"/>
      <c r="F5" s="33"/>
      <c r="G5" s="34"/>
    </row>
    <row r="6" ht="15.75" customHeight="1">
      <c r="B6" s="53" t="s">
        <v>78</v>
      </c>
      <c r="C6" s="44">
        <v>100.0</v>
      </c>
      <c r="D6" s="33"/>
      <c r="E6" s="33"/>
      <c r="F6" s="33"/>
      <c r="G6" s="34"/>
      <c r="I6" s="6"/>
    </row>
    <row r="7" ht="15.75" customHeight="1">
      <c r="B7" s="53" t="s">
        <v>120</v>
      </c>
      <c r="C7" s="44">
        <v>1.0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173</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57" t="s">
        <v>174</v>
      </c>
      <c r="B15" s="58"/>
      <c r="C15" s="58"/>
      <c r="D15" s="58"/>
      <c r="E15" s="58"/>
      <c r="F15" s="58"/>
      <c r="G15" s="58"/>
      <c r="H15" s="59"/>
    </row>
    <row r="16" ht="34.5" customHeight="1">
      <c r="A16" s="60"/>
      <c r="B16" s="61"/>
      <c r="C16" s="61"/>
      <c r="D16" s="61"/>
      <c r="E16" s="61"/>
      <c r="F16" s="61"/>
      <c r="G16" s="61"/>
      <c r="H16" s="62"/>
    </row>
    <row r="17" ht="15.75" customHeight="1">
      <c r="A17" s="56" t="s">
        <v>128</v>
      </c>
      <c r="B17" s="33"/>
      <c r="C17" s="33"/>
      <c r="D17" s="33"/>
      <c r="E17" s="33"/>
      <c r="F17" s="33"/>
      <c r="G17" s="33"/>
      <c r="H17" s="34"/>
    </row>
    <row r="18" ht="15.75" customHeight="1">
      <c r="A18" s="57" t="s">
        <v>175</v>
      </c>
      <c r="B18" s="58"/>
      <c r="C18" s="58"/>
      <c r="D18" s="58"/>
      <c r="E18" s="58"/>
      <c r="F18" s="58"/>
      <c r="G18" s="58"/>
      <c r="H18" s="59"/>
    </row>
    <row r="19" ht="31.5"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ht="15.75" customHeight="1">
      <c r="A23" s="43" t="s">
        <v>132</v>
      </c>
      <c r="B23" s="44" t="s">
        <v>12</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IFERROR(__xludf.DUMMYFUNCTION("FILTER('Diseño'!D:D,'Diseño'!H:H=$C$5)"),"Bloques Digitales y Lógica Secuencial")</f>
        <v>Bloques Digitales y Lógica Secuencial</v>
      </c>
      <c r="C28" s="34"/>
      <c r="D28" s="32" t="str">
        <f>IFERROR(__xludf.DUMMYFUNCTION("FILTER('Diseño'!E:E,'Diseño'!H:H=$C$5)"),"Bloques Combinacionales")</f>
        <v>Bloques Combinacionales</v>
      </c>
      <c r="E28" s="34"/>
      <c r="F28" s="32" t="str">
        <f>IFERROR(__xludf.DUMMYFUNCTION("FILTER('Diseño'!F:F,'Diseño'!H:H=$C$5)"),"Circuitos de Control")</f>
        <v>Circuitos de Control</v>
      </c>
      <c r="G28" s="33"/>
      <c r="H28" s="34"/>
    </row>
    <row r="29" ht="15.75" customHeight="1">
      <c r="A29" s="35">
        <v>2.0</v>
      </c>
      <c r="B29" s="32" t="str">
        <f>IFERROR(__xludf.DUMMYFUNCTION("""COMPUTED_VALUE"""),"Bloques Digitales y Lógica Secuencial")</f>
        <v>Bloques Digitales y Lógica Secuencial</v>
      </c>
      <c r="C29" s="34"/>
      <c r="D29" s="32" t="str">
        <f>IFERROR(__xludf.DUMMYFUNCTION("""COMPUTED_VALUE"""),"Bloques Combinacionales")</f>
        <v>Bloques Combinacionales</v>
      </c>
      <c r="E29" s="34"/>
      <c r="F29" s="32" t="str">
        <f>IFERROR(__xludf.DUMMYFUNCTION("""COMPUTED_VALUE"""),"Sumador")</f>
        <v>Sumador</v>
      </c>
      <c r="G29" s="33"/>
      <c r="H29" s="34"/>
    </row>
    <row r="30" ht="15.75" customHeight="1">
      <c r="A30" s="35">
        <v>3.0</v>
      </c>
      <c r="B30" s="32" t="str">
        <f>IFERROR(__xludf.DUMMYFUNCTION("""COMPUTED_VALUE"""),"Bloques Digitales y Lógica Secuencial")</f>
        <v>Bloques Digitales y Lógica Secuencial</v>
      </c>
      <c r="C30" s="34"/>
      <c r="D30" s="32" t="str">
        <f>IFERROR(__xludf.DUMMYFUNCTION("""COMPUTED_VALUE"""),"Bloques Combinacionales")</f>
        <v>Bloques Combinacionales</v>
      </c>
      <c r="E30" s="34"/>
      <c r="F30" s="32" t="str">
        <f>IFERROR(__xludf.DUMMYFUNCTION("""COMPUTED_VALUE"""),"Restador")</f>
        <v>Restador</v>
      </c>
      <c r="G30" s="33"/>
      <c r="H30" s="34"/>
    </row>
    <row r="31" ht="15.75" customHeight="1">
      <c r="A31" s="35">
        <v>4.0</v>
      </c>
      <c r="B31" s="32" t="str">
        <f>IFERROR(__xludf.DUMMYFUNCTION("""COMPUTED_VALUE"""),"Bloques Digitales y Lógica Secuencial")</f>
        <v>Bloques Digitales y Lógica Secuencial</v>
      </c>
      <c r="C31" s="34"/>
      <c r="D31" s="32" t="str">
        <f>IFERROR(__xludf.DUMMYFUNCTION("""COMPUTED_VALUE"""),"Bloques Combinacionales")</f>
        <v>Bloques Combinacionales</v>
      </c>
      <c r="E31" s="34"/>
      <c r="F31" s="32" t="str">
        <f>IFERROR(__xludf.DUMMYFUNCTION("""COMPUTED_VALUE"""),"Multiplicador")</f>
        <v>Multiplicador</v>
      </c>
      <c r="G31" s="33"/>
      <c r="H31" s="34"/>
    </row>
    <row r="32" ht="15.75" customHeight="1">
      <c r="A32" s="35">
        <v>5.0</v>
      </c>
      <c r="B32" s="32"/>
      <c r="C32" s="34"/>
      <c r="D32" s="32"/>
      <c r="E32" s="34"/>
      <c r="F32" s="32"/>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35.0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32"/>
      <c r="E41" s="33"/>
      <c r="F41" s="33"/>
      <c r="G41" s="33"/>
      <c r="H41" s="34"/>
    </row>
    <row r="42" ht="15.75" customHeight="1">
      <c r="A42" s="35" t="s">
        <v>147</v>
      </c>
      <c r="B42" s="35" t="s">
        <v>142</v>
      </c>
      <c r="C42" s="35"/>
      <c r="D42" s="44">
        <v>10.0</v>
      </c>
      <c r="E42" s="33"/>
      <c r="F42" s="33"/>
      <c r="G42" s="33"/>
      <c r="H42" s="34"/>
    </row>
    <row r="43" ht="15.75" customHeight="1"/>
    <row r="44" ht="15.75" customHeight="1">
      <c r="A44" s="54" t="s">
        <v>148</v>
      </c>
      <c r="G44" s="47" t="s">
        <v>80</v>
      </c>
      <c r="H44" s="55">
        <v>45.0</v>
      </c>
    </row>
    <row r="45" ht="15.75" customHeight="1">
      <c r="G45" s="39" t="s">
        <v>149</v>
      </c>
    </row>
    <row r="46" ht="15.75" customHeight="1">
      <c r="A46" s="39" t="s">
        <v>150</v>
      </c>
    </row>
    <row r="47" ht="15.75" customHeight="1">
      <c r="A47" s="43" t="s">
        <v>151</v>
      </c>
      <c r="B47" s="44" t="s">
        <v>12</v>
      </c>
      <c r="C47" s="33"/>
      <c r="D47" s="33"/>
      <c r="E47" s="33"/>
      <c r="F47" s="33"/>
      <c r="G47" s="33"/>
      <c r="H47" s="34"/>
    </row>
    <row r="48" ht="15.75" customHeight="1">
      <c r="A48" s="43" t="s">
        <v>152</v>
      </c>
      <c r="B48" s="44" t="s">
        <v>171</v>
      </c>
      <c r="C48" s="33"/>
      <c r="D48" s="33"/>
      <c r="E48" s="33"/>
      <c r="F48" s="33"/>
      <c r="G48" s="33"/>
      <c r="H48" s="34"/>
    </row>
    <row r="49" ht="15.75" customHeight="1">
      <c r="A49" s="43" t="s">
        <v>120</v>
      </c>
      <c r="B49" s="73">
        <v>0.0</v>
      </c>
      <c r="C49" s="33"/>
      <c r="D49" s="33"/>
      <c r="E49" s="33"/>
      <c r="F49" s="33"/>
      <c r="G49" s="33"/>
      <c r="H49" s="34"/>
    </row>
    <row r="50" ht="15.75" customHeight="1">
      <c r="A50" s="43" t="s">
        <v>80</v>
      </c>
      <c r="B50" s="44">
        <v>35.0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57" t="s">
        <v>176</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73"/>
      <c r="C70" s="33"/>
      <c r="D70" s="33"/>
      <c r="E70" s="33"/>
      <c r="F70" s="33"/>
      <c r="G70" s="33"/>
      <c r="H70" s="34"/>
    </row>
    <row r="71" ht="15.75" customHeight="1">
      <c r="A71" s="68" t="s">
        <v>161</v>
      </c>
      <c r="B71" s="33"/>
      <c r="C71" s="33"/>
      <c r="D71" s="33"/>
      <c r="E71" s="33"/>
      <c r="F71" s="33"/>
      <c r="G71" s="33"/>
      <c r="H71" s="34"/>
    </row>
    <row r="72" ht="15.75" customHeight="1">
      <c r="A72" s="57"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6.0</v>
      </c>
      <c r="D5" s="33"/>
      <c r="E5" s="33"/>
      <c r="F5" s="33"/>
      <c r="G5" s="34"/>
    </row>
    <row r="6" ht="15.75" customHeight="1">
      <c r="B6" s="53" t="s">
        <v>78</v>
      </c>
      <c r="C6" s="32">
        <f>H10+H21+H44+H68</f>
        <v>110</v>
      </c>
      <c r="D6" s="33"/>
      <c r="E6" s="33"/>
      <c r="F6" s="33"/>
      <c r="G6" s="34"/>
      <c r="I6" s="6"/>
    </row>
    <row r="7" ht="15.75" customHeight="1">
      <c r="B7" s="53" t="s">
        <v>120</v>
      </c>
      <c r="C7" s="32">
        <f>B49+B60</f>
        <v>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177</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57" t="s">
        <v>178</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5.75" customHeight="1">
      <c r="A18" s="57" t="s">
        <v>179</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55">
        <v>60.0</v>
      </c>
      <c r="I21" s="6"/>
    </row>
    <row r="22" ht="15.75" customHeight="1">
      <c r="G22" s="39" t="s">
        <v>131</v>
      </c>
    </row>
    <row r="23" ht="15.75" customHeight="1">
      <c r="A23" s="43" t="s">
        <v>132</v>
      </c>
      <c r="B23" s="44" t="s">
        <v>12</v>
      </c>
      <c r="C23" s="33"/>
      <c r="D23" s="33"/>
      <c r="E23" s="33"/>
      <c r="F23" s="33"/>
      <c r="G23" s="33"/>
      <c r="H23" s="34"/>
    </row>
    <row r="24" ht="15.75" customHeight="1">
      <c r="A24" s="43" t="s">
        <v>132</v>
      </c>
      <c r="B24" s="44" t="s">
        <v>34</v>
      </c>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IFERROR(__xludf.DUMMYFUNCTION("FILTER('Diseño'!D:D,'Diseño'!H:H=$C$5)"),"Bloques Digitales y Lógica Secuencial")</f>
        <v>Bloques Digitales y Lógica Secuencial</v>
      </c>
      <c r="C28" s="34"/>
      <c r="D28" s="32" t="str">
        <f>IFERROR(__xludf.DUMMYFUNCTION("FILTER('Diseño'!E:E,'Diseño'!H:H=$C$5)"),"Bloques Combinacionales")</f>
        <v>Bloques Combinacionales</v>
      </c>
      <c r="E28" s="34"/>
      <c r="F28" s="32" t="str">
        <f>IFERROR(__xludf.DUMMYFUNCTION("FILTER('Diseño'!F:F,'Diseño'!H:H=$C$5)"),"Display 7 segmentos (anodo y catodo comun)")</f>
        <v>Display 7 segmentos (anodo y catodo comun)</v>
      </c>
      <c r="G28" s="33"/>
      <c r="H28" s="34"/>
    </row>
    <row r="29" ht="15.75" customHeight="1">
      <c r="A29" s="35">
        <v>2.0</v>
      </c>
      <c r="B29" s="32" t="str">
        <f>IFERROR(__xludf.DUMMYFUNCTION("""COMPUTED_VALUE"""),"Bloques Digitales y Lógica Secuencial")</f>
        <v>Bloques Digitales y Lógica Secuencial</v>
      </c>
      <c r="C29" s="34"/>
      <c r="D29" s="32" t="str">
        <f>IFERROR(__xludf.DUMMYFUNCTION("""COMPUTED_VALUE"""),"Introduccion a la logica secuencial")</f>
        <v>Introduccion a la logica secuencial</v>
      </c>
      <c r="E29" s="34"/>
      <c r="F29" s="32" t="str">
        <f>IFERROR(__xludf.DUMMYFUNCTION("""COMPUTED_VALUE"""),"Circuitos Sincronicos")</f>
        <v>Circuitos Sincronicos</v>
      </c>
      <c r="G29" s="33"/>
      <c r="H29" s="34"/>
    </row>
    <row r="30" ht="15.75" customHeight="1">
      <c r="A30" s="35">
        <v>3.0</v>
      </c>
      <c r="B30" s="32" t="str">
        <f>IFERROR(__xludf.DUMMYFUNCTION("""COMPUTED_VALUE"""),"Bloques Digitales y Lógica Secuencial")</f>
        <v>Bloques Digitales y Lógica Secuencial</v>
      </c>
      <c r="C30" s="34"/>
      <c r="D30" s="32" t="str">
        <f>IFERROR(__xludf.DUMMYFUNCTION("""COMPUTED_VALUE"""),"Introduccion a la logica secuencial")</f>
        <v>Introduccion a la logica secuencial</v>
      </c>
      <c r="E30" s="34"/>
      <c r="F30" s="32" t="str">
        <f>IFERROR(__xludf.DUMMYFUNCTION("""COMPUTED_VALUE"""),"Circuitos Asincronicos")</f>
        <v>Circuitos Asincronicos</v>
      </c>
      <c r="G30" s="33"/>
      <c r="H30" s="34"/>
    </row>
    <row r="31" ht="15.75" customHeight="1">
      <c r="A31" s="35">
        <v>4.0</v>
      </c>
      <c r="B31" s="32" t="str">
        <f>IFERROR(__xludf.DUMMYFUNCTION("""COMPUTED_VALUE"""),"Bloques Digitales y Lógica Secuencial")</f>
        <v>Bloques Digitales y Lógica Secuencial</v>
      </c>
      <c r="C31" s="34"/>
      <c r="D31" s="32" t="str">
        <f>IFERROR(__xludf.DUMMYFUNCTION("""COMPUTED_VALUE"""),"Introduccion a la logica secuencial")</f>
        <v>Introduccion a la logica secuencial</v>
      </c>
      <c r="E31" s="34"/>
      <c r="F31" s="32" t="str">
        <f>IFERROR(__xludf.DUMMYFUNCTION("""COMPUTED_VALUE"""),"Latches")</f>
        <v>Latches</v>
      </c>
      <c r="G31" s="33"/>
      <c r="H31" s="34"/>
    </row>
    <row r="32" ht="15.75" customHeight="1">
      <c r="A32" s="35">
        <v>5.0</v>
      </c>
      <c r="B32" s="32"/>
      <c r="C32" s="34"/>
      <c r="D32" s="32"/>
      <c r="E32" s="34"/>
      <c r="F32" s="32"/>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35.0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44"/>
      <c r="E41" s="33"/>
      <c r="F41" s="33"/>
      <c r="G41" s="33"/>
      <c r="H41" s="34"/>
    </row>
    <row r="42" ht="15.75" customHeight="1">
      <c r="A42" s="35" t="s">
        <v>147</v>
      </c>
      <c r="B42" s="35" t="s">
        <v>142</v>
      </c>
      <c r="C42" s="35"/>
      <c r="D42" s="44">
        <v>15.0</v>
      </c>
      <c r="E42" s="33"/>
      <c r="F42" s="33"/>
      <c r="G42" s="33"/>
      <c r="H42" s="34"/>
    </row>
    <row r="43" ht="15.75" customHeight="1"/>
    <row r="44" ht="15.75" customHeight="1">
      <c r="A44" s="54" t="s">
        <v>148</v>
      </c>
      <c r="G44" s="47" t="s">
        <v>80</v>
      </c>
      <c r="H44" s="55">
        <v>35.0</v>
      </c>
    </row>
    <row r="45" ht="15.75" customHeight="1">
      <c r="G45" s="39" t="s">
        <v>149</v>
      </c>
    </row>
    <row r="46" ht="15.75" customHeight="1">
      <c r="A46" s="39" t="s">
        <v>150</v>
      </c>
    </row>
    <row r="47" ht="15.75" customHeight="1">
      <c r="A47" s="43" t="s">
        <v>151</v>
      </c>
      <c r="B47" s="44" t="s">
        <v>12</v>
      </c>
      <c r="C47" s="33"/>
      <c r="D47" s="33"/>
      <c r="E47" s="33"/>
      <c r="F47" s="33"/>
      <c r="G47" s="33"/>
      <c r="H47" s="34"/>
    </row>
    <row r="48" ht="15.75" customHeight="1">
      <c r="A48" s="43" t="s">
        <v>152</v>
      </c>
      <c r="B48" s="32" t="s">
        <v>180</v>
      </c>
      <c r="C48" s="33"/>
      <c r="D48" s="33"/>
      <c r="E48" s="33"/>
      <c r="F48" s="33"/>
      <c r="G48" s="33"/>
      <c r="H48" s="34"/>
    </row>
    <row r="49" ht="15.75" customHeight="1">
      <c r="A49" s="43" t="s">
        <v>120</v>
      </c>
      <c r="B49" s="73">
        <v>0.0</v>
      </c>
      <c r="C49" s="33"/>
      <c r="D49" s="33"/>
      <c r="E49" s="33"/>
      <c r="F49" s="33"/>
      <c r="G49" s="33"/>
      <c r="H49" s="34"/>
    </row>
    <row r="50" ht="15.75" customHeight="1">
      <c r="A50" s="43" t="s">
        <v>80</v>
      </c>
      <c r="B50" s="44">
        <v>15.0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57" t="s">
        <v>181</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44" t="s">
        <v>34</v>
      </c>
      <c r="C58" s="33"/>
      <c r="D58" s="33"/>
      <c r="E58" s="33"/>
      <c r="F58" s="33"/>
      <c r="G58" s="33"/>
      <c r="H58" s="34"/>
    </row>
    <row r="59" ht="15.75" customHeight="1">
      <c r="A59" s="43" t="s">
        <v>152</v>
      </c>
      <c r="B59" s="32" t="s">
        <v>180</v>
      </c>
      <c r="C59" s="33"/>
      <c r="D59" s="33"/>
      <c r="E59" s="33"/>
      <c r="F59" s="33"/>
      <c r="G59" s="33"/>
      <c r="H59" s="34"/>
    </row>
    <row r="60" ht="15.75" customHeight="1">
      <c r="A60" s="43" t="s">
        <v>120</v>
      </c>
      <c r="B60" s="69">
        <v>0.0</v>
      </c>
      <c r="C60" s="33"/>
      <c r="D60" s="33"/>
      <c r="E60" s="33"/>
      <c r="F60" s="33"/>
      <c r="G60" s="33"/>
      <c r="H60" s="34"/>
    </row>
    <row r="61" ht="15.75" customHeight="1">
      <c r="A61" s="43" t="s">
        <v>80</v>
      </c>
      <c r="B61" s="69">
        <v>20.0</v>
      </c>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57" t="s">
        <v>182</v>
      </c>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69">
        <v>15.0</v>
      </c>
      <c r="C70" s="33"/>
      <c r="D70" s="33"/>
      <c r="E70" s="33"/>
      <c r="F70" s="33"/>
      <c r="G70" s="33"/>
      <c r="H70" s="34"/>
    </row>
    <row r="71" ht="15.75" customHeight="1">
      <c r="A71" s="68" t="s">
        <v>161</v>
      </c>
      <c r="B71" s="33"/>
      <c r="C71" s="33"/>
      <c r="D71" s="33"/>
      <c r="E71" s="33"/>
      <c r="F71" s="33"/>
      <c r="G71" s="33"/>
      <c r="H71" s="34"/>
    </row>
    <row r="72" ht="15.75" customHeight="1">
      <c r="A72" s="57" t="s">
        <v>183</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B59">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7.0</v>
      </c>
      <c r="D5" s="33"/>
      <c r="E5" s="33"/>
      <c r="F5" s="33"/>
      <c r="G5" s="34"/>
    </row>
    <row r="6" ht="15.75" customHeight="1">
      <c r="B6" s="53" t="s">
        <v>78</v>
      </c>
      <c r="C6" s="32">
        <f>H10+H21+H44+H68</f>
        <v>110</v>
      </c>
      <c r="D6" s="33"/>
      <c r="E6" s="33"/>
      <c r="F6" s="33"/>
      <c r="G6" s="34"/>
      <c r="I6" s="6"/>
    </row>
    <row r="7" ht="15.75" customHeight="1">
      <c r="B7" s="53" t="s">
        <v>120</v>
      </c>
      <c r="C7" s="32">
        <f>B49+B60</f>
        <v>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10.0</v>
      </c>
    </row>
    <row r="11" ht="15.75" customHeight="1">
      <c r="G11" s="39" t="s">
        <v>123</v>
      </c>
    </row>
    <row r="12" ht="15.75" customHeight="1">
      <c r="A12" s="43" t="s">
        <v>124</v>
      </c>
      <c r="B12" s="44" t="s">
        <v>184</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57" t="s">
        <v>185</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5.75" customHeight="1">
      <c r="A18" s="57" t="s">
        <v>186</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55">
        <v>60.0</v>
      </c>
      <c r="I21" s="6"/>
    </row>
    <row r="22" ht="15.75" customHeight="1">
      <c r="G22" s="39" t="s">
        <v>131</v>
      </c>
    </row>
    <row r="23" ht="15.75" customHeight="1">
      <c r="A23" s="43" t="s">
        <v>132</v>
      </c>
      <c r="B23" s="44" t="s">
        <v>34</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IFERROR(__xludf.DUMMYFUNCTION("FILTER('Diseño'!D:D,'Diseño'!H:H=$C$5)"),"Bloques Digitales y Logica Secuencial")</f>
        <v>Bloques Digitales y Logica Secuencial</v>
      </c>
      <c r="C28" s="34"/>
      <c r="D28" s="32" t="str">
        <f>IFERROR(__xludf.DUMMYFUNCTION("FILTER('Diseño'!E:E,'Diseño'!H:H=$C$5)"),"Introduccion a la logica secuencial")</f>
        <v>Introduccion a la logica secuencial</v>
      </c>
      <c r="E28" s="34"/>
      <c r="F28" s="32" t="str">
        <f>IFERROR(__xludf.DUMMYFUNCTION("FILTER('Diseño'!F:F,'Diseño'!H:H=$C$5)"),"Flip-flop tipo SR")</f>
        <v>Flip-flop tipo SR</v>
      </c>
      <c r="G28" s="33"/>
      <c r="H28" s="34"/>
    </row>
    <row r="29" ht="15.75" customHeight="1">
      <c r="A29" s="35">
        <v>2.0</v>
      </c>
      <c r="B29" s="32" t="str">
        <f>IFERROR(__xludf.DUMMYFUNCTION("""COMPUTED_VALUE"""),"Bloques Digitales y Logica Secuencial")</f>
        <v>Bloques Digitales y Logica Secuencial</v>
      </c>
      <c r="C29" s="34"/>
      <c r="D29" s="32" t="str">
        <f>IFERROR(__xludf.DUMMYFUNCTION("""COMPUTED_VALUE"""),"Introduccion a la logica secuencial")</f>
        <v>Introduccion a la logica secuencial</v>
      </c>
      <c r="E29" s="34"/>
      <c r="F29" s="32" t="str">
        <f>IFERROR(__xludf.DUMMYFUNCTION("""COMPUTED_VALUE"""),"Flip-flop tipo D")</f>
        <v>Flip-flop tipo D</v>
      </c>
      <c r="G29" s="33"/>
      <c r="H29" s="34"/>
    </row>
    <row r="30" ht="15.75" customHeight="1">
      <c r="A30" s="35">
        <v>3.0</v>
      </c>
      <c r="B30" s="32" t="str">
        <f>IFERROR(__xludf.DUMMYFUNCTION("""COMPUTED_VALUE"""),"Bloques Digitales y Logica Secuencial")</f>
        <v>Bloques Digitales y Logica Secuencial</v>
      </c>
      <c r="C30" s="34"/>
      <c r="D30" s="32" t="str">
        <f>IFERROR(__xludf.DUMMYFUNCTION("""COMPUTED_VALUE"""),"Introduccion a la logica secuencial")</f>
        <v>Introduccion a la logica secuencial</v>
      </c>
      <c r="E30" s="34"/>
      <c r="F30" s="32" t="str">
        <f>IFERROR(__xludf.DUMMYFUNCTION("""COMPUTED_VALUE"""),"Flip-flop tipo JK")</f>
        <v>Flip-flop tipo JK</v>
      </c>
      <c r="G30" s="33"/>
      <c r="H30" s="34"/>
    </row>
    <row r="31" ht="15.75" customHeight="1">
      <c r="A31" s="35">
        <v>4.0</v>
      </c>
      <c r="B31" s="32" t="str">
        <f>IFERROR(__xludf.DUMMYFUNCTION("""COMPUTED_VALUE"""),"Bloques Digitales y Logica Secuencial")</f>
        <v>Bloques Digitales y Logica Secuencial</v>
      </c>
      <c r="C31" s="34"/>
      <c r="D31" s="32" t="str">
        <f>IFERROR(__xludf.DUMMYFUNCTION("""COMPUTED_VALUE"""),"Introduccion a la logica secuencial")</f>
        <v>Introduccion a la logica secuencial</v>
      </c>
      <c r="E31" s="34"/>
      <c r="F31" s="32" t="str">
        <f>IFERROR(__xludf.DUMMYFUNCTION("""COMPUTED_VALUE"""),"Flip-flop tipo T")</f>
        <v>Flip-flop tipo T</v>
      </c>
      <c r="G31" s="33"/>
      <c r="H31" s="34"/>
    </row>
    <row r="32" ht="15.75" customHeight="1">
      <c r="A32" s="35">
        <v>5.0</v>
      </c>
      <c r="B32" s="32" t="str">
        <f>IFERROR(__xludf.DUMMYFUNCTION("""COMPUTED_VALUE"""),"Bloques Digitales y Logica Secuencial")</f>
        <v>Bloques Digitales y Logica Secuencial</v>
      </c>
      <c r="C32" s="34"/>
      <c r="D32" s="32" t="str">
        <f>IFERROR(__xludf.DUMMYFUNCTION("""COMPUTED_VALUE"""),"Flip-Flops")</f>
        <v>Flip-Flops</v>
      </c>
      <c r="E32" s="34"/>
      <c r="F32" s="32" t="str">
        <f>IFERROR(__xludf.DUMMYFUNCTION("""COMPUTED_VALUE"""),"Aplicaciones de flip-flops en circuitos digitales")</f>
        <v>Aplicaciones de flip-flops en circuitos digitales</v>
      </c>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25.0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44">
        <v>5.0</v>
      </c>
      <c r="E41" s="33"/>
      <c r="F41" s="33"/>
      <c r="G41" s="33"/>
      <c r="H41" s="34"/>
    </row>
    <row r="42" ht="15.75" customHeight="1">
      <c r="A42" s="35" t="s">
        <v>147</v>
      </c>
      <c r="B42" s="35" t="s">
        <v>142</v>
      </c>
      <c r="C42" s="35"/>
      <c r="D42" s="44">
        <v>15.0</v>
      </c>
      <c r="E42" s="33"/>
      <c r="F42" s="33"/>
      <c r="G42" s="33"/>
      <c r="H42" s="34"/>
    </row>
    <row r="43" ht="15.75" customHeight="1"/>
    <row r="44" ht="15.75" customHeight="1">
      <c r="A44" s="54" t="s">
        <v>148</v>
      </c>
      <c r="G44" s="47" t="s">
        <v>80</v>
      </c>
      <c r="H44" s="55">
        <v>30.0</v>
      </c>
    </row>
    <row r="45" ht="15.75" customHeight="1">
      <c r="G45" s="39" t="s">
        <v>149</v>
      </c>
    </row>
    <row r="46" ht="15.75" customHeight="1">
      <c r="A46" s="39" t="s">
        <v>150</v>
      </c>
    </row>
    <row r="47" ht="15.75" customHeight="1">
      <c r="A47" s="43" t="s">
        <v>151</v>
      </c>
      <c r="B47" s="44" t="s">
        <v>34</v>
      </c>
      <c r="C47" s="33"/>
      <c r="D47" s="33"/>
      <c r="E47" s="33"/>
      <c r="F47" s="33"/>
      <c r="G47" s="33"/>
      <c r="H47" s="34"/>
    </row>
    <row r="48" ht="15.75" customHeight="1">
      <c r="A48" s="43" t="s">
        <v>152</v>
      </c>
      <c r="B48" s="32" t="s">
        <v>180</v>
      </c>
      <c r="C48" s="33"/>
      <c r="D48" s="33"/>
      <c r="E48" s="33"/>
      <c r="F48" s="33"/>
      <c r="G48" s="33"/>
      <c r="H48" s="34"/>
    </row>
    <row r="49" ht="15.75" customHeight="1">
      <c r="A49" s="43" t="s">
        <v>120</v>
      </c>
      <c r="B49" s="73">
        <v>0.0</v>
      </c>
      <c r="C49" s="33"/>
      <c r="D49" s="33"/>
      <c r="E49" s="33"/>
      <c r="F49" s="33"/>
      <c r="G49" s="33"/>
      <c r="H49" s="34"/>
    </row>
    <row r="50" ht="15.75" customHeight="1">
      <c r="A50" s="43" t="s">
        <v>80</v>
      </c>
      <c r="B50" s="44">
        <v>30.0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57" t="s">
        <v>187</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57"/>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69">
        <v>5.0</v>
      </c>
      <c r="C70" s="33"/>
      <c r="D70" s="33"/>
      <c r="E70" s="33"/>
      <c r="F70" s="33"/>
      <c r="G70" s="33"/>
      <c r="H70" s="34"/>
    </row>
    <row r="71" ht="15.75" customHeight="1">
      <c r="A71" s="68" t="s">
        <v>161</v>
      </c>
      <c r="B71" s="33"/>
      <c r="C71" s="33"/>
      <c r="D71" s="33"/>
      <c r="E71" s="33"/>
      <c r="F71" s="33"/>
      <c r="G71" s="33"/>
      <c r="H71" s="34"/>
    </row>
    <row r="72" ht="15.75" customHeight="1">
      <c r="A72" s="57" t="s">
        <v>188</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44">
        <v>8.0</v>
      </c>
      <c r="D5" s="33"/>
      <c r="E5" s="33"/>
      <c r="F5" s="33"/>
      <c r="G5" s="34"/>
    </row>
    <row r="6" ht="15.75" customHeight="1">
      <c r="B6" s="53" t="s">
        <v>78</v>
      </c>
      <c r="C6" s="32">
        <f>H10+H21+H44+H68</f>
        <v>100</v>
      </c>
      <c r="D6" s="33"/>
      <c r="E6" s="33"/>
      <c r="F6" s="33"/>
      <c r="G6" s="34"/>
      <c r="I6" s="6"/>
    </row>
    <row r="7" ht="15.75" customHeight="1">
      <c r="B7" s="53" t="s">
        <v>120</v>
      </c>
      <c r="C7" s="32">
        <f>B49+B60</f>
        <v>0</v>
      </c>
      <c r="D7" s="33"/>
      <c r="E7" s="33"/>
      <c r="F7" s="33"/>
      <c r="G7" s="34"/>
    </row>
    <row r="8" ht="15.75" customHeight="1">
      <c r="B8" s="53" t="s">
        <v>121</v>
      </c>
      <c r="C8" s="32" t="str">
        <f>IF(H44&lt;=0, "❌ ERROR: La Actividad 1 debe tener un tiempo mayor a 0.", IF(H21&gt;60, "❌ ERROR: El 'Área de Conocimiento' no puede exceder los 60 min.", IF(C6&lt;100,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f>B13</f>
        <v>5</v>
      </c>
    </row>
    <row r="11" ht="15.75" customHeight="1">
      <c r="G11" s="39" t="s">
        <v>123</v>
      </c>
    </row>
    <row r="12" ht="15.75" customHeight="1">
      <c r="A12" s="43" t="s">
        <v>124</v>
      </c>
      <c r="B12" s="44" t="s">
        <v>189</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70" t="s">
        <v>190</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5.75" customHeight="1">
      <c r="A18" s="78" t="s">
        <v>191</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79">
        <f>D39+D40+D41+D42</f>
        <v>50</v>
      </c>
      <c r="I21" s="6"/>
    </row>
    <row r="22" ht="15.75" customHeight="1">
      <c r="G22" s="39" t="s">
        <v>131</v>
      </c>
    </row>
    <row r="23" ht="15.75" customHeight="1">
      <c r="A23" s="43" t="s">
        <v>132</v>
      </c>
      <c r="B23" s="44" t="s">
        <v>46</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IFERROR(__xludf.DUMMYFUNCTION("FILTER('Diseño'!D:D,'Diseño'!H:H=$C$5)"),"Bloques Digitales y Logica Secuencial")</f>
        <v>Bloques Digitales y Logica Secuencial</v>
      </c>
      <c r="C28" s="34"/>
      <c r="D28" s="32" t="str">
        <f>IFERROR(__xludf.DUMMYFUNCTION("FILTER('Diseño'!E:E,'Diseño'!H:H=$C$5)"),"Contadores")</f>
        <v>Contadores</v>
      </c>
      <c r="E28" s="34"/>
      <c r="F28" s="32" t="str">
        <f>IFERROR(__xludf.DUMMYFUNCTION("FILTER('Diseño'!F:F,'Diseño'!H:H=$C$5)"),"Contadorres")</f>
        <v>Contadorres</v>
      </c>
      <c r="G28" s="33"/>
      <c r="H28" s="34"/>
    </row>
    <row r="29" ht="15.75" customHeight="1">
      <c r="A29" s="35">
        <v>2.0</v>
      </c>
      <c r="B29" s="32" t="str">
        <f>IFERROR(__xludf.DUMMYFUNCTION("""COMPUTED_VALUE"""),"Bloques Digitales y Logica Secuencial")</f>
        <v>Bloques Digitales y Logica Secuencial</v>
      </c>
      <c r="C29" s="34"/>
      <c r="D29" s="32" t="str">
        <f>IFERROR(__xludf.DUMMYFUNCTION("""COMPUTED_VALUE"""),"Contadores")</f>
        <v>Contadores</v>
      </c>
      <c r="E29" s="34"/>
      <c r="F29" s="32" t="str">
        <f>IFERROR(__xludf.DUMMYFUNCTION("""COMPUTED_VALUE"""),"Contadorres")</f>
        <v>Contadorres</v>
      </c>
      <c r="G29" s="33"/>
      <c r="H29" s="34"/>
    </row>
    <row r="30" ht="15.75" customHeight="1">
      <c r="A30" s="35">
        <v>3.0</v>
      </c>
      <c r="B30" s="32"/>
      <c r="C30" s="34"/>
      <c r="D30" s="32"/>
      <c r="E30" s="34"/>
      <c r="F30" s="32"/>
      <c r="G30" s="33"/>
      <c r="H30" s="34"/>
    </row>
    <row r="31" ht="15.75" customHeight="1">
      <c r="A31" s="35">
        <v>4.0</v>
      </c>
      <c r="B31" s="32"/>
      <c r="C31" s="34"/>
      <c r="D31" s="32"/>
      <c r="E31" s="34"/>
      <c r="F31" s="32"/>
      <c r="G31" s="33"/>
      <c r="H31" s="34"/>
    </row>
    <row r="32" ht="15.75" customHeight="1">
      <c r="A32" s="35">
        <v>5.0</v>
      </c>
      <c r="B32" s="32"/>
      <c r="C32" s="34"/>
      <c r="D32" s="32"/>
      <c r="E32" s="34"/>
      <c r="F32" s="32"/>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35.0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44">
        <v>0.0</v>
      </c>
      <c r="E41" s="33"/>
      <c r="F41" s="33"/>
      <c r="G41" s="33"/>
      <c r="H41" s="34"/>
    </row>
    <row r="42" ht="15.75" customHeight="1">
      <c r="A42" s="35" t="s">
        <v>147</v>
      </c>
      <c r="B42" s="35" t="s">
        <v>142</v>
      </c>
      <c r="C42" s="35"/>
      <c r="D42" s="44">
        <v>10.0</v>
      </c>
      <c r="E42" s="33"/>
      <c r="F42" s="33"/>
      <c r="G42" s="33"/>
      <c r="H42" s="34"/>
    </row>
    <row r="43" ht="15.75" customHeight="1"/>
    <row r="44" ht="15.75" customHeight="1">
      <c r="A44" s="54" t="s">
        <v>148</v>
      </c>
      <c r="G44" s="47" t="s">
        <v>80</v>
      </c>
      <c r="H44" s="79">
        <f>B50+B61</f>
        <v>40</v>
      </c>
    </row>
    <row r="45" ht="15.75" customHeight="1">
      <c r="G45" s="39" t="s">
        <v>149</v>
      </c>
    </row>
    <row r="46" ht="15.75" customHeight="1">
      <c r="A46" s="39" t="s">
        <v>150</v>
      </c>
    </row>
    <row r="47" ht="33.0" customHeight="1">
      <c r="A47" s="43" t="s">
        <v>151</v>
      </c>
      <c r="B47" s="44" t="s">
        <v>46</v>
      </c>
      <c r="C47" s="33"/>
      <c r="D47" s="33"/>
      <c r="E47" s="33"/>
      <c r="F47" s="33"/>
      <c r="G47" s="33"/>
      <c r="H47" s="34"/>
    </row>
    <row r="48" ht="15.75" customHeight="1">
      <c r="A48" s="43" t="s">
        <v>152</v>
      </c>
      <c r="B48" s="44" t="s">
        <v>171</v>
      </c>
      <c r="C48" s="33"/>
      <c r="D48" s="33"/>
      <c r="E48" s="33"/>
      <c r="F48" s="33"/>
      <c r="G48" s="33"/>
      <c r="H48" s="34"/>
    </row>
    <row r="49" ht="15.75" customHeight="1">
      <c r="A49" s="43" t="s">
        <v>120</v>
      </c>
      <c r="B49" s="73">
        <v>0.0</v>
      </c>
      <c r="C49" s="33"/>
      <c r="D49" s="33"/>
      <c r="E49" s="33"/>
      <c r="F49" s="33"/>
      <c r="G49" s="33"/>
      <c r="H49" s="34"/>
    </row>
    <row r="50" ht="15.75" customHeight="1">
      <c r="A50" s="43" t="s">
        <v>80</v>
      </c>
      <c r="B50" s="44">
        <v>40.0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70" t="s">
        <v>192</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45.75" customHeight="1">
      <c r="A58" s="43" t="s">
        <v>151</v>
      </c>
      <c r="B58" s="44" t="s">
        <v>46</v>
      </c>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f>B70</f>
        <v>5</v>
      </c>
    </row>
    <row r="69" ht="15.75" customHeight="1">
      <c r="G69" s="39" t="s">
        <v>160</v>
      </c>
    </row>
    <row r="70" ht="15.75" customHeight="1">
      <c r="A70" s="43" t="s">
        <v>80</v>
      </c>
      <c r="B70" s="69">
        <v>5.0</v>
      </c>
      <c r="C70" s="33"/>
      <c r="D70" s="33"/>
      <c r="E70" s="33"/>
      <c r="F70" s="33"/>
      <c r="G70" s="33"/>
      <c r="H70" s="34"/>
    </row>
    <row r="71" ht="15.75" customHeight="1">
      <c r="A71" s="68" t="s">
        <v>161</v>
      </c>
      <c r="B71" s="33"/>
      <c r="C71" s="33"/>
      <c r="D71" s="33"/>
      <c r="E71" s="33"/>
      <c r="F71" s="33"/>
      <c r="G71" s="33"/>
      <c r="H71" s="34"/>
    </row>
    <row r="72" ht="15.75" customHeight="1">
      <c r="A72" s="76"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9.0</v>
      </c>
      <c r="D5" s="33"/>
      <c r="E5" s="33"/>
      <c r="F5" s="33"/>
      <c r="G5" s="34"/>
    </row>
    <row r="6" ht="15.75" customHeight="1">
      <c r="B6" s="53" t="s">
        <v>78</v>
      </c>
      <c r="C6" s="32">
        <f>H10+H21+H44+H68</f>
        <v>110</v>
      </c>
      <c r="D6" s="33"/>
      <c r="E6" s="33"/>
      <c r="F6" s="33"/>
      <c r="G6" s="34"/>
      <c r="I6" s="6"/>
    </row>
    <row r="7" ht="15.75" customHeight="1">
      <c r="B7" s="53" t="s">
        <v>120</v>
      </c>
      <c r="C7" s="32">
        <f>B49+B60</f>
        <v>3</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193</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25.5" customHeight="1">
      <c r="A15" s="80" t="s">
        <v>194</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38.25" customHeight="1">
      <c r="A18" s="80" t="s">
        <v>195</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ht="15.75" customHeight="1">
      <c r="A23" s="43" t="s">
        <v>132</v>
      </c>
      <c r="B23" s="44" t="s">
        <v>50</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81" t="s">
        <v>51</v>
      </c>
      <c r="C28" s="34"/>
      <c r="D28" s="44" t="s">
        <v>52</v>
      </c>
      <c r="E28" s="34"/>
      <c r="F28" s="44" t="s">
        <v>53</v>
      </c>
      <c r="G28" s="33"/>
      <c r="H28" s="34"/>
    </row>
    <row r="29" ht="15.75" customHeight="1">
      <c r="A29" s="35">
        <v>2.0</v>
      </c>
      <c r="B29" s="81" t="s">
        <v>51</v>
      </c>
      <c r="C29" s="34"/>
      <c r="D29" s="44" t="s">
        <v>52</v>
      </c>
      <c r="E29" s="34"/>
      <c r="F29" s="44" t="s">
        <v>54</v>
      </c>
      <c r="G29" s="33"/>
      <c r="H29" s="34"/>
    </row>
    <row r="30" ht="15.75" customHeight="1">
      <c r="A30" s="35">
        <v>3.0</v>
      </c>
      <c r="B30" s="81" t="s">
        <v>51</v>
      </c>
      <c r="C30" s="34"/>
      <c r="D30" s="44" t="s">
        <v>52</v>
      </c>
      <c r="E30" s="34"/>
      <c r="F30" s="44" t="s">
        <v>55</v>
      </c>
      <c r="G30" s="33"/>
      <c r="H30" s="34"/>
    </row>
    <row r="31" ht="15.75" customHeight="1">
      <c r="A31" s="35">
        <v>4.0</v>
      </c>
      <c r="B31" s="81" t="s">
        <v>51</v>
      </c>
      <c r="C31" s="34"/>
      <c r="D31" s="44" t="s">
        <v>52</v>
      </c>
      <c r="E31" s="34"/>
      <c r="F31" s="44" t="s">
        <v>56</v>
      </c>
      <c r="G31" s="33"/>
      <c r="H31" s="34"/>
    </row>
    <row r="32" ht="15.75" customHeight="1">
      <c r="A32" s="35">
        <v>5.0</v>
      </c>
      <c r="B32" s="81" t="s">
        <v>51</v>
      </c>
      <c r="C32" s="34"/>
      <c r="D32" s="44" t="s">
        <v>52</v>
      </c>
      <c r="E32" s="34"/>
      <c r="F32" s="44" t="s">
        <v>57</v>
      </c>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32"/>
      <c r="E39" s="33"/>
      <c r="F39" s="33"/>
      <c r="G39" s="33"/>
      <c r="H39" s="34"/>
    </row>
    <row r="40" ht="15.75" customHeight="1">
      <c r="A40" s="35" t="s">
        <v>143</v>
      </c>
      <c r="B40" s="35" t="s">
        <v>142</v>
      </c>
      <c r="C40" s="35" t="s">
        <v>144</v>
      </c>
      <c r="D40" s="32"/>
      <c r="E40" s="33"/>
      <c r="F40" s="33"/>
      <c r="G40" s="33"/>
      <c r="H40" s="34"/>
    </row>
    <row r="41" ht="15.75" customHeight="1">
      <c r="A41" s="35" t="s">
        <v>145</v>
      </c>
      <c r="B41" s="35" t="s">
        <v>146</v>
      </c>
      <c r="C41" s="35"/>
      <c r="D41" s="32"/>
      <c r="E41" s="33"/>
      <c r="F41" s="33"/>
      <c r="G41" s="33"/>
      <c r="H41" s="34"/>
    </row>
    <row r="42" ht="15.75" customHeight="1">
      <c r="A42" s="35" t="s">
        <v>147</v>
      </c>
      <c r="B42" s="35" t="s">
        <v>142</v>
      </c>
      <c r="C42" s="35"/>
      <c r="D42" s="32"/>
      <c r="E42" s="33"/>
      <c r="F42" s="33"/>
      <c r="G42" s="33"/>
      <c r="H42" s="34"/>
    </row>
    <row r="43" ht="15.75" customHeight="1"/>
    <row r="44" ht="15.75" customHeight="1">
      <c r="A44" s="54" t="s">
        <v>148</v>
      </c>
      <c r="G44" s="47" t="s">
        <v>80</v>
      </c>
      <c r="H44" s="55">
        <v>45.0</v>
      </c>
    </row>
    <row r="45" ht="15.75" customHeight="1">
      <c r="G45" s="39" t="s">
        <v>149</v>
      </c>
    </row>
    <row r="46" ht="15.75" customHeight="1">
      <c r="A46" s="39" t="s">
        <v>150</v>
      </c>
    </row>
    <row r="47" ht="15.75" customHeight="1">
      <c r="A47" s="43" t="s">
        <v>151</v>
      </c>
      <c r="B47" s="44" t="s">
        <v>50</v>
      </c>
      <c r="C47" s="33"/>
      <c r="D47" s="33"/>
      <c r="E47" s="33"/>
      <c r="F47" s="33"/>
      <c r="G47" s="33"/>
      <c r="H47" s="34"/>
    </row>
    <row r="48" ht="15.75" customHeight="1">
      <c r="A48" s="43" t="s">
        <v>152</v>
      </c>
      <c r="B48" s="44" t="s">
        <v>196</v>
      </c>
      <c r="C48" s="33"/>
      <c r="D48" s="33"/>
      <c r="E48" s="33"/>
      <c r="F48" s="33"/>
      <c r="G48" s="33"/>
      <c r="H48" s="34"/>
    </row>
    <row r="49" ht="15.75" customHeight="1">
      <c r="A49" s="43" t="s">
        <v>120</v>
      </c>
      <c r="B49" s="69">
        <v>3.0</v>
      </c>
      <c r="C49" s="33"/>
      <c r="D49" s="33"/>
      <c r="E49" s="33"/>
      <c r="F49" s="33"/>
      <c r="G49" s="33"/>
      <c r="H49" s="34"/>
    </row>
    <row r="50" ht="15.75" customHeight="1">
      <c r="A50" s="43" t="s">
        <v>80</v>
      </c>
      <c r="B50" s="44">
        <v>15.0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82" t="s">
        <v>197</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69">
        <v>10.0</v>
      </c>
      <c r="C70" s="33"/>
      <c r="D70" s="33"/>
      <c r="E70" s="33"/>
      <c r="F70" s="33"/>
      <c r="G70" s="33"/>
      <c r="H70" s="34"/>
    </row>
    <row r="71" ht="15.75" customHeight="1">
      <c r="A71" s="68" t="s">
        <v>161</v>
      </c>
      <c r="B71" s="33"/>
      <c r="C71" s="33"/>
      <c r="D71" s="33"/>
      <c r="E71" s="33"/>
      <c r="F71" s="33"/>
      <c r="G71" s="33"/>
      <c r="H71" s="34"/>
    </row>
    <row r="72" ht="15.75" customHeight="1">
      <c r="A72" s="76"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10.0</v>
      </c>
      <c r="D5" s="33"/>
      <c r="E5" s="33"/>
      <c r="F5" s="33"/>
      <c r="G5" s="34"/>
    </row>
    <row r="6" ht="15.75" customHeight="1">
      <c r="B6" s="53" t="s">
        <v>78</v>
      </c>
      <c r="C6" s="44">
        <v>100.0</v>
      </c>
      <c r="D6" s="33"/>
      <c r="E6" s="33"/>
      <c r="F6" s="33"/>
      <c r="G6" s="34"/>
      <c r="I6" s="6"/>
    </row>
    <row r="7" ht="15.75" customHeight="1">
      <c r="B7" s="53" t="s">
        <v>120</v>
      </c>
      <c r="C7" s="32">
        <f>B49+B60</f>
        <v>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198</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70" t="s">
        <v>199</v>
      </c>
      <c r="B15" s="58"/>
      <c r="C15" s="58"/>
      <c r="D15" s="58"/>
      <c r="E15" s="58"/>
      <c r="F15" s="58"/>
      <c r="G15" s="58"/>
      <c r="H15" s="59"/>
    </row>
    <row r="16" ht="26.25" customHeight="1">
      <c r="A16" s="60"/>
      <c r="B16" s="61"/>
      <c r="C16" s="61"/>
      <c r="D16" s="61"/>
      <c r="E16" s="61"/>
      <c r="F16" s="61"/>
      <c r="G16" s="61"/>
      <c r="H16" s="62"/>
    </row>
    <row r="17" ht="15.75" customHeight="1">
      <c r="A17" s="56" t="s">
        <v>128</v>
      </c>
      <c r="B17" s="33"/>
      <c r="C17" s="33"/>
      <c r="D17" s="33"/>
      <c r="E17" s="33"/>
      <c r="F17" s="33"/>
      <c r="G17" s="33"/>
      <c r="H17" s="34"/>
    </row>
    <row r="18" ht="20.25" customHeight="1">
      <c r="A18" s="70" t="s">
        <v>200</v>
      </c>
      <c r="B18" s="58"/>
      <c r="C18" s="58"/>
      <c r="D18" s="58"/>
      <c r="E18" s="58"/>
      <c r="F18" s="58"/>
      <c r="G18" s="58"/>
      <c r="H18" s="59"/>
    </row>
    <row r="19" ht="21.0"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c r="A23" s="43" t="s">
        <v>132</v>
      </c>
      <c r="B23" s="83" t="s">
        <v>18</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IFERROR(__xludf.DUMMYFUNCTION("FILTER('Diseño'!D:D,'Diseño'!H:H=$C$5)"),"Arduino")</f>
        <v>Arduino</v>
      </c>
      <c r="C28" s="34"/>
      <c r="D28" s="32" t="str">
        <f>IFERROR(__xludf.DUMMYFUNCTION("FILTER('Diseño'!E:E,'Diseño'!H:H=$C$5)"),"Introduccion a Arduino")</f>
        <v>Introduccion a Arduino</v>
      </c>
      <c r="E28" s="34"/>
      <c r="F28" s="32" t="str">
        <f>IFERROR(__xludf.DUMMYFUNCTION("FILTER('Diseño'!F:F,'Diseño'!H:H=$C$5)"),"Funcionamiento y partes de un Arduino ")</f>
        <v>Funcionamiento y partes de un Arduino </v>
      </c>
      <c r="G28" s="33"/>
      <c r="H28" s="34"/>
    </row>
    <row r="29" ht="15.75" customHeight="1">
      <c r="A29" s="35">
        <v>2.0</v>
      </c>
      <c r="B29" s="32" t="str">
        <f>IFERROR(__xludf.DUMMYFUNCTION("""COMPUTED_VALUE"""),"Arduino")</f>
        <v>Arduino</v>
      </c>
      <c r="C29" s="34"/>
      <c r="D29" s="32" t="str">
        <f>IFERROR(__xludf.DUMMYFUNCTION("""COMPUTED_VALUE"""),"Introduccion a Arduino")</f>
        <v>Introduccion a Arduino</v>
      </c>
      <c r="E29" s="34"/>
      <c r="F29" s="32" t="str">
        <f>IFERROR(__xludf.DUMMYFUNCTION("""COMPUTED_VALUE"""),"Codigo de Arduino y su implementación ")</f>
        <v>Codigo de Arduino y su implementación </v>
      </c>
      <c r="G29" s="33"/>
      <c r="H29" s="34"/>
    </row>
    <row r="30" ht="15.75" customHeight="1">
      <c r="A30" s="35">
        <v>3.0</v>
      </c>
      <c r="B30" s="32" t="str">
        <f>IFERROR(__xludf.DUMMYFUNCTION("""COMPUTED_VALUE"""),"Arduino")</f>
        <v>Arduino</v>
      </c>
      <c r="C30" s="34"/>
      <c r="D30" s="32" t="str">
        <f>IFERROR(__xludf.DUMMYFUNCTION("""COMPUTED_VALUE"""),"Introduccion a Arduino")</f>
        <v>Introduccion a Arduino</v>
      </c>
      <c r="E30" s="34"/>
      <c r="F30" s="32" t="str">
        <f>IFERROR(__xludf.DUMMYFUNCTION("""COMPUTED_VALUE"""),"Protocolos de Comunicación (Serial, I2C, SPI)")</f>
        <v>Protocolos de Comunicación (Serial, I2C, SPI)</v>
      </c>
      <c r="G30" s="33"/>
      <c r="H30" s="34"/>
    </row>
    <row r="31" ht="15.75" customHeight="1">
      <c r="A31" s="35">
        <v>4.0</v>
      </c>
      <c r="B31" s="32" t="str">
        <f>IFERROR(__xludf.DUMMYFUNCTION("""COMPUTED_VALUE"""),"Arduino")</f>
        <v>Arduino</v>
      </c>
      <c r="C31" s="34"/>
      <c r="D31" s="32" t="str">
        <f>IFERROR(__xludf.DUMMYFUNCTION("""COMPUTED_VALUE"""),"Introduccion a Arduino")</f>
        <v>Introduccion a Arduino</v>
      </c>
      <c r="E31" s="34"/>
      <c r="F31" s="32" t="str">
        <f>IFERROR(__xludf.DUMMYFUNCTION("""COMPUTED_VALUE"""),"Actuadores ")</f>
        <v>Actuadores </v>
      </c>
      <c r="G31" s="33"/>
      <c r="H31" s="34"/>
    </row>
    <row r="32" ht="15.75" customHeight="1">
      <c r="A32" s="35">
        <v>5.0</v>
      </c>
      <c r="B32" s="32"/>
      <c r="C32" s="34"/>
      <c r="D32" s="32"/>
      <c r="E32" s="34"/>
      <c r="F32" s="32"/>
      <c r="G32" s="33"/>
      <c r="H32" s="34"/>
    </row>
    <row r="33" ht="15.75" customHeight="1">
      <c r="A33" s="35">
        <v>6.0</v>
      </c>
      <c r="B33" s="32"/>
      <c r="C33" s="34"/>
      <c r="D33" s="32"/>
      <c r="E33" s="34"/>
      <c r="F33" s="32"/>
      <c r="G33" s="33"/>
      <c r="H33" s="34"/>
    </row>
    <row r="34" ht="15.75" customHeight="1">
      <c r="A34" s="35">
        <v>7.0</v>
      </c>
      <c r="B34" s="32"/>
      <c r="C34" s="34"/>
      <c r="D34" s="32"/>
      <c r="E34" s="34"/>
      <c r="F34" s="32"/>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35.0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32"/>
      <c r="E41" s="33"/>
      <c r="F41" s="33"/>
      <c r="G41" s="33"/>
      <c r="H41" s="34"/>
    </row>
    <row r="42" ht="15.75" customHeight="1">
      <c r="A42" s="35" t="s">
        <v>147</v>
      </c>
      <c r="B42" s="35" t="s">
        <v>142</v>
      </c>
      <c r="C42" s="35"/>
      <c r="D42" s="44">
        <v>10.0</v>
      </c>
      <c r="E42" s="33"/>
      <c r="F42" s="33"/>
      <c r="G42" s="33"/>
      <c r="H42" s="34"/>
    </row>
    <row r="43" ht="15.75" customHeight="1"/>
    <row r="44" ht="15.75" customHeight="1">
      <c r="A44" s="54" t="s">
        <v>148</v>
      </c>
      <c r="G44" s="47" t="s">
        <v>80</v>
      </c>
      <c r="H44" s="55">
        <v>45.0</v>
      </c>
    </row>
    <row r="45" ht="15.75" customHeight="1">
      <c r="G45" s="39" t="s">
        <v>149</v>
      </c>
    </row>
    <row r="46" ht="15.75" customHeight="1">
      <c r="A46" s="39" t="s">
        <v>150</v>
      </c>
    </row>
    <row r="47" ht="15.75" customHeight="1">
      <c r="A47" s="43" t="s">
        <v>151</v>
      </c>
      <c r="B47" s="44" t="s">
        <v>18</v>
      </c>
      <c r="C47" s="33"/>
      <c r="D47" s="33"/>
      <c r="E47" s="33"/>
      <c r="F47" s="33"/>
      <c r="G47" s="33"/>
      <c r="H47" s="34"/>
    </row>
    <row r="48" ht="15.75" customHeight="1">
      <c r="A48" s="43" t="s">
        <v>152</v>
      </c>
      <c r="B48" s="44" t="s">
        <v>196</v>
      </c>
      <c r="C48" s="33"/>
      <c r="D48" s="33"/>
      <c r="E48" s="33"/>
      <c r="F48" s="33"/>
      <c r="G48" s="33"/>
      <c r="H48" s="34"/>
    </row>
    <row r="49" ht="15.75" customHeight="1">
      <c r="A49" s="43" t="s">
        <v>120</v>
      </c>
      <c r="B49" s="73">
        <v>0.0</v>
      </c>
      <c r="C49" s="33"/>
      <c r="D49" s="33"/>
      <c r="E49" s="33"/>
      <c r="F49" s="33"/>
      <c r="G49" s="33"/>
      <c r="H49" s="34"/>
    </row>
    <row r="50" ht="15.75" customHeight="1">
      <c r="A50" s="43" t="s">
        <v>80</v>
      </c>
      <c r="B50" s="44">
        <v>45.0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57" t="s">
        <v>201</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69">
        <v>10.0</v>
      </c>
      <c r="C70" s="33"/>
      <c r="D70" s="33"/>
      <c r="E70" s="33"/>
      <c r="F70" s="33"/>
      <c r="G70" s="33"/>
      <c r="H70" s="34"/>
    </row>
    <row r="71" ht="15.75" customHeight="1">
      <c r="A71" s="68" t="s">
        <v>161</v>
      </c>
      <c r="B71" s="33"/>
      <c r="C71" s="33"/>
      <c r="D71" s="33"/>
      <c r="E71" s="33"/>
      <c r="F71" s="33"/>
      <c r="G71" s="33"/>
      <c r="H71" s="34"/>
    </row>
    <row r="72" ht="15.75" customHeight="1">
      <c r="A72" s="57"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2" t="s">
        <v>119</v>
      </c>
    </row>
    <row r="3" ht="15.75" customHeight="1"/>
    <row r="4" ht="15.75" customHeight="1">
      <c r="B4" s="31" t="s">
        <v>1</v>
      </c>
      <c r="C4" s="32" t="str">
        <f>'Diseño'!C4</f>
        <v>964 - Organización Computacional</v>
      </c>
      <c r="D4" s="33"/>
      <c r="E4" s="33"/>
      <c r="F4" s="33"/>
      <c r="G4" s="34"/>
    </row>
    <row r="5" ht="15.75" customHeight="1">
      <c r="B5" s="35" t="s">
        <v>11</v>
      </c>
      <c r="C5" s="32">
        <v>11.0</v>
      </c>
      <c r="D5" s="33"/>
      <c r="E5" s="33"/>
      <c r="F5" s="33"/>
      <c r="G5" s="34"/>
    </row>
    <row r="6" ht="15.75" customHeight="1">
      <c r="B6" s="53" t="s">
        <v>78</v>
      </c>
      <c r="C6" s="44">
        <v>100.0</v>
      </c>
      <c r="D6" s="33"/>
      <c r="E6" s="33"/>
      <c r="F6" s="33"/>
      <c r="G6" s="34"/>
      <c r="I6" s="6"/>
    </row>
    <row r="7" ht="15.75" customHeight="1">
      <c r="B7" s="53" t="s">
        <v>120</v>
      </c>
      <c r="C7" s="44">
        <v>1.0</v>
      </c>
      <c r="D7" s="33"/>
      <c r="E7" s="33"/>
      <c r="F7" s="33"/>
      <c r="G7" s="34"/>
    </row>
    <row r="8" ht="15.75" customHeight="1">
      <c r="B8" s="53" t="s">
        <v>121</v>
      </c>
      <c r="C8" s="32"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54" t="s">
        <v>122</v>
      </c>
      <c r="G10" s="47" t="s">
        <v>80</v>
      </c>
      <c r="H10" s="55">
        <v>5.0</v>
      </c>
    </row>
    <row r="11" ht="15.75" customHeight="1">
      <c r="G11" s="39" t="s">
        <v>123</v>
      </c>
    </row>
    <row r="12" ht="15.75" customHeight="1">
      <c r="A12" s="43" t="s">
        <v>124</v>
      </c>
      <c r="B12" s="44" t="s">
        <v>202</v>
      </c>
      <c r="C12" s="33"/>
      <c r="D12" s="33"/>
      <c r="E12" s="33"/>
      <c r="F12" s="33"/>
      <c r="G12" s="33"/>
      <c r="H12" s="34"/>
    </row>
    <row r="13" ht="15.75" customHeight="1">
      <c r="A13" s="45" t="s">
        <v>80</v>
      </c>
      <c r="B13" s="44">
        <v>5.0</v>
      </c>
      <c r="C13" s="33"/>
      <c r="D13" s="33"/>
      <c r="E13" s="33"/>
      <c r="F13" s="33"/>
      <c r="G13" s="33"/>
      <c r="H13" s="34"/>
    </row>
    <row r="14" ht="15.75" customHeight="1">
      <c r="A14" s="56" t="s">
        <v>126</v>
      </c>
      <c r="B14" s="33"/>
      <c r="C14" s="33"/>
      <c r="D14" s="33"/>
      <c r="E14" s="33"/>
      <c r="F14" s="33"/>
      <c r="G14" s="33"/>
      <c r="H14" s="34"/>
    </row>
    <row r="15" ht="15.75" customHeight="1">
      <c r="A15" s="57" t="s">
        <v>203</v>
      </c>
      <c r="B15" s="58"/>
      <c r="C15" s="58"/>
      <c r="D15" s="58"/>
      <c r="E15" s="58"/>
      <c r="F15" s="58"/>
      <c r="G15" s="58"/>
      <c r="H15" s="59"/>
    </row>
    <row r="16" ht="15.75" customHeight="1">
      <c r="A16" s="60"/>
      <c r="B16" s="61"/>
      <c r="C16" s="61"/>
      <c r="D16" s="61"/>
      <c r="E16" s="61"/>
      <c r="F16" s="61"/>
      <c r="G16" s="61"/>
      <c r="H16" s="62"/>
    </row>
    <row r="17" ht="15.75" customHeight="1">
      <c r="A17" s="56" t="s">
        <v>128</v>
      </c>
      <c r="B17" s="33"/>
      <c r="C17" s="33"/>
      <c r="D17" s="33"/>
      <c r="E17" s="33"/>
      <c r="F17" s="33"/>
      <c r="G17" s="33"/>
      <c r="H17" s="34"/>
    </row>
    <row r="18" ht="15.75" customHeight="1">
      <c r="A18" s="57" t="s">
        <v>204</v>
      </c>
      <c r="B18" s="58"/>
      <c r="C18" s="58"/>
      <c r="D18" s="58"/>
      <c r="E18" s="58"/>
      <c r="F18" s="58"/>
      <c r="G18" s="58"/>
      <c r="H18" s="59"/>
    </row>
    <row r="19" ht="15.75" customHeight="1">
      <c r="A19" s="60"/>
      <c r="B19" s="61"/>
      <c r="C19" s="61"/>
      <c r="D19" s="61"/>
      <c r="E19" s="61"/>
      <c r="F19" s="61"/>
      <c r="G19" s="61"/>
      <c r="H19" s="62"/>
    </row>
    <row r="20" ht="15.75" customHeight="1"/>
    <row r="21" ht="15.75" customHeight="1">
      <c r="A21" s="54" t="s">
        <v>130</v>
      </c>
      <c r="G21" s="47" t="s">
        <v>80</v>
      </c>
      <c r="H21" s="55">
        <v>50.0</v>
      </c>
      <c r="I21" s="6"/>
    </row>
    <row r="22" ht="15.75" customHeight="1">
      <c r="G22" s="39" t="s">
        <v>131</v>
      </c>
    </row>
    <row r="23" ht="15.75" customHeight="1">
      <c r="A23" s="43" t="s">
        <v>132</v>
      </c>
      <c r="B23" s="44" t="s">
        <v>58</v>
      </c>
      <c r="C23" s="33"/>
      <c r="D23" s="33"/>
      <c r="E23" s="33"/>
      <c r="F23" s="33"/>
      <c r="G23" s="33"/>
      <c r="H23" s="34"/>
    </row>
    <row r="24" ht="15.75" customHeight="1">
      <c r="A24" s="43" t="s">
        <v>132</v>
      </c>
      <c r="B24" s="32"/>
      <c r="C24" s="33"/>
      <c r="D24" s="33"/>
      <c r="E24" s="33"/>
      <c r="F24" s="33"/>
      <c r="G24" s="33"/>
      <c r="H24" s="34"/>
    </row>
    <row r="25" ht="15.75" customHeight="1"/>
    <row r="26" ht="15.75" customHeight="1">
      <c r="A26" s="63" t="s">
        <v>133</v>
      </c>
      <c r="B26" s="6"/>
      <c r="C26" s="6"/>
      <c r="D26" s="6"/>
    </row>
    <row r="27" ht="15.75" customHeight="1">
      <c r="A27" s="64" t="s">
        <v>5</v>
      </c>
      <c r="B27" s="65" t="s">
        <v>134</v>
      </c>
      <c r="C27" s="34"/>
      <c r="D27" s="65" t="s">
        <v>135</v>
      </c>
      <c r="E27" s="34"/>
      <c r="F27" s="65" t="s">
        <v>136</v>
      </c>
      <c r="G27" s="33"/>
      <c r="H27" s="34"/>
    </row>
    <row r="28" ht="15.75" customHeight="1">
      <c r="A28" s="35">
        <v>1.0</v>
      </c>
      <c r="B28" s="32" t="str">
        <f>IFERROR(__xludf.DUMMYFUNCTION("FILTER('Diseño'!D:D,'Diseño'!H:H=$C$5)"),"Dispositivos Electromecánicos")</f>
        <v>Dispositivos Electromecánicos</v>
      </c>
      <c r="C28" s="34"/>
      <c r="D28" s="32" t="str">
        <f>IFERROR(__xludf.DUMMYFUNCTION("FILTER('Diseño'!E:E,'Diseño'!H:H=$C$5)"),"Actuadores Avanzados")</f>
        <v>Actuadores Avanzados</v>
      </c>
      <c r="E28" s="34"/>
      <c r="F28" s="32" t="str">
        <f>IFERROR(__xludf.DUMMYFUNCTION("FILTER('Diseño'!F:F,'Diseño'!H:H=$C$5)"),"Librerías en Arduino y su funcionamiento")</f>
        <v>Librerías en Arduino y su funcionamiento</v>
      </c>
      <c r="G28" s="33"/>
      <c r="H28" s="34"/>
    </row>
    <row r="29" ht="15.75" customHeight="1">
      <c r="A29" s="35">
        <v>2.0</v>
      </c>
      <c r="B29" s="32" t="str">
        <f>IFERROR(__xludf.DUMMYFUNCTION("""COMPUTED_VALUE"""),"Dispositivos Electromecánicos")</f>
        <v>Dispositivos Electromecánicos</v>
      </c>
      <c r="C29" s="34"/>
      <c r="D29" s="32" t="str">
        <f>IFERROR(__xludf.DUMMYFUNCTION("""COMPUTED_VALUE"""),"Actuadores Avanzados")</f>
        <v>Actuadores Avanzados</v>
      </c>
      <c r="E29" s="34"/>
      <c r="F29" s="32" t="str">
        <f>IFERROR(__xludf.DUMMYFUNCTION("""COMPUTED_VALUE"""),"Servomotor")</f>
        <v>Servomotor</v>
      </c>
      <c r="G29" s="33"/>
      <c r="H29" s="34"/>
    </row>
    <row r="30" ht="15.75" customHeight="1">
      <c r="A30" s="35">
        <v>3.0</v>
      </c>
      <c r="B30" s="32" t="str">
        <f>IFERROR(__xludf.DUMMYFUNCTION("""COMPUTED_VALUE"""),"Dispositivos Electromecánicos")</f>
        <v>Dispositivos Electromecánicos</v>
      </c>
      <c r="C30" s="34"/>
      <c r="D30" s="32" t="str">
        <f>IFERROR(__xludf.DUMMYFUNCTION("""COMPUTED_VALUE"""),"Actuadores Avanzados")</f>
        <v>Actuadores Avanzados</v>
      </c>
      <c r="E30" s="34"/>
      <c r="F30" s="32" t="str">
        <f>IFERROR(__xludf.DUMMYFUNCTION("""COMPUTED_VALUE"""),"Motor Stepper")</f>
        <v>Motor Stepper</v>
      </c>
      <c r="G30" s="33"/>
      <c r="H30" s="34"/>
    </row>
    <row r="31" ht="15.75" customHeight="1">
      <c r="A31" s="35">
        <v>4.0</v>
      </c>
      <c r="B31" s="32" t="str">
        <f>IFERROR(__xludf.DUMMYFUNCTION("""COMPUTED_VALUE"""),"Dispositivos Electromecánicos")</f>
        <v>Dispositivos Electromecánicos</v>
      </c>
      <c r="C31" s="34"/>
      <c r="D31" s="32" t="str">
        <f>IFERROR(__xludf.DUMMYFUNCTION("""COMPUTED_VALUE"""),"Actuadores Avanzados")</f>
        <v>Actuadores Avanzados</v>
      </c>
      <c r="E31" s="34"/>
      <c r="F31" s="32" t="str">
        <f>IFERROR(__xludf.DUMMYFUNCTION("""COMPUTED_VALUE"""),"Sensor de Temperatura")</f>
        <v>Sensor de Temperatura</v>
      </c>
      <c r="G31" s="33"/>
      <c r="H31" s="34"/>
    </row>
    <row r="32" ht="15.75" customHeight="1">
      <c r="A32" s="35">
        <v>5.0</v>
      </c>
      <c r="B32" s="32" t="str">
        <f>IFERROR(__xludf.DUMMYFUNCTION("""COMPUTED_VALUE"""),"Dispositivos Electromecánicos")</f>
        <v>Dispositivos Electromecánicos</v>
      </c>
      <c r="C32" s="34"/>
      <c r="D32" s="32" t="str">
        <f>IFERROR(__xludf.DUMMYFUNCTION("""COMPUTED_VALUE"""),"Actuadores Avanzados")</f>
        <v>Actuadores Avanzados</v>
      </c>
      <c r="E32" s="34"/>
      <c r="F32" s="32" t="str">
        <f>IFERROR(__xludf.DUMMYFUNCTION("""COMPUTED_VALUE"""),"Sensor Fotoresistencia")</f>
        <v>Sensor Fotoresistencia</v>
      </c>
      <c r="G32" s="33"/>
      <c r="H32" s="34"/>
    </row>
    <row r="33" ht="15.75" customHeight="1">
      <c r="A33" s="35">
        <v>6.0</v>
      </c>
      <c r="B33" s="32" t="str">
        <f>IFERROR(__xludf.DUMMYFUNCTION("""COMPUTED_VALUE"""),"Dispositivos Electromecánicos")</f>
        <v>Dispositivos Electromecánicos</v>
      </c>
      <c r="C33" s="34"/>
      <c r="D33" s="32" t="str">
        <f>IFERROR(__xludf.DUMMYFUNCTION("""COMPUTED_VALUE"""),"Actuadores Avanzados")</f>
        <v>Actuadores Avanzados</v>
      </c>
      <c r="E33" s="34"/>
      <c r="F33" s="32" t="str">
        <f>IFERROR(__xludf.DUMMYFUNCTION("""COMPUTED_VALUE"""),"Sensor de Dióxido de Carbono")</f>
        <v>Sensor de Dióxido de Carbono</v>
      </c>
      <c r="G33" s="33"/>
      <c r="H33" s="34"/>
    </row>
    <row r="34" ht="15.75" customHeight="1">
      <c r="A34" s="35">
        <v>7.0</v>
      </c>
      <c r="B34" s="32" t="str">
        <f>IFERROR(__xludf.DUMMYFUNCTION("""COMPUTED_VALUE"""),"Dispositivos Electromecánicos")</f>
        <v>Dispositivos Electromecánicos</v>
      </c>
      <c r="C34" s="34"/>
      <c r="D34" s="32" t="str">
        <f>IFERROR(__xludf.DUMMYFUNCTION("""COMPUTED_VALUE"""),"Actuadores Avanzados")</f>
        <v>Actuadores Avanzados</v>
      </c>
      <c r="E34" s="34"/>
      <c r="F34" s="32" t="str">
        <f>IFERROR(__xludf.DUMMYFUNCTION("""COMPUTED_VALUE"""),"Sensor de Proximidad")</f>
        <v>Sensor de Proximidad</v>
      </c>
      <c r="G34" s="33"/>
      <c r="H34" s="34"/>
    </row>
    <row r="35" ht="15.75" customHeight="1"/>
    <row r="36" ht="15.75" customHeight="1">
      <c r="A36" s="63" t="s">
        <v>137</v>
      </c>
    </row>
    <row r="37" ht="15.75" customHeight="1">
      <c r="A37" s="6"/>
      <c r="B37" s="6"/>
      <c r="C37" s="6"/>
      <c r="D37" s="6"/>
      <c r="E37" s="6"/>
      <c r="F37" s="6"/>
      <c r="G37" s="6"/>
      <c r="H37" s="6"/>
    </row>
    <row r="38" ht="15.75" customHeight="1">
      <c r="A38" s="64" t="s">
        <v>138</v>
      </c>
      <c r="B38" s="64" t="s">
        <v>139</v>
      </c>
      <c r="C38" s="67" t="s">
        <v>140</v>
      </c>
      <c r="D38" s="68" t="s">
        <v>80</v>
      </c>
      <c r="E38" s="33"/>
      <c r="F38" s="33"/>
      <c r="G38" s="33"/>
      <c r="H38" s="34"/>
    </row>
    <row r="39" ht="15.75" customHeight="1">
      <c r="A39" s="35" t="s">
        <v>141</v>
      </c>
      <c r="B39" s="35" t="s">
        <v>142</v>
      </c>
      <c r="C39" s="35"/>
      <c r="D39" s="44">
        <v>35.0</v>
      </c>
      <c r="E39" s="33"/>
      <c r="F39" s="33"/>
      <c r="G39" s="33"/>
      <c r="H39" s="34"/>
    </row>
    <row r="40" ht="15.75" customHeight="1">
      <c r="A40" s="35" t="s">
        <v>143</v>
      </c>
      <c r="B40" s="35" t="s">
        <v>142</v>
      </c>
      <c r="C40" s="35" t="s">
        <v>144</v>
      </c>
      <c r="D40" s="44">
        <v>5.0</v>
      </c>
      <c r="E40" s="33"/>
      <c r="F40" s="33"/>
      <c r="G40" s="33"/>
      <c r="H40" s="34"/>
    </row>
    <row r="41" ht="15.75" customHeight="1">
      <c r="A41" s="35" t="s">
        <v>145</v>
      </c>
      <c r="B41" s="35" t="s">
        <v>146</v>
      </c>
      <c r="C41" s="35"/>
      <c r="D41" s="32"/>
      <c r="E41" s="33"/>
      <c r="F41" s="33"/>
      <c r="G41" s="33"/>
      <c r="H41" s="34"/>
    </row>
    <row r="42" ht="15.75" customHeight="1">
      <c r="A42" s="35" t="s">
        <v>147</v>
      </c>
      <c r="B42" s="35" t="s">
        <v>142</v>
      </c>
      <c r="C42" s="35"/>
      <c r="D42" s="44">
        <v>10.0</v>
      </c>
      <c r="E42" s="33"/>
      <c r="F42" s="33"/>
      <c r="G42" s="33"/>
      <c r="H42" s="34"/>
    </row>
    <row r="43" ht="15.75" customHeight="1"/>
    <row r="44" ht="15.75" customHeight="1">
      <c r="A44" s="54" t="s">
        <v>148</v>
      </c>
      <c r="G44" s="47" t="s">
        <v>80</v>
      </c>
      <c r="H44" s="55">
        <v>45.0</v>
      </c>
    </row>
    <row r="45" ht="15.75" customHeight="1">
      <c r="G45" s="39" t="s">
        <v>149</v>
      </c>
    </row>
    <row r="46" ht="15.75" customHeight="1">
      <c r="A46" s="39" t="s">
        <v>150</v>
      </c>
    </row>
    <row r="47" ht="15.75" customHeight="1">
      <c r="A47" s="43" t="s">
        <v>151</v>
      </c>
      <c r="B47" s="44" t="s">
        <v>58</v>
      </c>
      <c r="C47" s="33"/>
      <c r="D47" s="33"/>
      <c r="E47" s="33"/>
      <c r="F47" s="33"/>
      <c r="G47" s="33"/>
      <c r="H47" s="34"/>
    </row>
    <row r="48" ht="15.75" customHeight="1">
      <c r="A48" s="43" t="s">
        <v>152</v>
      </c>
      <c r="B48" s="44" t="s">
        <v>171</v>
      </c>
      <c r="C48" s="33"/>
      <c r="D48" s="33"/>
      <c r="E48" s="33"/>
      <c r="F48" s="33"/>
      <c r="G48" s="33"/>
      <c r="H48" s="34"/>
    </row>
    <row r="49" ht="15.75" customHeight="1">
      <c r="A49" s="43" t="s">
        <v>120</v>
      </c>
      <c r="B49" s="73">
        <v>0.0</v>
      </c>
      <c r="C49" s="33"/>
      <c r="D49" s="33"/>
      <c r="E49" s="33"/>
      <c r="F49" s="33"/>
      <c r="G49" s="33"/>
      <c r="H49" s="34"/>
    </row>
    <row r="50" ht="15.75" customHeight="1">
      <c r="A50" s="43" t="s">
        <v>80</v>
      </c>
      <c r="B50" s="44">
        <v>35.0</v>
      </c>
      <c r="C50" s="33"/>
      <c r="D50" s="33"/>
      <c r="E50" s="33"/>
      <c r="F50" s="33"/>
      <c r="G50" s="33"/>
      <c r="H50" s="34"/>
    </row>
    <row r="51" ht="15.75" customHeight="1">
      <c r="A51" s="50" t="s">
        <v>154</v>
      </c>
      <c r="B51" s="6"/>
      <c r="C51" s="6"/>
      <c r="D51" s="6"/>
      <c r="E51" s="6"/>
      <c r="F51" s="6"/>
      <c r="G51" s="6"/>
      <c r="H51" s="6"/>
    </row>
    <row r="52" ht="15.75" customHeight="1">
      <c r="A52" s="56" t="s">
        <v>155</v>
      </c>
      <c r="B52" s="33"/>
      <c r="C52" s="33"/>
      <c r="D52" s="33"/>
      <c r="E52" s="33"/>
      <c r="F52" s="33"/>
      <c r="G52" s="33"/>
      <c r="H52" s="34"/>
    </row>
    <row r="53" ht="15.75" customHeight="1">
      <c r="A53" s="57" t="s">
        <v>205</v>
      </c>
      <c r="B53" s="58"/>
      <c r="C53" s="58"/>
      <c r="D53" s="58"/>
      <c r="E53" s="58"/>
      <c r="F53" s="58"/>
      <c r="G53" s="58"/>
      <c r="H53" s="59"/>
    </row>
    <row r="54" ht="15.75" customHeight="1">
      <c r="A54" s="71"/>
      <c r="H54" s="72"/>
    </row>
    <row r="55" ht="15.75" customHeight="1">
      <c r="A55" s="60"/>
      <c r="B55" s="61"/>
      <c r="C55" s="61"/>
      <c r="D55" s="61"/>
      <c r="E55" s="61"/>
      <c r="F55" s="61"/>
      <c r="G55" s="61"/>
      <c r="H55" s="62"/>
    </row>
    <row r="56" ht="15.75" customHeight="1"/>
    <row r="57" ht="15.75" customHeight="1">
      <c r="A57" s="39" t="s">
        <v>157</v>
      </c>
    </row>
    <row r="58" ht="15.75" customHeight="1">
      <c r="A58" s="43" t="s">
        <v>151</v>
      </c>
      <c r="B58" s="32"/>
      <c r="C58" s="33"/>
      <c r="D58" s="33"/>
      <c r="E58" s="33"/>
      <c r="F58" s="33"/>
      <c r="G58" s="33"/>
      <c r="H58" s="34"/>
    </row>
    <row r="59" ht="15.75" customHeight="1">
      <c r="A59" s="43" t="s">
        <v>152</v>
      </c>
      <c r="B59" s="32"/>
      <c r="C59" s="33"/>
      <c r="D59" s="33"/>
      <c r="E59" s="33"/>
      <c r="F59" s="33"/>
      <c r="G59" s="33"/>
      <c r="H59" s="34"/>
    </row>
    <row r="60" ht="15.75" customHeight="1">
      <c r="A60" s="43" t="s">
        <v>120</v>
      </c>
      <c r="B60" s="73"/>
      <c r="C60" s="33"/>
      <c r="D60" s="33"/>
      <c r="E60" s="33"/>
      <c r="F60" s="33"/>
      <c r="G60" s="33"/>
      <c r="H60" s="34"/>
    </row>
    <row r="61" ht="15.75" customHeight="1">
      <c r="A61" s="43" t="s">
        <v>80</v>
      </c>
      <c r="B61" s="73"/>
      <c r="C61" s="33"/>
      <c r="D61" s="33"/>
      <c r="E61" s="33"/>
      <c r="F61" s="33"/>
      <c r="G61" s="33"/>
      <c r="H61" s="34"/>
    </row>
    <row r="62" ht="15.75" customHeight="1">
      <c r="A62" s="74" t="s">
        <v>158</v>
      </c>
      <c r="B62" s="6"/>
      <c r="C62" s="6"/>
      <c r="D62" s="6"/>
      <c r="E62" s="6"/>
      <c r="F62" s="6"/>
      <c r="G62" s="6"/>
      <c r="H62" s="6"/>
    </row>
    <row r="63" ht="15.75" customHeight="1">
      <c r="A63" s="56" t="s">
        <v>155</v>
      </c>
      <c r="B63" s="33"/>
      <c r="C63" s="33"/>
      <c r="D63" s="33"/>
      <c r="E63" s="33"/>
      <c r="F63" s="33"/>
      <c r="G63" s="33"/>
      <c r="H63" s="34"/>
    </row>
    <row r="64" ht="15.75" customHeight="1">
      <c r="A64" s="75"/>
      <c r="B64" s="58"/>
      <c r="C64" s="58"/>
      <c r="D64" s="58"/>
      <c r="E64" s="58"/>
      <c r="F64" s="58"/>
      <c r="G64" s="58"/>
      <c r="H64" s="59"/>
    </row>
    <row r="65" ht="15.75" customHeight="1">
      <c r="A65" s="71"/>
      <c r="H65" s="72"/>
    </row>
    <row r="66" ht="15.75" customHeight="1">
      <c r="A66" s="60"/>
      <c r="B66" s="61"/>
      <c r="C66" s="61"/>
      <c r="D66" s="61"/>
      <c r="E66" s="61"/>
      <c r="F66" s="61"/>
      <c r="G66" s="61"/>
      <c r="H66" s="62"/>
    </row>
    <row r="67" ht="15.75" customHeight="1"/>
    <row r="68" ht="15.75" customHeight="1">
      <c r="A68" s="54" t="s">
        <v>159</v>
      </c>
      <c r="G68" s="47" t="s">
        <v>80</v>
      </c>
      <c r="H68" s="55">
        <v>10.0</v>
      </c>
    </row>
    <row r="69" ht="15.75" customHeight="1">
      <c r="G69" s="39" t="s">
        <v>160</v>
      </c>
    </row>
    <row r="70" ht="15.75" customHeight="1">
      <c r="A70" s="43" t="s">
        <v>80</v>
      </c>
      <c r="B70" s="73"/>
      <c r="C70" s="33"/>
      <c r="D70" s="33"/>
      <c r="E70" s="33"/>
      <c r="F70" s="33"/>
      <c r="G70" s="33"/>
      <c r="H70" s="34"/>
    </row>
    <row r="71" ht="15.75" customHeight="1">
      <c r="A71" s="68" t="s">
        <v>161</v>
      </c>
      <c r="B71" s="33"/>
      <c r="C71" s="33"/>
      <c r="D71" s="33"/>
      <c r="E71" s="33"/>
      <c r="F71" s="33"/>
      <c r="G71" s="33"/>
      <c r="H71" s="34"/>
    </row>
    <row r="72" ht="15.75" customHeight="1">
      <c r="A72" s="57" t="s">
        <v>162</v>
      </c>
      <c r="B72" s="58"/>
      <c r="C72" s="58"/>
      <c r="D72" s="58"/>
      <c r="E72" s="58"/>
      <c r="F72" s="58"/>
      <c r="G72" s="58"/>
      <c r="H72" s="59"/>
    </row>
    <row r="73" ht="15.75" customHeight="1">
      <c r="A73" s="60"/>
      <c r="B73" s="61"/>
      <c r="C73" s="61"/>
      <c r="D73" s="61"/>
      <c r="E73" s="61"/>
      <c r="F73" s="61"/>
      <c r="G73" s="61"/>
      <c r="H73" s="62"/>
    </row>
    <row r="74" ht="15.75" customHeight="1">
      <c r="A74" s="39" t="s">
        <v>163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52" t="s">
        <v>206</v>
      </c>
    </row>
    <row r="3" ht="15.75" customHeight="1"/>
    <row r="4" ht="15.75" customHeight="1">
      <c r="B4" s="31" t="s">
        <v>1</v>
      </c>
      <c r="C4" s="32" t="str">
        <f>'Diseño'!C4</f>
        <v>964 - Organización Computacional</v>
      </c>
      <c r="D4" s="33"/>
      <c r="E4" s="33"/>
      <c r="F4" s="33"/>
      <c r="G4" s="34"/>
    </row>
    <row r="5" ht="15.75" customHeight="1">
      <c r="B5" s="53" t="s">
        <v>78</v>
      </c>
      <c r="C5" s="32">
        <f>H9+H26+H43+H60+H77+H94+H111</f>
        <v>77</v>
      </c>
      <c r="D5" s="33"/>
      <c r="E5" s="33"/>
      <c r="F5" s="33"/>
      <c r="G5" s="34"/>
    </row>
    <row r="6" ht="15.75" customHeight="1">
      <c r="B6" s="53" t="s">
        <v>120</v>
      </c>
      <c r="C6" s="32">
        <f>F9+F26+F43+F60+F77+F94+F111</f>
        <v>35</v>
      </c>
      <c r="D6" s="33"/>
      <c r="E6" s="33"/>
      <c r="F6" s="33"/>
      <c r="G6" s="34"/>
    </row>
    <row r="7" ht="15.75" customHeight="1">
      <c r="B7" s="49" t="s">
        <v>207</v>
      </c>
    </row>
    <row r="8" ht="15.75" customHeight="1"/>
    <row r="9" ht="15.75" customHeight="1">
      <c r="A9" s="54" t="s">
        <v>208</v>
      </c>
      <c r="E9" s="47" t="s">
        <v>120</v>
      </c>
      <c r="F9" s="55">
        <v>7.5</v>
      </c>
      <c r="G9" s="47" t="s">
        <v>209</v>
      </c>
      <c r="H9" s="55">
        <v>18.0</v>
      </c>
    </row>
    <row r="10" ht="15.75" customHeight="1">
      <c r="A10" s="49" t="s">
        <v>210</v>
      </c>
    </row>
    <row r="11" ht="15.75" customHeight="1">
      <c r="A11" s="64" t="s">
        <v>132</v>
      </c>
      <c r="B11" s="44" t="s">
        <v>46</v>
      </c>
      <c r="C11" s="33"/>
      <c r="D11" s="33"/>
      <c r="E11" s="33"/>
      <c r="F11" s="33"/>
      <c r="G11" s="33"/>
      <c r="H11" s="34"/>
    </row>
    <row r="12" ht="15.75" customHeight="1">
      <c r="A12" s="64" t="s">
        <v>132</v>
      </c>
      <c r="B12" s="44" t="s">
        <v>12</v>
      </c>
      <c r="C12" s="33"/>
      <c r="D12" s="33"/>
      <c r="E12" s="33"/>
      <c r="F12" s="33"/>
      <c r="G12" s="33"/>
      <c r="H12" s="34"/>
    </row>
    <row r="13" ht="15.75" customHeight="1">
      <c r="A13" s="64" t="s">
        <v>132</v>
      </c>
      <c r="B13" s="44" t="s">
        <v>18</v>
      </c>
      <c r="C13" s="33"/>
      <c r="D13" s="33"/>
      <c r="E13" s="33"/>
      <c r="F13" s="33"/>
      <c r="G13" s="33"/>
      <c r="H13" s="34"/>
    </row>
    <row r="14" ht="15.75" customHeight="1">
      <c r="A14" s="64" t="s">
        <v>211</v>
      </c>
      <c r="B14" s="44" t="s">
        <v>212</v>
      </c>
      <c r="C14" s="33"/>
      <c r="D14" s="33"/>
      <c r="E14" s="33"/>
      <c r="F14" s="33"/>
      <c r="G14" s="33"/>
      <c r="H14" s="34"/>
    </row>
    <row r="15" ht="15.75" customHeight="1">
      <c r="A15" s="56" t="s">
        <v>213</v>
      </c>
      <c r="B15" s="33"/>
      <c r="C15" s="33"/>
      <c r="D15" s="33"/>
      <c r="E15" s="33"/>
      <c r="F15" s="33"/>
      <c r="G15" s="33"/>
      <c r="H15" s="34"/>
    </row>
    <row r="16" ht="15.75" customHeight="1">
      <c r="A16" s="57" t="s">
        <v>214</v>
      </c>
      <c r="B16" s="58"/>
      <c r="C16" s="58"/>
      <c r="D16" s="58"/>
      <c r="E16" s="58"/>
      <c r="F16" s="58"/>
      <c r="G16" s="58"/>
      <c r="H16" s="59"/>
    </row>
    <row r="17" ht="15.75" customHeight="1">
      <c r="A17" s="71"/>
      <c r="H17" s="72"/>
    </row>
    <row r="18" ht="15.75" customHeight="1">
      <c r="A18" s="60"/>
      <c r="B18" s="61"/>
      <c r="C18" s="61"/>
      <c r="D18" s="61"/>
      <c r="E18" s="61"/>
      <c r="F18" s="61"/>
      <c r="G18" s="61"/>
      <c r="H18" s="62"/>
    </row>
    <row r="19" ht="15.75" customHeight="1">
      <c r="A19" s="56" t="s">
        <v>215</v>
      </c>
      <c r="B19" s="33"/>
      <c r="C19" s="33"/>
      <c r="D19" s="33"/>
      <c r="E19" s="33"/>
      <c r="F19" s="33"/>
      <c r="G19" s="33"/>
      <c r="H19" s="34"/>
    </row>
    <row r="20" ht="27.75" customHeight="1">
      <c r="A20" s="80" t="s">
        <v>216</v>
      </c>
      <c r="B20" s="58"/>
      <c r="C20" s="58"/>
      <c r="D20" s="58"/>
      <c r="E20" s="58"/>
      <c r="F20" s="58"/>
      <c r="G20" s="58"/>
      <c r="H20" s="59"/>
    </row>
    <row r="21" ht="27.0" customHeight="1">
      <c r="A21" s="71"/>
      <c r="H21" s="72"/>
    </row>
    <row r="22" ht="23.25" customHeight="1">
      <c r="A22" s="71"/>
      <c r="H22" s="72"/>
    </row>
    <row r="23" ht="23.25" customHeight="1">
      <c r="A23" s="60"/>
      <c r="B23" s="61"/>
      <c r="C23" s="61"/>
      <c r="D23" s="61"/>
      <c r="E23" s="61"/>
      <c r="F23" s="61"/>
      <c r="G23" s="61"/>
      <c r="H23" s="62"/>
    </row>
    <row r="24" ht="15.75" customHeight="1"/>
    <row r="25" ht="15.75" customHeight="1"/>
    <row r="26" ht="15.75" customHeight="1">
      <c r="A26" s="54" t="s">
        <v>217</v>
      </c>
      <c r="E26" s="47" t="s">
        <v>120</v>
      </c>
      <c r="F26" s="55">
        <v>12.5</v>
      </c>
      <c r="G26" s="47" t="s">
        <v>209</v>
      </c>
      <c r="H26" s="55">
        <v>24.0</v>
      </c>
    </row>
    <row r="27" ht="15.75" customHeight="1">
      <c r="A27" s="50" t="s">
        <v>218</v>
      </c>
    </row>
    <row r="28" ht="15.75" customHeight="1">
      <c r="A28" s="64" t="s">
        <v>132</v>
      </c>
      <c r="B28" s="44" t="s">
        <v>12</v>
      </c>
      <c r="C28" s="33"/>
      <c r="D28" s="33"/>
      <c r="E28" s="33"/>
      <c r="F28" s="33"/>
      <c r="G28" s="33"/>
      <c r="H28" s="34"/>
    </row>
    <row r="29" ht="15.75" customHeight="1">
      <c r="A29" s="64" t="s">
        <v>132</v>
      </c>
      <c r="B29" s="32"/>
      <c r="C29" s="33"/>
      <c r="D29" s="33"/>
      <c r="E29" s="33"/>
      <c r="F29" s="33"/>
      <c r="G29" s="33"/>
      <c r="H29" s="34"/>
    </row>
    <row r="30" ht="15.75" customHeight="1">
      <c r="A30" s="64" t="s">
        <v>132</v>
      </c>
      <c r="B30" s="32"/>
      <c r="C30" s="33"/>
      <c r="D30" s="33"/>
      <c r="E30" s="33"/>
      <c r="F30" s="33"/>
      <c r="G30" s="33"/>
      <c r="H30" s="34"/>
    </row>
    <row r="31" ht="15.75" customHeight="1">
      <c r="A31" s="64" t="s">
        <v>211</v>
      </c>
      <c r="B31" s="44" t="s">
        <v>219</v>
      </c>
      <c r="C31" s="33"/>
      <c r="D31" s="33"/>
      <c r="E31" s="33"/>
      <c r="F31" s="33"/>
      <c r="G31" s="33"/>
      <c r="H31" s="34"/>
    </row>
    <row r="32" ht="15.75" customHeight="1">
      <c r="A32" s="56" t="s">
        <v>213</v>
      </c>
      <c r="B32" s="33"/>
      <c r="C32" s="33"/>
      <c r="D32" s="33"/>
      <c r="E32" s="33"/>
      <c r="F32" s="33"/>
      <c r="G32" s="33"/>
      <c r="H32" s="34"/>
    </row>
    <row r="33" ht="15.75" customHeight="1">
      <c r="A33" s="77" t="s">
        <v>220</v>
      </c>
      <c r="B33" s="58"/>
      <c r="C33" s="58"/>
      <c r="D33" s="58"/>
      <c r="E33" s="58"/>
      <c r="F33" s="58"/>
      <c r="G33" s="58"/>
      <c r="H33" s="59"/>
    </row>
    <row r="34" ht="15.75" customHeight="1">
      <c r="A34" s="71"/>
      <c r="H34" s="72"/>
    </row>
    <row r="35" ht="15.75" customHeight="1">
      <c r="A35" s="60"/>
      <c r="B35" s="61"/>
      <c r="C35" s="61"/>
      <c r="D35" s="61"/>
      <c r="E35" s="61"/>
      <c r="F35" s="61"/>
      <c r="G35" s="61"/>
      <c r="H35" s="62"/>
    </row>
    <row r="36" ht="15.75" customHeight="1">
      <c r="A36" s="56" t="s">
        <v>215</v>
      </c>
      <c r="B36" s="33"/>
      <c r="C36" s="33"/>
      <c r="D36" s="33"/>
      <c r="E36" s="33"/>
      <c r="F36" s="33"/>
      <c r="G36" s="33"/>
      <c r="H36" s="34"/>
    </row>
    <row r="37" ht="15.75" customHeight="1">
      <c r="A37" s="57" t="s">
        <v>221</v>
      </c>
      <c r="B37" s="58"/>
      <c r="C37" s="58"/>
      <c r="D37" s="58"/>
      <c r="E37" s="58"/>
      <c r="F37" s="58"/>
      <c r="G37" s="58"/>
      <c r="H37" s="59"/>
    </row>
    <row r="38" ht="15.75" customHeight="1">
      <c r="A38" s="71"/>
      <c r="H38" s="72"/>
    </row>
    <row r="39" ht="15.75" customHeight="1">
      <c r="A39" s="71"/>
      <c r="H39" s="72"/>
    </row>
    <row r="40" ht="15.75" customHeight="1">
      <c r="A40" s="60"/>
      <c r="B40" s="61"/>
      <c r="C40" s="61"/>
      <c r="D40" s="61"/>
      <c r="E40" s="61"/>
      <c r="F40" s="61"/>
      <c r="G40" s="61"/>
      <c r="H40" s="62"/>
    </row>
    <row r="41" ht="15.75" customHeight="1"/>
    <row r="42" ht="15.75" customHeight="1"/>
    <row r="43" ht="15.75" customHeight="1">
      <c r="A43" s="54" t="s">
        <v>222</v>
      </c>
      <c r="E43" s="47" t="s">
        <v>120</v>
      </c>
      <c r="F43" s="55">
        <v>15.0</v>
      </c>
      <c r="G43" s="47" t="s">
        <v>209</v>
      </c>
      <c r="H43" s="55">
        <v>35.0</v>
      </c>
    </row>
    <row r="44" ht="15.75" customHeight="1">
      <c r="A44" s="50" t="s">
        <v>218</v>
      </c>
    </row>
    <row r="45" ht="15.75" customHeight="1">
      <c r="A45" s="64" t="s">
        <v>132</v>
      </c>
      <c r="B45" s="44" t="s">
        <v>46</v>
      </c>
      <c r="C45" s="33"/>
      <c r="D45" s="33"/>
      <c r="E45" s="33"/>
      <c r="F45" s="33"/>
      <c r="G45" s="33"/>
      <c r="H45" s="34"/>
    </row>
    <row r="46" ht="15.75" customHeight="1">
      <c r="A46" s="64" t="s">
        <v>132</v>
      </c>
      <c r="B46" s="44" t="s">
        <v>50</v>
      </c>
      <c r="C46" s="33"/>
      <c r="D46" s="33"/>
      <c r="E46" s="33"/>
      <c r="F46" s="33"/>
      <c r="G46" s="33"/>
      <c r="H46" s="34"/>
    </row>
    <row r="47" ht="15.75" customHeight="1">
      <c r="A47" s="64" t="s">
        <v>132</v>
      </c>
      <c r="B47" s="32"/>
      <c r="C47" s="33"/>
      <c r="D47" s="33"/>
      <c r="E47" s="33"/>
      <c r="F47" s="33"/>
      <c r="G47" s="33"/>
      <c r="H47" s="34"/>
    </row>
    <row r="48" ht="15.75" customHeight="1">
      <c r="A48" s="64" t="s">
        <v>211</v>
      </c>
      <c r="B48" s="44" t="s">
        <v>223</v>
      </c>
      <c r="C48" s="33"/>
      <c r="D48" s="33"/>
      <c r="E48" s="33"/>
      <c r="F48" s="33"/>
      <c r="G48" s="33"/>
      <c r="H48" s="34"/>
    </row>
    <row r="49" ht="15.75" customHeight="1">
      <c r="A49" s="56" t="s">
        <v>213</v>
      </c>
      <c r="B49" s="33"/>
      <c r="C49" s="33"/>
      <c r="D49" s="33"/>
      <c r="E49" s="33"/>
      <c r="F49" s="33"/>
      <c r="G49" s="33"/>
      <c r="H49" s="34"/>
    </row>
    <row r="50" ht="15.75" customHeight="1">
      <c r="A50" s="57" t="s">
        <v>224</v>
      </c>
      <c r="B50" s="58"/>
      <c r="C50" s="58"/>
      <c r="D50" s="58"/>
      <c r="E50" s="58"/>
      <c r="F50" s="58"/>
      <c r="G50" s="58"/>
      <c r="H50" s="59"/>
    </row>
    <row r="51" ht="15.75" customHeight="1">
      <c r="A51" s="71"/>
      <c r="H51" s="72"/>
    </row>
    <row r="52" ht="15.75" customHeight="1">
      <c r="A52" s="60"/>
      <c r="B52" s="61"/>
      <c r="C52" s="61"/>
      <c r="D52" s="61"/>
      <c r="E52" s="61"/>
      <c r="F52" s="61"/>
      <c r="G52" s="61"/>
      <c r="H52" s="62"/>
    </row>
    <row r="53" ht="15.75" customHeight="1">
      <c r="A53" s="56" t="s">
        <v>215</v>
      </c>
      <c r="B53" s="33"/>
      <c r="C53" s="33"/>
      <c r="D53" s="33"/>
      <c r="E53" s="33"/>
      <c r="F53" s="33"/>
      <c r="G53" s="33"/>
      <c r="H53" s="34"/>
    </row>
    <row r="54" ht="15.75" customHeight="1">
      <c r="A54" s="70" t="s">
        <v>225</v>
      </c>
      <c r="B54" s="58"/>
      <c r="C54" s="58"/>
      <c r="D54" s="58"/>
      <c r="E54" s="58"/>
      <c r="F54" s="58"/>
      <c r="G54" s="58"/>
      <c r="H54" s="59"/>
    </row>
    <row r="55" ht="15.75" customHeight="1">
      <c r="A55" s="71"/>
      <c r="H55" s="72"/>
    </row>
    <row r="56" ht="15.75" customHeight="1">
      <c r="A56" s="71"/>
      <c r="H56" s="72"/>
    </row>
    <row r="57" ht="15.75" customHeight="1">
      <c r="A57" s="60"/>
      <c r="B57" s="61"/>
      <c r="C57" s="61"/>
      <c r="D57" s="61"/>
      <c r="E57" s="61"/>
      <c r="F57" s="61"/>
      <c r="G57" s="61"/>
      <c r="H57" s="62"/>
    </row>
    <row r="58" ht="15.75" customHeight="1"/>
    <row r="59" ht="15.75" customHeight="1"/>
    <row r="60" ht="15.75" customHeight="1">
      <c r="A60" s="54" t="s">
        <v>226</v>
      </c>
      <c r="E60" s="47" t="s">
        <v>120</v>
      </c>
      <c r="F60" s="79"/>
      <c r="G60" s="47" t="s">
        <v>209</v>
      </c>
      <c r="H60" s="79"/>
    </row>
    <row r="61" ht="15.75" customHeight="1">
      <c r="A61" s="50" t="s">
        <v>218</v>
      </c>
    </row>
    <row r="62" ht="15.75" customHeight="1">
      <c r="A62" s="64" t="s">
        <v>132</v>
      </c>
      <c r="B62" s="32"/>
      <c r="C62" s="33"/>
      <c r="D62" s="33"/>
      <c r="E62" s="33"/>
      <c r="F62" s="33"/>
      <c r="G62" s="33"/>
      <c r="H62" s="34"/>
    </row>
    <row r="63" ht="15.75" customHeight="1">
      <c r="A63" s="64" t="s">
        <v>132</v>
      </c>
      <c r="B63" s="32"/>
      <c r="C63" s="33"/>
      <c r="D63" s="33"/>
      <c r="E63" s="33"/>
      <c r="F63" s="33"/>
      <c r="G63" s="33"/>
      <c r="H63" s="34"/>
    </row>
    <row r="64" ht="15.75" customHeight="1">
      <c r="A64" s="64" t="s">
        <v>132</v>
      </c>
      <c r="B64" s="32"/>
      <c r="C64" s="33"/>
      <c r="D64" s="33"/>
      <c r="E64" s="33"/>
      <c r="F64" s="33"/>
      <c r="G64" s="33"/>
      <c r="H64" s="34"/>
    </row>
    <row r="65" ht="15.75" customHeight="1">
      <c r="A65" s="64" t="s">
        <v>211</v>
      </c>
      <c r="B65" s="32"/>
      <c r="C65" s="33"/>
      <c r="D65" s="33"/>
      <c r="E65" s="33"/>
      <c r="F65" s="33"/>
      <c r="G65" s="33"/>
      <c r="H65" s="34"/>
    </row>
    <row r="66" ht="15.75" customHeight="1">
      <c r="A66" s="56" t="s">
        <v>213</v>
      </c>
      <c r="B66" s="33"/>
      <c r="C66" s="33"/>
      <c r="D66" s="33"/>
      <c r="E66" s="33"/>
      <c r="F66" s="33"/>
      <c r="G66" s="33"/>
      <c r="H66" s="34"/>
    </row>
    <row r="67" ht="15.75" customHeight="1">
      <c r="A67" s="75"/>
      <c r="B67" s="58"/>
      <c r="C67" s="58"/>
      <c r="D67" s="58"/>
      <c r="E67" s="58"/>
      <c r="F67" s="58"/>
      <c r="G67" s="58"/>
      <c r="H67" s="59"/>
    </row>
    <row r="68" ht="15.75" customHeight="1">
      <c r="A68" s="71"/>
      <c r="H68" s="72"/>
    </row>
    <row r="69" ht="15.75" customHeight="1">
      <c r="A69" s="60"/>
      <c r="B69" s="61"/>
      <c r="C69" s="61"/>
      <c r="D69" s="61"/>
      <c r="E69" s="61"/>
      <c r="F69" s="61"/>
      <c r="G69" s="61"/>
      <c r="H69" s="62"/>
    </row>
    <row r="70" ht="15.75" customHeight="1">
      <c r="A70" s="56" t="s">
        <v>215</v>
      </c>
      <c r="B70" s="33"/>
      <c r="C70" s="33"/>
      <c r="D70" s="33"/>
      <c r="E70" s="33"/>
      <c r="F70" s="33"/>
      <c r="G70" s="33"/>
      <c r="H70" s="34"/>
    </row>
    <row r="71" ht="15.75" customHeight="1">
      <c r="A71" s="75"/>
      <c r="B71" s="58"/>
      <c r="C71" s="58"/>
      <c r="D71" s="58"/>
      <c r="E71" s="58"/>
      <c r="F71" s="58"/>
      <c r="G71" s="58"/>
      <c r="H71" s="59"/>
    </row>
    <row r="72" ht="15.75" customHeight="1">
      <c r="A72" s="71"/>
      <c r="H72" s="72"/>
    </row>
    <row r="73" ht="15.75" customHeight="1">
      <c r="A73" s="71"/>
      <c r="H73" s="72"/>
    </row>
    <row r="74" ht="15.75" customHeight="1">
      <c r="A74" s="60"/>
      <c r="B74" s="61"/>
      <c r="C74" s="61"/>
      <c r="D74" s="61"/>
      <c r="E74" s="61"/>
      <c r="F74" s="61"/>
      <c r="G74" s="61"/>
      <c r="H74" s="62"/>
    </row>
    <row r="75" ht="15.75" customHeight="1"/>
    <row r="76" ht="15.75" customHeight="1"/>
    <row r="77" ht="15.75" customHeight="1">
      <c r="A77" s="54" t="s">
        <v>227</v>
      </c>
      <c r="E77" s="47" t="s">
        <v>120</v>
      </c>
      <c r="F77" s="79"/>
      <c r="G77" s="47" t="s">
        <v>209</v>
      </c>
      <c r="H77" s="79"/>
    </row>
    <row r="78" ht="15.75" customHeight="1">
      <c r="A78" s="50" t="s">
        <v>218</v>
      </c>
    </row>
    <row r="79" ht="15.75" customHeight="1">
      <c r="A79" s="64" t="s">
        <v>132</v>
      </c>
      <c r="B79" s="32"/>
      <c r="C79" s="33"/>
      <c r="D79" s="33"/>
      <c r="E79" s="33"/>
      <c r="F79" s="33"/>
      <c r="G79" s="33"/>
      <c r="H79" s="34"/>
    </row>
    <row r="80" ht="15.75" customHeight="1">
      <c r="A80" s="64" t="s">
        <v>132</v>
      </c>
      <c r="B80" s="32"/>
      <c r="C80" s="33"/>
      <c r="D80" s="33"/>
      <c r="E80" s="33"/>
      <c r="F80" s="33"/>
      <c r="G80" s="33"/>
      <c r="H80" s="34"/>
    </row>
    <row r="81" ht="15.75" customHeight="1">
      <c r="A81" s="64" t="s">
        <v>132</v>
      </c>
      <c r="B81" s="32"/>
      <c r="C81" s="33"/>
      <c r="D81" s="33"/>
      <c r="E81" s="33"/>
      <c r="F81" s="33"/>
      <c r="G81" s="33"/>
      <c r="H81" s="34"/>
    </row>
    <row r="82" ht="15.75" customHeight="1">
      <c r="A82" s="64" t="s">
        <v>211</v>
      </c>
      <c r="B82" s="32"/>
      <c r="C82" s="33"/>
      <c r="D82" s="33"/>
      <c r="E82" s="33"/>
      <c r="F82" s="33"/>
      <c r="G82" s="33"/>
      <c r="H82" s="34"/>
    </row>
    <row r="83" ht="15.75" customHeight="1">
      <c r="A83" s="56" t="s">
        <v>213</v>
      </c>
      <c r="B83" s="33"/>
      <c r="C83" s="33"/>
      <c r="D83" s="33"/>
      <c r="E83" s="33"/>
      <c r="F83" s="33"/>
      <c r="G83" s="33"/>
      <c r="H83" s="34"/>
    </row>
    <row r="84" ht="15.75" customHeight="1">
      <c r="A84" s="75"/>
      <c r="B84" s="58"/>
      <c r="C84" s="58"/>
      <c r="D84" s="58"/>
      <c r="E84" s="58"/>
      <c r="F84" s="58"/>
      <c r="G84" s="58"/>
      <c r="H84" s="59"/>
    </row>
    <row r="85" ht="15.75" customHeight="1">
      <c r="A85" s="71"/>
      <c r="H85" s="72"/>
    </row>
    <row r="86" ht="15.75" customHeight="1">
      <c r="A86" s="60"/>
      <c r="B86" s="61"/>
      <c r="C86" s="61"/>
      <c r="D86" s="61"/>
      <c r="E86" s="61"/>
      <c r="F86" s="61"/>
      <c r="G86" s="61"/>
      <c r="H86" s="62"/>
    </row>
    <row r="87" ht="15.75" customHeight="1">
      <c r="A87" s="56" t="s">
        <v>215</v>
      </c>
      <c r="B87" s="33"/>
      <c r="C87" s="33"/>
      <c r="D87" s="33"/>
      <c r="E87" s="33"/>
      <c r="F87" s="33"/>
      <c r="G87" s="33"/>
      <c r="H87" s="34"/>
    </row>
    <row r="88" ht="15.75" customHeight="1">
      <c r="A88" s="75"/>
      <c r="B88" s="58"/>
      <c r="C88" s="58"/>
      <c r="D88" s="58"/>
      <c r="E88" s="58"/>
      <c r="F88" s="58"/>
      <c r="G88" s="58"/>
      <c r="H88" s="59"/>
    </row>
    <row r="89" ht="15.75" customHeight="1">
      <c r="A89" s="71"/>
      <c r="H89" s="72"/>
    </row>
    <row r="90" ht="15.75" customHeight="1">
      <c r="A90" s="71"/>
      <c r="H90" s="72"/>
    </row>
    <row r="91" ht="15.75" customHeight="1">
      <c r="A91" s="60"/>
      <c r="B91" s="61"/>
      <c r="C91" s="61"/>
      <c r="D91" s="61"/>
      <c r="E91" s="61"/>
      <c r="F91" s="61"/>
      <c r="G91" s="61"/>
      <c r="H91" s="62"/>
    </row>
    <row r="92" ht="15.75" customHeight="1"/>
    <row r="93" ht="15.75" customHeight="1"/>
    <row r="94" ht="15.75" customHeight="1">
      <c r="A94" s="54" t="s">
        <v>228</v>
      </c>
      <c r="E94" s="47" t="s">
        <v>120</v>
      </c>
      <c r="F94" s="79"/>
      <c r="G94" s="47" t="s">
        <v>209</v>
      </c>
      <c r="H94" s="79"/>
    </row>
    <row r="95" ht="15.75" customHeight="1">
      <c r="A95" s="50" t="s">
        <v>218</v>
      </c>
    </row>
    <row r="96" ht="15.75" customHeight="1">
      <c r="A96" s="64" t="s">
        <v>132</v>
      </c>
      <c r="B96" s="32"/>
      <c r="C96" s="33"/>
      <c r="D96" s="33"/>
      <c r="E96" s="33"/>
      <c r="F96" s="33"/>
      <c r="G96" s="33"/>
      <c r="H96" s="34"/>
    </row>
    <row r="97" ht="15.75" customHeight="1">
      <c r="A97" s="64" t="s">
        <v>132</v>
      </c>
      <c r="B97" s="32"/>
      <c r="C97" s="33"/>
      <c r="D97" s="33"/>
      <c r="E97" s="33"/>
      <c r="F97" s="33"/>
      <c r="G97" s="33"/>
      <c r="H97" s="34"/>
    </row>
    <row r="98" ht="15.75" customHeight="1">
      <c r="A98" s="64" t="s">
        <v>132</v>
      </c>
      <c r="B98" s="32"/>
      <c r="C98" s="33"/>
      <c r="D98" s="33"/>
      <c r="E98" s="33"/>
      <c r="F98" s="33"/>
      <c r="G98" s="33"/>
      <c r="H98" s="34"/>
    </row>
    <row r="99" ht="15.75" customHeight="1">
      <c r="A99" s="64" t="s">
        <v>211</v>
      </c>
      <c r="B99" s="32"/>
      <c r="C99" s="33"/>
      <c r="D99" s="33"/>
      <c r="E99" s="33"/>
      <c r="F99" s="33"/>
      <c r="G99" s="33"/>
      <c r="H99" s="34"/>
    </row>
    <row r="100" ht="15.75" customHeight="1">
      <c r="A100" s="56" t="s">
        <v>213</v>
      </c>
      <c r="B100" s="33"/>
      <c r="C100" s="33"/>
      <c r="D100" s="33"/>
      <c r="E100" s="33"/>
      <c r="F100" s="33"/>
      <c r="G100" s="33"/>
      <c r="H100" s="34"/>
    </row>
    <row r="101" ht="15.75" customHeight="1">
      <c r="A101" s="75"/>
      <c r="B101" s="58"/>
      <c r="C101" s="58"/>
      <c r="D101" s="58"/>
      <c r="E101" s="58"/>
      <c r="F101" s="58"/>
      <c r="G101" s="58"/>
      <c r="H101" s="59"/>
    </row>
    <row r="102" ht="15.75" customHeight="1">
      <c r="A102" s="71"/>
      <c r="H102" s="72"/>
    </row>
    <row r="103" ht="15.75" customHeight="1">
      <c r="A103" s="60"/>
      <c r="B103" s="61"/>
      <c r="C103" s="61"/>
      <c r="D103" s="61"/>
      <c r="E103" s="61"/>
      <c r="F103" s="61"/>
      <c r="G103" s="61"/>
      <c r="H103" s="62"/>
    </row>
    <row r="104" ht="15.75" customHeight="1">
      <c r="A104" s="56" t="s">
        <v>215</v>
      </c>
      <c r="B104" s="33"/>
      <c r="C104" s="33"/>
      <c r="D104" s="33"/>
      <c r="E104" s="33"/>
      <c r="F104" s="33"/>
      <c r="G104" s="33"/>
      <c r="H104" s="34"/>
    </row>
    <row r="105" ht="15.75" customHeight="1">
      <c r="A105" s="75"/>
      <c r="B105" s="58"/>
      <c r="C105" s="58"/>
      <c r="D105" s="58"/>
      <c r="E105" s="58"/>
      <c r="F105" s="58"/>
      <c r="G105" s="58"/>
      <c r="H105" s="59"/>
    </row>
    <row r="106" ht="15.75" customHeight="1">
      <c r="A106" s="71"/>
      <c r="H106" s="72"/>
    </row>
    <row r="107" ht="15.75" customHeight="1">
      <c r="A107" s="71"/>
      <c r="H107" s="72"/>
    </row>
    <row r="108" ht="15.75" customHeight="1">
      <c r="A108" s="60"/>
      <c r="B108" s="61"/>
      <c r="C108" s="61"/>
      <c r="D108" s="61"/>
      <c r="E108" s="61"/>
      <c r="F108" s="61"/>
      <c r="G108" s="61"/>
      <c r="H108" s="62"/>
    </row>
    <row r="109" ht="15.75" customHeight="1"/>
    <row r="110" ht="15.75" customHeight="1"/>
    <row r="111" ht="15.75" customHeight="1">
      <c r="A111" s="54" t="s">
        <v>229</v>
      </c>
      <c r="E111" s="47" t="s">
        <v>120</v>
      </c>
      <c r="F111" s="79"/>
      <c r="G111" s="47" t="s">
        <v>209</v>
      </c>
      <c r="H111" s="79"/>
    </row>
    <row r="112" ht="15.75" customHeight="1">
      <c r="A112" s="50" t="s">
        <v>218</v>
      </c>
    </row>
    <row r="113" ht="15.75" customHeight="1">
      <c r="A113" s="64" t="s">
        <v>132</v>
      </c>
      <c r="B113" s="32"/>
      <c r="C113" s="33"/>
      <c r="D113" s="33"/>
      <c r="E113" s="33"/>
      <c r="F113" s="33"/>
      <c r="G113" s="33"/>
      <c r="H113" s="34"/>
    </row>
    <row r="114" ht="15.75" customHeight="1">
      <c r="A114" s="64" t="s">
        <v>132</v>
      </c>
      <c r="B114" s="32"/>
      <c r="C114" s="33"/>
      <c r="D114" s="33"/>
      <c r="E114" s="33"/>
      <c r="F114" s="33"/>
      <c r="G114" s="33"/>
      <c r="H114" s="34"/>
    </row>
    <row r="115" ht="15.75" customHeight="1">
      <c r="A115" s="64" t="s">
        <v>132</v>
      </c>
      <c r="B115" s="32"/>
      <c r="C115" s="33"/>
      <c r="D115" s="33"/>
      <c r="E115" s="33"/>
      <c r="F115" s="33"/>
      <c r="G115" s="33"/>
      <c r="H115" s="34"/>
    </row>
    <row r="116" ht="15.75" customHeight="1">
      <c r="A116" s="64" t="s">
        <v>211</v>
      </c>
      <c r="B116" s="32"/>
      <c r="C116" s="33"/>
      <c r="D116" s="33"/>
      <c r="E116" s="33"/>
      <c r="F116" s="33"/>
      <c r="G116" s="33"/>
      <c r="H116" s="34"/>
    </row>
    <row r="117" ht="15.75" customHeight="1">
      <c r="A117" s="56" t="s">
        <v>213</v>
      </c>
      <c r="B117" s="33"/>
      <c r="C117" s="33"/>
      <c r="D117" s="33"/>
      <c r="E117" s="33"/>
      <c r="F117" s="33"/>
      <c r="G117" s="33"/>
      <c r="H117" s="34"/>
    </row>
    <row r="118" ht="15.75" customHeight="1">
      <c r="A118" s="75"/>
      <c r="B118" s="58"/>
      <c r="C118" s="58"/>
      <c r="D118" s="58"/>
      <c r="E118" s="58"/>
      <c r="F118" s="58"/>
      <c r="G118" s="58"/>
      <c r="H118" s="59"/>
    </row>
    <row r="119" ht="15.75" customHeight="1">
      <c r="A119" s="71"/>
      <c r="H119" s="72"/>
    </row>
    <row r="120" ht="15.75" customHeight="1">
      <c r="A120" s="60"/>
      <c r="B120" s="61"/>
      <c r="C120" s="61"/>
      <c r="D120" s="61"/>
      <c r="E120" s="61"/>
      <c r="F120" s="61"/>
      <c r="G120" s="61"/>
      <c r="H120" s="62"/>
    </row>
    <row r="121" ht="15.75" customHeight="1">
      <c r="A121" s="56" t="s">
        <v>215</v>
      </c>
      <c r="B121" s="33"/>
      <c r="C121" s="33"/>
      <c r="D121" s="33"/>
      <c r="E121" s="33"/>
      <c r="F121" s="33"/>
      <c r="G121" s="33"/>
      <c r="H121" s="34"/>
    </row>
    <row r="122" ht="15.75" customHeight="1">
      <c r="A122" s="75"/>
      <c r="B122" s="58"/>
      <c r="C122" s="58"/>
      <c r="D122" s="58"/>
      <c r="E122" s="58"/>
      <c r="F122" s="58"/>
      <c r="G122" s="58"/>
      <c r="H122" s="59"/>
    </row>
    <row r="123" ht="15.75" customHeight="1">
      <c r="A123" s="71"/>
      <c r="H123" s="72"/>
    </row>
    <row r="124" ht="15.75" customHeight="1">
      <c r="A124" s="71"/>
      <c r="H124" s="72"/>
    </row>
    <row r="125" ht="15.75" customHeight="1">
      <c r="A125" s="60"/>
      <c r="B125" s="61"/>
      <c r="C125" s="61"/>
      <c r="D125" s="61"/>
      <c r="E125" s="61"/>
      <c r="F125" s="61"/>
      <c r="G125" s="61"/>
      <c r="H125" s="6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52" t="s">
        <v>230</v>
      </c>
    </row>
    <row r="3" ht="15.75" customHeight="1"/>
    <row r="4" ht="15.75" customHeight="1">
      <c r="B4" s="31" t="s">
        <v>1</v>
      </c>
      <c r="C4" s="32" t="str">
        <f>'Diseño'!C4</f>
        <v>964 - Organización Computacional</v>
      </c>
      <c r="D4" s="33"/>
      <c r="E4" s="33"/>
      <c r="F4" s="33"/>
      <c r="G4" s="34"/>
    </row>
    <row r="5" ht="15.75" customHeight="1">
      <c r="B5" s="53" t="s">
        <v>78</v>
      </c>
      <c r="C5" s="32">
        <f>H9+H26+H43</f>
        <v>40</v>
      </c>
      <c r="D5" s="33"/>
      <c r="E5" s="33"/>
      <c r="F5" s="33"/>
      <c r="G5" s="34"/>
    </row>
    <row r="6" ht="15.75" customHeight="1">
      <c r="B6" s="53" t="s">
        <v>120</v>
      </c>
      <c r="C6" s="32">
        <f>F9+F26+F43</f>
        <v>30</v>
      </c>
      <c r="D6" s="33"/>
      <c r="E6" s="33"/>
      <c r="F6" s="33"/>
      <c r="G6" s="34"/>
    </row>
    <row r="7" ht="15.75" customHeight="1">
      <c r="B7" s="49" t="s">
        <v>231</v>
      </c>
    </row>
    <row r="8" ht="15.75" customHeight="1"/>
    <row r="9" ht="15.75" customHeight="1">
      <c r="A9" s="54" t="s">
        <v>232</v>
      </c>
      <c r="E9" s="47" t="s">
        <v>120</v>
      </c>
      <c r="F9" s="55">
        <v>30.0</v>
      </c>
      <c r="G9" s="47" t="s">
        <v>209</v>
      </c>
      <c r="H9" s="55">
        <v>40.0</v>
      </c>
    </row>
    <row r="10" ht="15.75" customHeight="1">
      <c r="A10" s="49" t="s">
        <v>142</v>
      </c>
    </row>
    <row r="11" ht="15.75" customHeight="1">
      <c r="A11" s="64" t="s">
        <v>132</v>
      </c>
      <c r="B11" s="44" t="s">
        <v>50</v>
      </c>
      <c r="C11" s="33"/>
      <c r="D11" s="33"/>
      <c r="E11" s="33"/>
      <c r="F11" s="33"/>
      <c r="G11" s="33"/>
      <c r="H11" s="34"/>
    </row>
    <row r="12" ht="15.75" customHeight="1">
      <c r="A12" s="64" t="s">
        <v>132</v>
      </c>
      <c r="B12" s="44" t="s">
        <v>233</v>
      </c>
      <c r="C12" s="33"/>
      <c r="D12" s="33"/>
      <c r="E12" s="33"/>
      <c r="F12" s="33"/>
      <c r="G12" s="33"/>
      <c r="H12" s="34"/>
    </row>
    <row r="13" ht="15.75" customHeight="1">
      <c r="A13" s="64" t="s">
        <v>132</v>
      </c>
      <c r="B13" s="32"/>
      <c r="C13" s="33"/>
      <c r="D13" s="33"/>
      <c r="E13" s="33"/>
      <c r="F13" s="33"/>
      <c r="G13" s="33"/>
      <c r="H13" s="34"/>
    </row>
    <row r="14" ht="15.75" customHeight="1">
      <c r="A14" s="64" t="s">
        <v>211</v>
      </c>
      <c r="B14" s="32"/>
      <c r="C14" s="33"/>
      <c r="D14" s="33"/>
      <c r="E14" s="33"/>
      <c r="F14" s="33"/>
      <c r="G14" s="33"/>
      <c r="H14" s="34"/>
    </row>
    <row r="15" ht="15.75" customHeight="1">
      <c r="A15" s="56" t="s">
        <v>213</v>
      </c>
      <c r="B15" s="33"/>
      <c r="C15" s="33"/>
      <c r="D15" s="33"/>
      <c r="E15" s="33"/>
      <c r="F15" s="33"/>
      <c r="G15" s="33"/>
      <c r="H15" s="34"/>
    </row>
    <row r="16" ht="15.75" customHeight="1">
      <c r="A16" s="57" t="s">
        <v>234</v>
      </c>
      <c r="B16" s="58"/>
      <c r="C16" s="58"/>
      <c r="D16" s="58"/>
      <c r="E16" s="58"/>
      <c r="F16" s="58"/>
      <c r="G16" s="58"/>
      <c r="H16" s="59"/>
    </row>
    <row r="17" ht="15.75" customHeight="1">
      <c r="A17" s="71"/>
      <c r="H17" s="72"/>
    </row>
    <row r="18" ht="15.75" customHeight="1">
      <c r="A18" s="60"/>
      <c r="B18" s="61"/>
      <c r="C18" s="61"/>
      <c r="D18" s="61"/>
      <c r="E18" s="61"/>
      <c r="F18" s="61"/>
      <c r="G18" s="61"/>
      <c r="H18" s="62"/>
    </row>
    <row r="19" ht="15.75" customHeight="1">
      <c r="A19" s="56" t="s">
        <v>215</v>
      </c>
      <c r="B19" s="33"/>
      <c r="C19" s="33"/>
      <c r="D19" s="33"/>
      <c r="E19" s="33"/>
      <c r="F19" s="33"/>
      <c r="G19" s="33"/>
      <c r="H19" s="34"/>
    </row>
    <row r="20" ht="15.75" customHeight="1">
      <c r="A20" s="75"/>
      <c r="B20" s="58"/>
      <c r="C20" s="58"/>
      <c r="D20" s="58"/>
      <c r="E20" s="58"/>
      <c r="F20" s="58"/>
      <c r="G20" s="58"/>
      <c r="H20" s="59"/>
    </row>
    <row r="21" ht="15.75" customHeight="1">
      <c r="A21" s="71"/>
      <c r="H21" s="72"/>
    </row>
    <row r="22" ht="15.75" customHeight="1">
      <c r="A22" s="71"/>
      <c r="H22" s="72"/>
    </row>
    <row r="23" ht="15.75" customHeight="1">
      <c r="A23" s="60"/>
      <c r="B23" s="61"/>
      <c r="C23" s="61"/>
      <c r="D23" s="61"/>
      <c r="E23" s="61"/>
      <c r="F23" s="61"/>
      <c r="G23" s="61"/>
      <c r="H23" s="62"/>
    </row>
    <row r="24" ht="15.75" customHeight="1"/>
    <row r="25" ht="15.75" customHeight="1"/>
    <row r="26" ht="15.75" customHeight="1">
      <c r="A26" s="54" t="s">
        <v>235</v>
      </c>
      <c r="E26" s="47" t="s">
        <v>120</v>
      </c>
      <c r="F26" s="79"/>
      <c r="G26" s="47" t="s">
        <v>209</v>
      </c>
      <c r="H26" s="79"/>
    </row>
    <row r="27" ht="15.75" customHeight="1">
      <c r="A27" s="49" t="s">
        <v>142</v>
      </c>
    </row>
    <row r="28" ht="15.75" customHeight="1">
      <c r="A28" s="64" t="s">
        <v>132</v>
      </c>
      <c r="B28" s="32"/>
      <c r="C28" s="33"/>
      <c r="D28" s="33"/>
      <c r="E28" s="33"/>
      <c r="F28" s="33"/>
      <c r="G28" s="33"/>
      <c r="H28" s="34"/>
    </row>
    <row r="29" ht="15.75" customHeight="1">
      <c r="A29" s="64" t="s">
        <v>132</v>
      </c>
      <c r="B29" s="32"/>
      <c r="C29" s="33"/>
      <c r="D29" s="33"/>
      <c r="E29" s="33"/>
      <c r="F29" s="33"/>
      <c r="G29" s="33"/>
      <c r="H29" s="34"/>
    </row>
    <row r="30" ht="15.75" customHeight="1">
      <c r="A30" s="64" t="s">
        <v>132</v>
      </c>
      <c r="B30" s="32"/>
      <c r="C30" s="33"/>
      <c r="D30" s="33"/>
      <c r="E30" s="33"/>
      <c r="F30" s="33"/>
      <c r="G30" s="33"/>
      <c r="H30" s="34"/>
    </row>
    <row r="31" ht="15.75" customHeight="1">
      <c r="A31" s="64" t="s">
        <v>211</v>
      </c>
      <c r="B31" s="32"/>
      <c r="C31" s="33"/>
      <c r="D31" s="33"/>
      <c r="E31" s="33"/>
      <c r="F31" s="33"/>
      <c r="G31" s="33"/>
      <c r="H31" s="34"/>
    </row>
    <row r="32" ht="15.75" customHeight="1">
      <c r="A32" s="56" t="s">
        <v>213</v>
      </c>
      <c r="B32" s="33"/>
      <c r="C32" s="33"/>
      <c r="D32" s="33"/>
      <c r="E32" s="33"/>
      <c r="F32" s="33"/>
      <c r="G32" s="33"/>
      <c r="H32" s="34"/>
    </row>
    <row r="33" ht="15.75" customHeight="1">
      <c r="A33" s="75"/>
      <c r="B33" s="58"/>
      <c r="C33" s="58"/>
      <c r="D33" s="58"/>
      <c r="E33" s="58"/>
      <c r="F33" s="58"/>
      <c r="G33" s="58"/>
      <c r="H33" s="59"/>
    </row>
    <row r="34" ht="15.75" customHeight="1">
      <c r="A34" s="71"/>
      <c r="H34" s="72"/>
    </row>
    <row r="35" ht="15.75" customHeight="1">
      <c r="A35" s="60"/>
      <c r="B35" s="61"/>
      <c r="C35" s="61"/>
      <c r="D35" s="61"/>
      <c r="E35" s="61"/>
      <c r="F35" s="61"/>
      <c r="G35" s="61"/>
      <c r="H35" s="62"/>
    </row>
    <row r="36" ht="15.75" customHeight="1">
      <c r="A36" s="56" t="s">
        <v>215</v>
      </c>
      <c r="B36" s="33"/>
      <c r="C36" s="33"/>
      <c r="D36" s="33"/>
      <c r="E36" s="33"/>
      <c r="F36" s="33"/>
      <c r="G36" s="33"/>
      <c r="H36" s="34"/>
    </row>
    <row r="37" ht="15.75" customHeight="1">
      <c r="A37" s="75"/>
      <c r="B37" s="58"/>
      <c r="C37" s="58"/>
      <c r="D37" s="58"/>
      <c r="E37" s="58"/>
      <c r="F37" s="58"/>
      <c r="G37" s="58"/>
      <c r="H37" s="59"/>
    </row>
    <row r="38" ht="15.75" customHeight="1">
      <c r="A38" s="71"/>
      <c r="H38" s="72"/>
    </row>
    <row r="39" ht="15.75" customHeight="1">
      <c r="A39" s="71"/>
      <c r="H39" s="72"/>
    </row>
    <row r="40" ht="15.75" customHeight="1">
      <c r="A40" s="60"/>
      <c r="B40" s="61"/>
      <c r="C40" s="61"/>
      <c r="D40" s="61"/>
      <c r="E40" s="61"/>
      <c r="F40" s="61"/>
      <c r="G40" s="61"/>
      <c r="H40" s="62"/>
    </row>
    <row r="41" ht="15.75" customHeight="1"/>
    <row r="42" ht="15.75" customHeight="1"/>
    <row r="43" ht="15.75" customHeight="1">
      <c r="A43" s="54" t="s">
        <v>236</v>
      </c>
      <c r="E43" s="47" t="s">
        <v>120</v>
      </c>
      <c r="F43" s="79"/>
      <c r="G43" s="47" t="s">
        <v>209</v>
      </c>
      <c r="H43" s="79"/>
    </row>
    <row r="44" ht="15.75" customHeight="1">
      <c r="A44" s="50" t="s">
        <v>218</v>
      </c>
    </row>
    <row r="45" ht="15.75" customHeight="1">
      <c r="A45" s="64" t="s">
        <v>132</v>
      </c>
      <c r="B45" s="32"/>
      <c r="C45" s="33"/>
      <c r="D45" s="33"/>
      <c r="E45" s="33"/>
      <c r="F45" s="33"/>
      <c r="G45" s="33"/>
      <c r="H45" s="34"/>
    </row>
    <row r="46" ht="15.75" customHeight="1">
      <c r="A46" s="64" t="s">
        <v>132</v>
      </c>
      <c r="B46" s="32"/>
      <c r="C46" s="33"/>
      <c r="D46" s="33"/>
      <c r="E46" s="33"/>
      <c r="F46" s="33"/>
      <c r="G46" s="33"/>
      <c r="H46" s="34"/>
    </row>
    <row r="47" ht="15.75" customHeight="1">
      <c r="A47" s="64" t="s">
        <v>132</v>
      </c>
      <c r="B47" s="32"/>
      <c r="C47" s="33"/>
      <c r="D47" s="33"/>
      <c r="E47" s="33"/>
      <c r="F47" s="33"/>
      <c r="G47" s="33"/>
      <c r="H47" s="34"/>
    </row>
    <row r="48" ht="15.75" customHeight="1">
      <c r="A48" s="64" t="s">
        <v>211</v>
      </c>
      <c r="B48" s="32"/>
      <c r="C48" s="33"/>
      <c r="D48" s="33"/>
      <c r="E48" s="33"/>
      <c r="F48" s="33"/>
      <c r="G48" s="33"/>
      <c r="H48" s="34"/>
    </row>
    <row r="49" ht="15.75" customHeight="1">
      <c r="A49" s="56" t="s">
        <v>213</v>
      </c>
      <c r="B49" s="33"/>
      <c r="C49" s="33"/>
      <c r="D49" s="33"/>
      <c r="E49" s="33"/>
      <c r="F49" s="33"/>
      <c r="G49" s="33"/>
      <c r="H49" s="34"/>
    </row>
    <row r="50" ht="15.75" customHeight="1">
      <c r="A50" s="75"/>
      <c r="B50" s="58"/>
      <c r="C50" s="58"/>
      <c r="D50" s="58"/>
      <c r="E50" s="58"/>
      <c r="F50" s="58"/>
      <c r="G50" s="58"/>
      <c r="H50" s="59"/>
    </row>
    <row r="51" ht="15.75" customHeight="1">
      <c r="A51" s="71"/>
      <c r="H51" s="72"/>
    </row>
    <row r="52" ht="15.75" customHeight="1">
      <c r="A52" s="60"/>
      <c r="B52" s="61"/>
      <c r="C52" s="61"/>
      <c r="D52" s="61"/>
      <c r="E52" s="61"/>
      <c r="F52" s="61"/>
      <c r="G52" s="61"/>
      <c r="H52" s="62"/>
    </row>
    <row r="53" ht="15.75" customHeight="1">
      <c r="A53" s="56" t="s">
        <v>215</v>
      </c>
      <c r="B53" s="33"/>
      <c r="C53" s="33"/>
      <c r="D53" s="33"/>
      <c r="E53" s="33"/>
      <c r="F53" s="33"/>
      <c r="G53" s="33"/>
      <c r="H53" s="34"/>
    </row>
    <row r="54" ht="15.75" customHeight="1">
      <c r="A54" s="75"/>
      <c r="B54" s="58"/>
      <c r="C54" s="58"/>
      <c r="D54" s="58"/>
      <c r="E54" s="58"/>
      <c r="F54" s="58"/>
      <c r="G54" s="58"/>
      <c r="H54" s="59"/>
    </row>
    <row r="55" ht="15.75" customHeight="1">
      <c r="A55" s="71"/>
      <c r="H55" s="72"/>
    </row>
    <row r="56" ht="15.75" customHeight="1">
      <c r="A56" s="71"/>
      <c r="H56" s="72"/>
    </row>
    <row r="57" ht="15.75" customHeight="1">
      <c r="A57" s="60"/>
      <c r="B57" s="61"/>
      <c r="C57" s="61"/>
      <c r="D57" s="61"/>
      <c r="E57" s="61"/>
      <c r="F57" s="61"/>
      <c r="G57" s="61"/>
      <c r="H57" s="6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52" t="s">
        <v>237</v>
      </c>
    </row>
    <row r="3" ht="15.75" customHeight="1"/>
    <row r="4" ht="15.75" customHeight="1">
      <c r="B4" s="31" t="s">
        <v>1</v>
      </c>
      <c r="C4" s="32" t="str">
        <f>'Diseño'!C4</f>
        <v>964 - Organización Computacional</v>
      </c>
      <c r="D4" s="33"/>
      <c r="E4" s="33"/>
      <c r="F4" s="33"/>
      <c r="G4" s="34"/>
    </row>
    <row r="5" ht="15.75" customHeight="1">
      <c r="B5" s="53" t="s">
        <v>78</v>
      </c>
      <c r="C5" s="32">
        <f>H9+H26+H43+H60+H77+H94+H111</f>
        <v>10</v>
      </c>
      <c r="D5" s="33"/>
      <c r="E5" s="33"/>
      <c r="F5" s="33"/>
      <c r="G5" s="34"/>
    </row>
    <row r="6" ht="15.75" customHeight="1">
      <c r="B6" s="53" t="s">
        <v>120</v>
      </c>
      <c r="C6" s="32">
        <f>F9+F26+F43+F60+F77+F94+F111</f>
        <v>10</v>
      </c>
      <c r="D6" s="33"/>
      <c r="E6" s="33"/>
      <c r="F6" s="33"/>
      <c r="G6" s="34"/>
    </row>
    <row r="7" ht="15.75" customHeight="1">
      <c r="B7" s="49" t="s">
        <v>238</v>
      </c>
    </row>
    <row r="8" ht="15.75" customHeight="1"/>
    <row r="9" ht="15.75" customHeight="1">
      <c r="A9" s="54" t="s">
        <v>239</v>
      </c>
      <c r="E9" s="47" t="s">
        <v>120</v>
      </c>
      <c r="F9" s="55">
        <v>2.0</v>
      </c>
      <c r="G9" s="47" t="s">
        <v>209</v>
      </c>
      <c r="H9" s="55">
        <v>2.0</v>
      </c>
    </row>
    <row r="10" ht="15.75" customHeight="1">
      <c r="A10" s="49" t="s">
        <v>210</v>
      </c>
    </row>
    <row r="11" ht="15.75" customHeight="1">
      <c r="A11" s="64" t="s">
        <v>132</v>
      </c>
      <c r="B11" s="44" t="s">
        <v>240</v>
      </c>
      <c r="C11" s="33"/>
      <c r="D11" s="33"/>
      <c r="E11" s="33"/>
      <c r="F11" s="33"/>
      <c r="G11" s="33"/>
      <c r="H11" s="34"/>
    </row>
    <row r="12" ht="15.75" customHeight="1">
      <c r="A12" s="64" t="s">
        <v>132</v>
      </c>
      <c r="B12" s="32"/>
      <c r="C12" s="33"/>
      <c r="D12" s="33"/>
      <c r="E12" s="33"/>
      <c r="F12" s="33"/>
      <c r="G12" s="33"/>
      <c r="H12" s="34"/>
    </row>
    <row r="13" ht="15.75" customHeight="1">
      <c r="A13" s="64" t="s">
        <v>132</v>
      </c>
      <c r="B13" s="32"/>
      <c r="C13" s="33"/>
      <c r="D13" s="33"/>
      <c r="E13" s="33"/>
      <c r="F13" s="33"/>
      <c r="G13" s="33"/>
      <c r="H13" s="34"/>
    </row>
    <row r="14" ht="15.75" customHeight="1">
      <c r="A14" s="64" t="s">
        <v>211</v>
      </c>
      <c r="B14" s="44" t="s">
        <v>241</v>
      </c>
      <c r="C14" s="33"/>
      <c r="D14" s="33"/>
      <c r="E14" s="33"/>
      <c r="F14" s="33"/>
      <c r="G14" s="33"/>
      <c r="H14" s="34"/>
    </row>
    <row r="15" ht="15.75" customHeight="1">
      <c r="A15" s="56" t="s">
        <v>213</v>
      </c>
      <c r="B15" s="33"/>
      <c r="C15" s="33"/>
      <c r="D15" s="33"/>
      <c r="E15" s="33"/>
      <c r="F15" s="33"/>
      <c r="G15" s="33"/>
      <c r="H15" s="34"/>
    </row>
    <row r="16" ht="15.75" customHeight="1">
      <c r="A16" s="75"/>
      <c r="B16" s="58"/>
      <c r="C16" s="58"/>
      <c r="D16" s="58"/>
      <c r="E16" s="58"/>
      <c r="F16" s="58"/>
      <c r="G16" s="58"/>
      <c r="H16" s="59"/>
    </row>
    <row r="17" ht="15.75" customHeight="1">
      <c r="A17" s="71"/>
      <c r="H17" s="72"/>
    </row>
    <row r="18" ht="15.75" customHeight="1">
      <c r="A18" s="60"/>
      <c r="B18" s="61"/>
      <c r="C18" s="61"/>
      <c r="D18" s="61"/>
      <c r="E18" s="61"/>
      <c r="F18" s="61"/>
      <c r="G18" s="61"/>
      <c r="H18" s="62"/>
    </row>
    <row r="19" ht="15.75" customHeight="1">
      <c r="A19" s="56" t="s">
        <v>215</v>
      </c>
      <c r="B19" s="33"/>
      <c r="C19" s="33"/>
      <c r="D19" s="33"/>
      <c r="E19" s="33"/>
      <c r="F19" s="33"/>
      <c r="G19" s="33"/>
      <c r="H19" s="34"/>
    </row>
    <row r="20" ht="15.75" customHeight="1">
      <c r="A20" s="75"/>
      <c r="B20" s="58"/>
      <c r="C20" s="58"/>
      <c r="D20" s="58"/>
      <c r="E20" s="58"/>
      <c r="F20" s="58"/>
      <c r="G20" s="58"/>
      <c r="H20" s="59"/>
    </row>
    <row r="21" ht="15.75" customHeight="1">
      <c r="A21" s="71"/>
      <c r="H21" s="72"/>
    </row>
    <row r="22" ht="15.75" customHeight="1">
      <c r="A22" s="71"/>
      <c r="H22" s="72"/>
    </row>
    <row r="23" ht="15.75" customHeight="1">
      <c r="A23" s="60"/>
      <c r="B23" s="61"/>
      <c r="C23" s="61"/>
      <c r="D23" s="61"/>
      <c r="E23" s="61"/>
      <c r="F23" s="61"/>
      <c r="G23" s="61"/>
      <c r="H23" s="62"/>
    </row>
    <row r="24" ht="15.75" customHeight="1"/>
    <row r="25" ht="15.75" customHeight="1"/>
    <row r="26" ht="15.75" customHeight="1">
      <c r="A26" s="54" t="s">
        <v>242</v>
      </c>
      <c r="E26" s="47" t="s">
        <v>120</v>
      </c>
      <c r="F26" s="55">
        <v>2.0</v>
      </c>
      <c r="G26" s="47" t="s">
        <v>209</v>
      </c>
      <c r="H26" s="79"/>
    </row>
    <row r="27" ht="15.75" customHeight="1">
      <c r="A27" s="49" t="s">
        <v>210</v>
      </c>
    </row>
    <row r="28" ht="15.75" customHeight="1">
      <c r="A28" s="64" t="s">
        <v>132</v>
      </c>
      <c r="B28" s="44" t="s">
        <v>12</v>
      </c>
      <c r="C28" s="33"/>
      <c r="D28" s="33"/>
      <c r="E28" s="33"/>
      <c r="F28" s="33"/>
      <c r="G28" s="33"/>
      <c r="H28" s="34"/>
    </row>
    <row r="29" ht="15.75" customHeight="1">
      <c r="A29" s="64" t="s">
        <v>132</v>
      </c>
      <c r="B29" s="32"/>
      <c r="C29" s="33"/>
      <c r="D29" s="33"/>
      <c r="E29" s="33"/>
      <c r="F29" s="33"/>
      <c r="G29" s="33"/>
      <c r="H29" s="34"/>
    </row>
    <row r="30" ht="15.75" customHeight="1">
      <c r="A30" s="64" t="s">
        <v>132</v>
      </c>
      <c r="B30" s="32"/>
      <c r="C30" s="33"/>
      <c r="D30" s="33"/>
      <c r="E30" s="33"/>
      <c r="F30" s="33"/>
      <c r="G30" s="33"/>
      <c r="H30" s="34"/>
    </row>
    <row r="31" ht="15.75" customHeight="1">
      <c r="A31" s="64" t="s">
        <v>211</v>
      </c>
      <c r="B31" s="44" t="s">
        <v>243</v>
      </c>
      <c r="C31" s="33"/>
      <c r="D31" s="33"/>
      <c r="E31" s="33"/>
      <c r="F31" s="33"/>
      <c r="G31" s="33"/>
      <c r="H31" s="34"/>
    </row>
    <row r="32" ht="15.75" customHeight="1">
      <c r="A32" s="56" t="s">
        <v>213</v>
      </c>
      <c r="B32" s="33"/>
      <c r="C32" s="33"/>
      <c r="D32" s="33"/>
      <c r="E32" s="33"/>
      <c r="F32" s="33"/>
      <c r="G32" s="33"/>
      <c r="H32" s="34"/>
    </row>
    <row r="33" ht="15.75" customHeight="1">
      <c r="A33" s="57" t="s">
        <v>244</v>
      </c>
      <c r="B33" s="58"/>
      <c r="C33" s="58"/>
      <c r="D33" s="58"/>
      <c r="E33" s="58"/>
      <c r="F33" s="58"/>
      <c r="G33" s="58"/>
      <c r="H33" s="59"/>
    </row>
    <row r="34" ht="15.75" customHeight="1">
      <c r="A34" s="71"/>
      <c r="H34" s="72"/>
    </row>
    <row r="35" ht="15.75" customHeight="1">
      <c r="A35" s="60"/>
      <c r="B35" s="61"/>
      <c r="C35" s="61"/>
      <c r="D35" s="61"/>
      <c r="E35" s="61"/>
      <c r="F35" s="61"/>
      <c r="G35" s="61"/>
      <c r="H35" s="62"/>
    </row>
    <row r="36" ht="15.75" customHeight="1">
      <c r="A36" s="56" t="s">
        <v>215</v>
      </c>
      <c r="B36" s="33"/>
      <c r="C36" s="33"/>
      <c r="D36" s="33"/>
      <c r="E36" s="33"/>
      <c r="F36" s="33"/>
      <c r="G36" s="33"/>
      <c r="H36" s="34"/>
    </row>
    <row r="37" ht="15.75" customHeight="1">
      <c r="A37" s="57" t="s">
        <v>245</v>
      </c>
      <c r="B37" s="58"/>
      <c r="C37" s="58"/>
      <c r="D37" s="58"/>
      <c r="E37" s="58"/>
      <c r="F37" s="58"/>
      <c r="G37" s="58"/>
      <c r="H37" s="59"/>
    </row>
    <row r="38" ht="15.75" customHeight="1">
      <c r="A38" s="71"/>
      <c r="H38" s="72"/>
    </row>
    <row r="39" ht="15.75" customHeight="1">
      <c r="A39" s="71"/>
      <c r="H39" s="72"/>
    </row>
    <row r="40" ht="15.75" customHeight="1">
      <c r="A40" s="60"/>
      <c r="B40" s="61"/>
      <c r="C40" s="61"/>
      <c r="D40" s="61"/>
      <c r="E40" s="61"/>
      <c r="F40" s="61"/>
      <c r="G40" s="61"/>
      <c r="H40" s="62"/>
    </row>
    <row r="41" ht="15.75" customHeight="1"/>
    <row r="42" ht="15.75" customHeight="1"/>
    <row r="43" ht="15.75" customHeight="1">
      <c r="A43" s="54" t="s">
        <v>246</v>
      </c>
      <c r="E43" s="47" t="s">
        <v>120</v>
      </c>
      <c r="F43" s="55">
        <v>2.0</v>
      </c>
      <c r="G43" s="47" t="s">
        <v>209</v>
      </c>
      <c r="H43" s="55">
        <v>2.0</v>
      </c>
    </row>
    <row r="44" ht="15.75" customHeight="1">
      <c r="A44" s="50" t="s">
        <v>218</v>
      </c>
    </row>
    <row r="45" ht="15.75" customHeight="1">
      <c r="A45" s="64" t="s">
        <v>132</v>
      </c>
      <c r="B45" s="44" t="s">
        <v>50</v>
      </c>
      <c r="C45" s="33"/>
      <c r="D45" s="33"/>
      <c r="E45" s="33"/>
      <c r="F45" s="33"/>
      <c r="G45" s="33"/>
      <c r="H45" s="34"/>
    </row>
    <row r="46" ht="15.75" customHeight="1">
      <c r="A46" s="64" t="s">
        <v>132</v>
      </c>
      <c r="B46" s="32"/>
      <c r="C46" s="33"/>
      <c r="D46" s="33"/>
      <c r="E46" s="33"/>
      <c r="F46" s="33"/>
      <c r="G46" s="33"/>
      <c r="H46" s="34"/>
    </row>
    <row r="47" ht="15.75" customHeight="1">
      <c r="A47" s="64" t="s">
        <v>132</v>
      </c>
      <c r="B47" s="32"/>
      <c r="C47" s="33"/>
      <c r="D47" s="33"/>
      <c r="E47" s="33"/>
      <c r="F47" s="33"/>
      <c r="G47" s="33"/>
      <c r="H47" s="34"/>
    </row>
    <row r="48" ht="15.75" customHeight="1">
      <c r="A48" s="64" t="s">
        <v>211</v>
      </c>
      <c r="B48" s="44" t="s">
        <v>247</v>
      </c>
      <c r="C48" s="33"/>
      <c r="D48" s="33"/>
      <c r="E48" s="33"/>
      <c r="F48" s="33"/>
      <c r="G48" s="33"/>
      <c r="H48" s="34"/>
    </row>
    <row r="49" ht="15.75" customHeight="1">
      <c r="A49" s="56" t="s">
        <v>213</v>
      </c>
      <c r="B49" s="33"/>
      <c r="C49" s="33"/>
      <c r="D49" s="33"/>
      <c r="E49" s="33"/>
      <c r="F49" s="33"/>
      <c r="G49" s="33"/>
      <c r="H49" s="34"/>
    </row>
    <row r="50" ht="15.75" customHeight="1">
      <c r="A50" s="57" t="s">
        <v>248</v>
      </c>
      <c r="B50" s="58"/>
      <c r="C50" s="58"/>
      <c r="D50" s="58"/>
      <c r="E50" s="58"/>
      <c r="F50" s="58"/>
      <c r="G50" s="58"/>
      <c r="H50" s="59"/>
    </row>
    <row r="51" ht="15.75" customHeight="1">
      <c r="A51" s="71"/>
      <c r="H51" s="72"/>
    </row>
    <row r="52" ht="15.75" customHeight="1">
      <c r="A52" s="60"/>
      <c r="B52" s="61"/>
      <c r="C52" s="61"/>
      <c r="D52" s="61"/>
      <c r="E52" s="61"/>
      <c r="F52" s="61"/>
      <c r="G52" s="61"/>
      <c r="H52" s="62"/>
    </row>
    <row r="53" ht="15.75" customHeight="1">
      <c r="A53" s="56" t="s">
        <v>215</v>
      </c>
      <c r="B53" s="33"/>
      <c r="C53" s="33"/>
      <c r="D53" s="33"/>
      <c r="E53" s="33"/>
      <c r="F53" s="33"/>
      <c r="G53" s="33"/>
      <c r="H53" s="34"/>
    </row>
    <row r="54" ht="15.75" customHeight="1">
      <c r="A54" s="80" t="s">
        <v>249</v>
      </c>
      <c r="B54" s="58"/>
      <c r="C54" s="58"/>
      <c r="D54" s="58"/>
      <c r="E54" s="58"/>
      <c r="F54" s="58"/>
      <c r="G54" s="58"/>
      <c r="H54" s="59"/>
    </row>
    <row r="55" ht="15.75" customHeight="1">
      <c r="A55" s="71"/>
      <c r="H55" s="72"/>
    </row>
    <row r="56" ht="15.75" customHeight="1">
      <c r="A56" s="71"/>
      <c r="H56" s="72"/>
    </row>
    <row r="57" ht="15.75" customHeight="1">
      <c r="A57" s="60"/>
      <c r="B57" s="61"/>
      <c r="C57" s="61"/>
      <c r="D57" s="61"/>
      <c r="E57" s="61"/>
      <c r="F57" s="61"/>
      <c r="G57" s="61"/>
      <c r="H57" s="62"/>
    </row>
    <row r="58" ht="15.75" customHeight="1"/>
    <row r="59" ht="15.75" customHeight="1"/>
    <row r="60" ht="15.75" customHeight="1">
      <c r="A60" s="54" t="s">
        <v>250</v>
      </c>
      <c r="E60" s="47" t="s">
        <v>120</v>
      </c>
      <c r="F60" s="55">
        <v>2.0</v>
      </c>
      <c r="G60" s="47" t="s">
        <v>209</v>
      </c>
      <c r="H60" s="55">
        <v>2.0</v>
      </c>
    </row>
    <row r="61" ht="15.75" customHeight="1">
      <c r="A61" s="50" t="s">
        <v>218</v>
      </c>
    </row>
    <row r="62" ht="15.75" customHeight="1">
      <c r="A62" s="64" t="s">
        <v>132</v>
      </c>
      <c r="B62" s="44" t="s">
        <v>50</v>
      </c>
      <c r="C62" s="33"/>
      <c r="D62" s="33"/>
      <c r="E62" s="33"/>
      <c r="F62" s="33"/>
      <c r="G62" s="33"/>
      <c r="H62" s="34"/>
    </row>
    <row r="63" ht="15.75" customHeight="1">
      <c r="A63" s="64" t="s">
        <v>132</v>
      </c>
      <c r="B63" s="32"/>
      <c r="C63" s="33"/>
      <c r="D63" s="33"/>
      <c r="E63" s="33"/>
      <c r="F63" s="33"/>
      <c r="G63" s="33"/>
      <c r="H63" s="34"/>
    </row>
    <row r="64" ht="15.75" customHeight="1">
      <c r="A64" s="64" t="s">
        <v>132</v>
      </c>
      <c r="B64" s="32"/>
      <c r="C64" s="33"/>
      <c r="D64" s="33"/>
      <c r="E64" s="33"/>
      <c r="F64" s="33"/>
      <c r="G64" s="33"/>
      <c r="H64" s="34"/>
    </row>
    <row r="65" ht="15.75" customHeight="1">
      <c r="A65" s="64" t="s">
        <v>211</v>
      </c>
      <c r="B65" s="44" t="s">
        <v>251</v>
      </c>
      <c r="C65" s="33"/>
      <c r="D65" s="33"/>
      <c r="E65" s="33"/>
      <c r="F65" s="33"/>
      <c r="G65" s="33"/>
      <c r="H65" s="34"/>
    </row>
    <row r="66" ht="15.75" customHeight="1">
      <c r="A66" s="56" t="s">
        <v>213</v>
      </c>
      <c r="B66" s="33"/>
      <c r="C66" s="33"/>
      <c r="D66" s="33"/>
      <c r="E66" s="33"/>
      <c r="F66" s="33"/>
      <c r="G66" s="33"/>
      <c r="H66" s="34"/>
    </row>
    <row r="67" ht="15.75" customHeight="1">
      <c r="A67" s="57" t="s">
        <v>248</v>
      </c>
      <c r="B67" s="58"/>
      <c r="C67" s="58"/>
      <c r="D67" s="58"/>
      <c r="E67" s="58"/>
      <c r="F67" s="58"/>
      <c r="G67" s="58"/>
      <c r="H67" s="59"/>
    </row>
    <row r="68" ht="15.75" customHeight="1">
      <c r="A68" s="71"/>
      <c r="H68" s="72"/>
    </row>
    <row r="69" ht="15.75" customHeight="1">
      <c r="A69" s="60"/>
      <c r="B69" s="61"/>
      <c r="C69" s="61"/>
      <c r="D69" s="61"/>
      <c r="E69" s="61"/>
      <c r="F69" s="61"/>
      <c r="G69" s="61"/>
      <c r="H69" s="62"/>
    </row>
    <row r="70" ht="15.75" customHeight="1">
      <c r="A70" s="56" t="s">
        <v>215</v>
      </c>
      <c r="B70" s="33"/>
      <c r="C70" s="33"/>
      <c r="D70" s="33"/>
      <c r="E70" s="33"/>
      <c r="F70" s="33"/>
      <c r="G70" s="33"/>
      <c r="H70" s="34"/>
    </row>
    <row r="71" ht="15.75" customHeight="1">
      <c r="A71" s="80" t="s">
        <v>252</v>
      </c>
      <c r="B71" s="58"/>
      <c r="C71" s="58"/>
      <c r="D71" s="58"/>
      <c r="E71" s="58"/>
      <c r="F71" s="58"/>
      <c r="G71" s="58"/>
      <c r="H71" s="59"/>
    </row>
    <row r="72" ht="15.75" customHeight="1">
      <c r="A72" s="71"/>
      <c r="H72" s="72"/>
    </row>
    <row r="73" ht="15.75" customHeight="1">
      <c r="A73" s="71"/>
      <c r="H73" s="72"/>
    </row>
    <row r="74" ht="15.75" customHeight="1">
      <c r="A74" s="60"/>
      <c r="B74" s="61"/>
      <c r="C74" s="61"/>
      <c r="D74" s="61"/>
      <c r="E74" s="61"/>
      <c r="F74" s="61"/>
      <c r="G74" s="61"/>
      <c r="H74" s="62"/>
    </row>
    <row r="75" ht="15.75" customHeight="1"/>
    <row r="76" ht="15.75" customHeight="1"/>
    <row r="77" ht="15.75" customHeight="1">
      <c r="A77" s="54" t="s">
        <v>253</v>
      </c>
      <c r="E77" s="47" t="s">
        <v>120</v>
      </c>
      <c r="F77" s="55">
        <v>2.0</v>
      </c>
      <c r="G77" s="47" t="s">
        <v>209</v>
      </c>
      <c r="H77" s="55">
        <v>4.0</v>
      </c>
    </row>
    <row r="78" ht="15.75" customHeight="1">
      <c r="A78" s="50" t="s">
        <v>218</v>
      </c>
    </row>
    <row r="79" ht="15.75" customHeight="1">
      <c r="A79" s="64" t="s">
        <v>132</v>
      </c>
      <c r="B79" s="44" t="s">
        <v>12</v>
      </c>
      <c r="C79" s="33"/>
      <c r="D79" s="33"/>
      <c r="E79" s="33"/>
      <c r="F79" s="33"/>
      <c r="G79" s="33"/>
      <c r="H79" s="34"/>
    </row>
    <row r="80" ht="15.75" customHeight="1">
      <c r="A80" s="64" t="s">
        <v>132</v>
      </c>
      <c r="B80" s="44" t="s">
        <v>50</v>
      </c>
      <c r="C80" s="33"/>
      <c r="D80" s="33"/>
      <c r="E80" s="33"/>
      <c r="F80" s="33"/>
      <c r="G80" s="33"/>
      <c r="H80" s="34"/>
    </row>
    <row r="81" ht="15.75" customHeight="1">
      <c r="A81" s="64" t="s">
        <v>132</v>
      </c>
      <c r="B81" s="32"/>
      <c r="C81" s="33"/>
      <c r="D81" s="33"/>
      <c r="E81" s="33"/>
      <c r="F81" s="33"/>
      <c r="G81" s="33"/>
      <c r="H81" s="34"/>
    </row>
    <row r="82" ht="15.75" customHeight="1">
      <c r="A82" s="64" t="s">
        <v>211</v>
      </c>
      <c r="B82" s="44" t="s">
        <v>254</v>
      </c>
      <c r="C82" s="33"/>
      <c r="D82" s="33"/>
      <c r="E82" s="33"/>
      <c r="F82" s="33"/>
      <c r="G82" s="33"/>
      <c r="H82" s="34"/>
    </row>
    <row r="83" ht="15.75" customHeight="1">
      <c r="A83" s="56" t="s">
        <v>213</v>
      </c>
      <c r="B83" s="33"/>
      <c r="C83" s="33"/>
      <c r="D83" s="33"/>
      <c r="E83" s="33"/>
      <c r="F83" s="33"/>
      <c r="G83" s="33"/>
      <c r="H83" s="34"/>
    </row>
    <row r="84" ht="15.75" customHeight="1">
      <c r="A84" s="12" t="s">
        <v>255</v>
      </c>
    </row>
    <row r="85" ht="15.75" customHeight="1"/>
    <row r="86" ht="15.75" customHeight="1"/>
    <row r="87" ht="15.75" customHeight="1">
      <c r="A87" s="56" t="s">
        <v>215</v>
      </c>
      <c r="B87" s="33"/>
      <c r="C87" s="33"/>
      <c r="D87" s="33"/>
      <c r="E87" s="33"/>
      <c r="F87" s="33"/>
      <c r="G87" s="33"/>
      <c r="H87" s="34"/>
    </row>
    <row r="88" ht="15.75" customHeight="1">
      <c r="A88" s="70" t="s">
        <v>256</v>
      </c>
      <c r="B88" s="58"/>
      <c r="C88" s="58"/>
      <c r="D88" s="58"/>
      <c r="E88" s="58"/>
      <c r="F88" s="58"/>
      <c r="G88" s="58"/>
      <c r="H88" s="59"/>
    </row>
    <row r="89" ht="15.75" customHeight="1">
      <c r="A89" s="71"/>
      <c r="H89" s="72"/>
    </row>
    <row r="90" ht="15.75" customHeight="1">
      <c r="A90" s="71"/>
      <c r="H90" s="72"/>
    </row>
    <row r="91" ht="15.75" customHeight="1">
      <c r="A91" s="60"/>
      <c r="B91" s="61"/>
      <c r="C91" s="61"/>
      <c r="D91" s="61"/>
      <c r="E91" s="61"/>
      <c r="F91" s="61"/>
      <c r="G91" s="61"/>
      <c r="H91" s="62"/>
    </row>
    <row r="92" ht="15.75" customHeight="1"/>
    <row r="93" ht="15.75" customHeight="1"/>
    <row r="94" ht="15.75" customHeight="1">
      <c r="A94" s="54" t="s">
        <v>257</v>
      </c>
      <c r="E94" s="47" t="s">
        <v>120</v>
      </c>
      <c r="F94" s="79"/>
      <c r="G94" s="47" t="s">
        <v>209</v>
      </c>
      <c r="H94" s="79"/>
    </row>
    <row r="95" ht="15.75" customHeight="1">
      <c r="A95" s="50" t="s">
        <v>218</v>
      </c>
    </row>
    <row r="96" ht="15.75" customHeight="1">
      <c r="A96" s="64" t="s">
        <v>132</v>
      </c>
      <c r="B96" s="32"/>
      <c r="C96" s="33"/>
      <c r="D96" s="33"/>
      <c r="E96" s="33"/>
      <c r="F96" s="33"/>
      <c r="G96" s="33"/>
      <c r="H96" s="34"/>
    </row>
    <row r="97" ht="15.75" customHeight="1">
      <c r="A97" s="64" t="s">
        <v>132</v>
      </c>
      <c r="B97" s="32"/>
      <c r="C97" s="33"/>
      <c r="D97" s="33"/>
      <c r="E97" s="33"/>
      <c r="F97" s="33"/>
      <c r="G97" s="33"/>
      <c r="H97" s="34"/>
    </row>
    <row r="98" ht="15.75" customHeight="1">
      <c r="A98" s="64" t="s">
        <v>132</v>
      </c>
      <c r="B98" s="32"/>
      <c r="C98" s="33"/>
      <c r="D98" s="33"/>
      <c r="E98" s="33"/>
      <c r="F98" s="33"/>
      <c r="G98" s="33"/>
      <c r="H98" s="34"/>
    </row>
    <row r="99" ht="15.75" customHeight="1">
      <c r="A99" s="64" t="s">
        <v>211</v>
      </c>
      <c r="B99" s="32"/>
      <c r="C99" s="33"/>
      <c r="D99" s="33"/>
      <c r="E99" s="33"/>
      <c r="F99" s="33"/>
      <c r="G99" s="33"/>
      <c r="H99" s="34"/>
    </row>
    <row r="100" ht="15.75" customHeight="1">
      <c r="A100" s="56" t="s">
        <v>213</v>
      </c>
      <c r="B100" s="33"/>
      <c r="C100" s="33"/>
      <c r="D100" s="33"/>
      <c r="E100" s="33"/>
      <c r="F100" s="33"/>
      <c r="G100" s="33"/>
      <c r="H100" s="34"/>
    </row>
    <row r="101" ht="15.75" customHeight="1">
      <c r="A101" s="75"/>
      <c r="B101" s="58"/>
      <c r="C101" s="58"/>
      <c r="D101" s="58"/>
      <c r="E101" s="58"/>
      <c r="F101" s="58"/>
      <c r="G101" s="58"/>
      <c r="H101" s="59"/>
    </row>
    <row r="102" ht="15.75" customHeight="1">
      <c r="A102" s="71"/>
      <c r="H102" s="72"/>
    </row>
    <row r="103" ht="15.75" customHeight="1">
      <c r="A103" s="60"/>
      <c r="B103" s="61"/>
      <c r="C103" s="61"/>
      <c r="D103" s="61"/>
      <c r="E103" s="61"/>
      <c r="F103" s="61"/>
      <c r="G103" s="61"/>
      <c r="H103" s="62"/>
    </row>
    <row r="104" ht="15.75" customHeight="1">
      <c r="A104" s="56" t="s">
        <v>215</v>
      </c>
      <c r="B104" s="33"/>
      <c r="C104" s="33"/>
      <c r="D104" s="33"/>
      <c r="E104" s="33"/>
      <c r="F104" s="33"/>
      <c r="G104" s="33"/>
      <c r="H104" s="34"/>
    </row>
    <row r="105" ht="15.75" customHeight="1">
      <c r="A105" s="75"/>
      <c r="B105" s="58"/>
      <c r="C105" s="58"/>
      <c r="D105" s="58"/>
      <c r="E105" s="58"/>
      <c r="F105" s="58"/>
      <c r="G105" s="58"/>
      <c r="H105" s="59"/>
    </row>
    <row r="106" ht="15.75" customHeight="1">
      <c r="A106" s="71"/>
      <c r="H106" s="72"/>
    </row>
    <row r="107" ht="15.75" customHeight="1">
      <c r="A107" s="71"/>
      <c r="H107" s="72"/>
    </row>
    <row r="108" ht="15.75" customHeight="1">
      <c r="A108" s="60"/>
      <c r="B108" s="61"/>
      <c r="C108" s="61"/>
      <c r="D108" s="61"/>
      <c r="E108" s="61"/>
      <c r="F108" s="61"/>
      <c r="G108" s="61"/>
      <c r="H108" s="62"/>
    </row>
    <row r="109" ht="15.75" customHeight="1"/>
    <row r="110" ht="15.75" customHeight="1"/>
    <row r="111" ht="15.75" customHeight="1">
      <c r="A111" s="54" t="s">
        <v>258</v>
      </c>
      <c r="E111" s="47" t="s">
        <v>120</v>
      </c>
      <c r="F111" s="79"/>
      <c r="G111" s="47" t="s">
        <v>209</v>
      </c>
      <c r="H111" s="79"/>
    </row>
    <row r="112" ht="15.75" customHeight="1">
      <c r="A112" s="50" t="s">
        <v>218</v>
      </c>
    </row>
    <row r="113" ht="15.75" customHeight="1">
      <c r="A113" s="64" t="s">
        <v>132</v>
      </c>
      <c r="B113" s="32"/>
      <c r="C113" s="33"/>
      <c r="D113" s="33"/>
      <c r="E113" s="33"/>
      <c r="F113" s="33"/>
      <c r="G113" s="33"/>
      <c r="H113" s="34"/>
    </row>
    <row r="114" ht="15.75" customHeight="1">
      <c r="A114" s="64" t="s">
        <v>132</v>
      </c>
      <c r="B114" s="32"/>
      <c r="C114" s="33"/>
      <c r="D114" s="33"/>
      <c r="E114" s="33"/>
      <c r="F114" s="33"/>
      <c r="G114" s="33"/>
      <c r="H114" s="34"/>
    </row>
    <row r="115" ht="15.75" customHeight="1">
      <c r="A115" s="64" t="s">
        <v>132</v>
      </c>
      <c r="B115" s="32"/>
      <c r="C115" s="33"/>
      <c r="D115" s="33"/>
      <c r="E115" s="33"/>
      <c r="F115" s="33"/>
      <c r="G115" s="33"/>
      <c r="H115" s="34"/>
    </row>
    <row r="116" ht="15.75" customHeight="1">
      <c r="A116" s="64" t="s">
        <v>211</v>
      </c>
      <c r="B116" s="32"/>
      <c r="C116" s="33"/>
      <c r="D116" s="33"/>
      <c r="E116" s="33"/>
      <c r="F116" s="33"/>
      <c r="G116" s="33"/>
      <c r="H116" s="34"/>
    </row>
    <row r="117" ht="15.75" customHeight="1">
      <c r="A117" s="56" t="s">
        <v>213</v>
      </c>
      <c r="B117" s="33"/>
      <c r="C117" s="33"/>
      <c r="D117" s="33"/>
      <c r="E117" s="33"/>
      <c r="F117" s="33"/>
      <c r="G117" s="33"/>
      <c r="H117" s="34"/>
    </row>
    <row r="118" ht="15.75" customHeight="1">
      <c r="A118" s="75"/>
      <c r="B118" s="58"/>
      <c r="C118" s="58"/>
      <c r="D118" s="58"/>
      <c r="E118" s="58"/>
      <c r="F118" s="58"/>
      <c r="G118" s="58"/>
      <c r="H118" s="59"/>
    </row>
    <row r="119" ht="15.75" customHeight="1">
      <c r="A119" s="71"/>
      <c r="H119" s="72"/>
    </row>
    <row r="120" ht="15.75" customHeight="1">
      <c r="A120" s="60"/>
      <c r="B120" s="61"/>
      <c r="C120" s="61"/>
      <c r="D120" s="61"/>
      <c r="E120" s="61"/>
      <c r="F120" s="61"/>
      <c r="G120" s="61"/>
      <c r="H120" s="62"/>
    </row>
    <row r="121" ht="15.75" customHeight="1">
      <c r="A121" s="56" t="s">
        <v>215</v>
      </c>
      <c r="B121" s="33"/>
      <c r="C121" s="33"/>
      <c r="D121" s="33"/>
      <c r="E121" s="33"/>
      <c r="F121" s="33"/>
      <c r="G121" s="33"/>
      <c r="H121" s="34"/>
    </row>
    <row r="122" ht="15.75" customHeight="1">
      <c r="A122" s="75"/>
      <c r="B122" s="58"/>
      <c r="C122" s="58"/>
      <c r="D122" s="58"/>
      <c r="E122" s="58"/>
      <c r="F122" s="58"/>
      <c r="G122" s="58"/>
      <c r="H122" s="59"/>
    </row>
    <row r="123" ht="15.75" customHeight="1">
      <c r="A123" s="71"/>
      <c r="H123" s="72"/>
    </row>
    <row r="124" ht="15.75" customHeight="1">
      <c r="A124" s="71"/>
      <c r="H124" s="72"/>
    </row>
    <row r="125" ht="15.75" customHeight="1">
      <c r="A125" s="60"/>
      <c r="B125" s="61"/>
      <c r="C125" s="61"/>
      <c r="D125" s="61"/>
      <c r="E125" s="61"/>
      <c r="F125" s="61"/>
      <c r="G125" s="61"/>
      <c r="H125" s="6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20"/>
    </row>
    <row r="2" ht="15.75" customHeight="1">
      <c r="A2" s="20"/>
      <c r="B2" s="52" t="s">
        <v>259</v>
      </c>
    </row>
    <row r="3" ht="15.75" customHeight="1">
      <c r="A3" s="20"/>
    </row>
    <row r="4" ht="15.75" customHeight="1">
      <c r="A4" s="20"/>
      <c r="B4" s="4" t="s">
        <v>1</v>
      </c>
      <c r="C4" s="4" t="str">
        <f>'Diseño'!C4</f>
        <v>964 - Organización Computacional</v>
      </c>
    </row>
    <row r="5" ht="15.75" customHeight="1">
      <c r="A5" s="20"/>
      <c r="B5" s="20" t="s">
        <v>3</v>
      </c>
      <c r="C5" s="6" t="s">
        <v>4</v>
      </c>
    </row>
    <row r="6" ht="27.75" customHeight="1">
      <c r="A6" s="20"/>
      <c r="B6" s="20" t="s">
        <v>260</v>
      </c>
      <c r="H6" s="84"/>
    </row>
    <row r="7" ht="15.75" customHeight="1">
      <c r="A7" s="20"/>
    </row>
    <row r="8" ht="15.75" customHeight="1">
      <c r="A8" s="20"/>
    </row>
    <row r="9" ht="15.75" customHeight="1">
      <c r="A9" s="47" t="s">
        <v>261</v>
      </c>
      <c r="B9" s="85">
        <v>8.0</v>
      </c>
      <c r="D9" s="47" t="s">
        <v>230</v>
      </c>
      <c r="E9" s="85">
        <v>1.0</v>
      </c>
      <c r="F9" s="86"/>
      <c r="G9" s="86"/>
      <c r="H9" s="86"/>
      <c r="I9" s="86"/>
      <c r="J9" s="86"/>
      <c r="K9" s="86"/>
      <c r="L9" s="86"/>
      <c r="M9" s="86"/>
      <c r="N9" s="86"/>
      <c r="O9" s="86"/>
      <c r="P9" s="86"/>
      <c r="Q9" s="86"/>
      <c r="R9" s="86"/>
      <c r="S9" s="86"/>
      <c r="T9" s="86"/>
      <c r="U9" s="86"/>
      <c r="V9" s="86"/>
      <c r="W9" s="86"/>
      <c r="X9" s="86"/>
      <c r="Y9" s="86"/>
      <c r="Z9" s="86"/>
    </row>
    <row r="10" ht="47.25" customHeight="1">
      <c r="A10" s="87" t="s">
        <v>262</v>
      </c>
      <c r="D10" s="87" t="s">
        <v>263</v>
      </c>
    </row>
    <row r="11" ht="15.75" customHeight="1">
      <c r="A11" s="88"/>
      <c r="B11" s="89"/>
      <c r="C11" s="89"/>
      <c r="D11" s="89"/>
    </row>
    <row r="12" ht="15.75" customHeight="1">
      <c r="A12" s="90" t="s">
        <v>152</v>
      </c>
      <c r="B12" s="91" t="s">
        <v>264</v>
      </c>
      <c r="C12" s="91" t="s">
        <v>265</v>
      </c>
      <c r="D12" s="91" t="s">
        <v>266</v>
      </c>
    </row>
    <row r="13" ht="27.0" customHeight="1">
      <c r="A13" s="53" t="s">
        <v>267</v>
      </c>
      <c r="B13" s="92">
        <v>25.0</v>
      </c>
      <c r="C13" s="92">
        <v>0.0</v>
      </c>
      <c r="D13" s="35"/>
      <c r="E13" s="87" t="s">
        <v>268</v>
      </c>
    </row>
    <row r="14" ht="15.75" customHeight="1">
      <c r="A14" s="53" t="s">
        <v>230</v>
      </c>
      <c r="B14" s="35">
        <f>Proyectos!C6</f>
        <v>30</v>
      </c>
      <c r="C14" s="35">
        <f>Proyectos!C5</f>
        <v>40</v>
      </c>
      <c r="D14" s="35"/>
    </row>
    <row r="15" ht="15.75" customHeight="1">
      <c r="A15" s="53" t="s">
        <v>206</v>
      </c>
      <c r="B15" s="35">
        <f>Practicas!C6</f>
        <v>35</v>
      </c>
      <c r="C15" s="35">
        <f>Practicas!C5</f>
        <v>77</v>
      </c>
      <c r="D15" s="35"/>
    </row>
    <row r="16" ht="15.75" customHeight="1">
      <c r="A16" s="53" t="s">
        <v>237</v>
      </c>
      <c r="B16" s="35">
        <f>Tareas!C6</f>
        <v>10</v>
      </c>
      <c r="C16" s="35">
        <f>Tareas!C5</f>
        <v>10</v>
      </c>
      <c r="D16" s="35"/>
    </row>
    <row r="17" ht="15.75" customHeight="1">
      <c r="A17" s="93" t="s">
        <v>269</v>
      </c>
      <c r="B17" s="94">
        <f t="shared" ref="B17:C17" si="1">SUM(B13:B16)</f>
        <v>100</v>
      </c>
      <c r="C17" s="94">
        <f t="shared" si="1"/>
        <v>127</v>
      </c>
      <c r="D17" s="94"/>
    </row>
    <row r="18" ht="15.75" customHeight="1">
      <c r="A18" s="20"/>
    </row>
    <row r="19" ht="15.75" customHeight="1">
      <c r="A19" s="20"/>
    </row>
    <row r="20" ht="15.75" customHeight="1">
      <c r="A20" s="20"/>
    </row>
    <row r="21" ht="15.75" customHeight="1">
      <c r="A21" s="20"/>
    </row>
    <row r="22" ht="15.75" customHeight="1">
      <c r="A22" s="20"/>
    </row>
    <row r="23" ht="15.75" customHeight="1">
      <c r="A23" s="20"/>
    </row>
    <row r="24" ht="15.75" customHeight="1">
      <c r="A24" s="20"/>
    </row>
    <row r="25" ht="15.75" customHeight="1">
      <c r="A25" s="20"/>
    </row>
    <row r="26" ht="15.75" customHeight="1">
      <c r="A26" s="20"/>
    </row>
    <row r="27" ht="15.75" customHeight="1">
      <c r="A27" s="20"/>
    </row>
    <row r="28" ht="15.75" customHeight="1">
      <c r="A28" s="20"/>
    </row>
    <row r="29" ht="15.75" customHeight="1">
      <c r="A29" s="20"/>
    </row>
    <row r="30" ht="15.75" customHeight="1">
      <c r="A30" s="20"/>
    </row>
    <row r="31" ht="15.75" customHeight="1">
      <c r="A31" s="20"/>
    </row>
    <row r="32" ht="15.75" customHeight="1">
      <c r="A32" s="20"/>
    </row>
    <row r="33" ht="15.75" customHeight="1">
      <c r="A33" s="20"/>
    </row>
    <row r="34" ht="15.75" customHeight="1">
      <c r="A34" s="20"/>
    </row>
    <row r="35" ht="15.75" customHeight="1">
      <c r="A35" s="20"/>
    </row>
    <row r="36" ht="15.75" customHeight="1">
      <c r="A36" s="20"/>
    </row>
    <row r="37" ht="15.75" customHeight="1">
      <c r="A37" s="20"/>
    </row>
    <row r="38" ht="15.75" customHeight="1">
      <c r="A38" s="20"/>
    </row>
    <row r="39" ht="15.75" customHeight="1">
      <c r="A39" s="20"/>
    </row>
    <row r="40" ht="15.75" customHeight="1">
      <c r="A40" s="20"/>
    </row>
    <row r="41" ht="15.75" customHeight="1">
      <c r="A41" s="20"/>
    </row>
    <row r="42" ht="15.75" customHeight="1">
      <c r="A42" s="20"/>
    </row>
    <row r="43" ht="15.75" customHeight="1">
      <c r="A43" s="20"/>
    </row>
    <row r="44" ht="15.75" customHeight="1">
      <c r="A44" s="20"/>
    </row>
    <row r="45" ht="15.75" customHeight="1">
      <c r="A45" s="20"/>
    </row>
    <row r="46" ht="15.75" customHeight="1">
      <c r="A46" s="20"/>
    </row>
    <row r="47" ht="15.75" customHeight="1">
      <c r="A47" s="20"/>
    </row>
    <row r="48" ht="15.75" customHeight="1">
      <c r="A48" s="20"/>
    </row>
    <row r="49" ht="15.75" customHeight="1">
      <c r="A49" s="20"/>
    </row>
    <row r="50" ht="15.75" customHeight="1">
      <c r="A50" s="20"/>
    </row>
    <row r="51" ht="15.75" customHeight="1">
      <c r="A51" s="20"/>
    </row>
    <row r="52" ht="15.75" customHeight="1">
      <c r="A52" s="20"/>
    </row>
    <row r="53" ht="15.75" customHeight="1">
      <c r="A53" s="20"/>
    </row>
    <row r="54" ht="15.75" customHeight="1">
      <c r="A54" s="20"/>
    </row>
    <row r="55" ht="15.75" customHeight="1">
      <c r="A55" s="20"/>
    </row>
    <row r="56" ht="15.75" customHeight="1">
      <c r="A56" s="20"/>
    </row>
    <row r="57" ht="15.75" customHeight="1">
      <c r="A57" s="20"/>
    </row>
    <row r="58" ht="15.75" customHeight="1">
      <c r="A58" s="20"/>
    </row>
    <row r="59" ht="15.75" customHeight="1">
      <c r="A59" s="20"/>
    </row>
    <row r="60" ht="15.75" customHeight="1">
      <c r="A60" s="20"/>
    </row>
    <row r="61" ht="15.75" customHeight="1">
      <c r="A61" s="20"/>
    </row>
    <row r="62" ht="15.75" customHeight="1">
      <c r="A62" s="20"/>
    </row>
    <row r="63" ht="15.75" customHeight="1">
      <c r="A63" s="20"/>
    </row>
    <row r="64" ht="15.75" customHeight="1">
      <c r="A64" s="20"/>
    </row>
    <row r="65" ht="15.75" customHeight="1">
      <c r="A65" s="20"/>
    </row>
    <row r="66" ht="15.75" customHeight="1">
      <c r="A66" s="20"/>
    </row>
    <row r="67" ht="15.75" customHeight="1">
      <c r="A67" s="20"/>
    </row>
    <row r="68" ht="15.75" customHeight="1">
      <c r="A68" s="20"/>
    </row>
    <row r="69" ht="15.75" customHeight="1">
      <c r="A69" s="20"/>
    </row>
    <row r="70" ht="15.75" customHeight="1">
      <c r="A70" s="20"/>
    </row>
    <row r="71" ht="15.75" customHeight="1">
      <c r="A71" s="20"/>
    </row>
    <row r="72" ht="15.75" customHeight="1">
      <c r="A72" s="20"/>
    </row>
    <row r="73" ht="15.75" customHeight="1">
      <c r="A73" s="20"/>
    </row>
    <row r="74" ht="15.75" customHeight="1">
      <c r="A74" s="20"/>
    </row>
    <row r="75" ht="15.75" customHeight="1">
      <c r="A75" s="20"/>
    </row>
    <row r="76" ht="15.75" customHeight="1">
      <c r="A76" s="20"/>
    </row>
    <row r="77" ht="15.75" customHeight="1">
      <c r="A77" s="20"/>
    </row>
    <row r="78" ht="15.75" customHeight="1">
      <c r="A78" s="20"/>
    </row>
    <row r="79" ht="15.75" customHeight="1">
      <c r="A79" s="20"/>
    </row>
    <row r="80" ht="15.75" customHeight="1">
      <c r="A80" s="20"/>
    </row>
    <row r="81" ht="15.75" customHeight="1">
      <c r="A81" s="20"/>
    </row>
    <row r="82" ht="15.75" customHeight="1">
      <c r="A82" s="20"/>
    </row>
    <row r="83" ht="15.75" customHeight="1">
      <c r="A83" s="20"/>
    </row>
    <row r="84" ht="15.75" customHeight="1">
      <c r="A84" s="20"/>
    </row>
    <row r="85" ht="15.75" customHeight="1">
      <c r="A85" s="20"/>
    </row>
    <row r="86" ht="15.75" customHeight="1">
      <c r="A86" s="20"/>
    </row>
    <row r="87" ht="15.75" customHeight="1">
      <c r="A87" s="20"/>
    </row>
    <row r="88" ht="15.75" customHeight="1">
      <c r="A88" s="20"/>
    </row>
    <row r="89" ht="15.75" customHeight="1">
      <c r="A89" s="20"/>
    </row>
    <row r="90" ht="15.75" customHeight="1">
      <c r="A90" s="20"/>
    </row>
    <row r="91" ht="15.75" customHeight="1">
      <c r="A91" s="20"/>
    </row>
    <row r="92" ht="15.75" customHeight="1">
      <c r="A92" s="20"/>
    </row>
    <row r="93" ht="15.75" customHeight="1">
      <c r="A93" s="20"/>
    </row>
    <row r="94" ht="15.75" customHeight="1">
      <c r="A94" s="20"/>
    </row>
    <row r="95" ht="15.75" customHeight="1">
      <c r="A95" s="20"/>
    </row>
    <row r="96" ht="15.75" customHeight="1">
      <c r="A96" s="20"/>
    </row>
    <row r="97" ht="15.75" customHeight="1">
      <c r="A97" s="20"/>
    </row>
    <row r="98" ht="15.75" customHeight="1">
      <c r="A98" s="20"/>
    </row>
    <row r="99" ht="15.75" customHeight="1">
      <c r="A99" s="20"/>
    </row>
    <row r="100" ht="15.75" customHeight="1">
      <c r="A100" s="20"/>
    </row>
    <row r="101" ht="15.75" customHeight="1">
      <c r="A101" s="20"/>
    </row>
    <row r="102" ht="15.75" customHeight="1">
      <c r="A102" s="20"/>
    </row>
    <row r="103" ht="15.75" customHeight="1">
      <c r="A103" s="20"/>
    </row>
    <row r="104" ht="15.75" customHeight="1">
      <c r="A104" s="20"/>
    </row>
    <row r="105" ht="15.75" customHeight="1">
      <c r="A105" s="20"/>
    </row>
    <row r="106" ht="15.75" customHeight="1">
      <c r="A106" s="20"/>
    </row>
    <row r="107" ht="15.75" customHeight="1">
      <c r="A107" s="20"/>
    </row>
    <row r="108" ht="15.75" customHeight="1">
      <c r="A108" s="20"/>
    </row>
    <row r="109" ht="15.75" customHeight="1">
      <c r="A109" s="20"/>
    </row>
    <row r="110" ht="15.75" customHeight="1">
      <c r="A110" s="20"/>
    </row>
    <row r="111" ht="15.75" customHeight="1">
      <c r="A111" s="20"/>
    </row>
    <row r="112" ht="15.75" customHeight="1">
      <c r="A112" s="20"/>
    </row>
    <row r="113" ht="15.75" customHeight="1">
      <c r="A113" s="20"/>
    </row>
    <row r="114" ht="15.75" customHeight="1">
      <c r="A114" s="20"/>
    </row>
    <row r="115" ht="15.75" customHeight="1">
      <c r="A115" s="20"/>
    </row>
    <row r="116" ht="15.75" customHeight="1">
      <c r="A116" s="20"/>
    </row>
    <row r="117" ht="15.75" customHeight="1">
      <c r="A117" s="20"/>
    </row>
    <row r="118" ht="15.75" customHeight="1">
      <c r="A118" s="20"/>
    </row>
    <row r="119" ht="15.75" customHeight="1">
      <c r="A119" s="20"/>
    </row>
    <row r="120" ht="15.75" customHeight="1">
      <c r="A120" s="20"/>
    </row>
    <row r="121" ht="15.75" customHeight="1">
      <c r="A121" s="20"/>
    </row>
    <row r="122" ht="15.75" customHeight="1">
      <c r="A122" s="20"/>
    </row>
    <row r="123" ht="15.75" customHeight="1">
      <c r="A123" s="20"/>
    </row>
    <row r="124" ht="15.75" customHeight="1">
      <c r="A124" s="20"/>
    </row>
    <row r="125" ht="15.75" customHeight="1">
      <c r="A125" s="20"/>
    </row>
    <row r="126" ht="15.75" customHeight="1">
      <c r="A126" s="20"/>
    </row>
    <row r="127" ht="15.75" customHeight="1">
      <c r="A127" s="20"/>
    </row>
    <row r="128" ht="15.75" customHeight="1">
      <c r="A128" s="20"/>
    </row>
    <row r="129" ht="15.75" customHeight="1">
      <c r="A129" s="20"/>
    </row>
    <row r="130" ht="15.75" customHeight="1">
      <c r="A130" s="20"/>
    </row>
    <row r="131" ht="15.75" customHeight="1">
      <c r="A131" s="20"/>
    </row>
    <row r="132" ht="15.75" customHeight="1">
      <c r="A132" s="20"/>
    </row>
    <row r="133" ht="15.75" customHeight="1">
      <c r="A133" s="20"/>
    </row>
    <row r="134" ht="15.75" customHeight="1">
      <c r="A134" s="20"/>
    </row>
    <row r="135" ht="15.75" customHeight="1">
      <c r="A135" s="20"/>
    </row>
    <row r="136" ht="15.75" customHeight="1">
      <c r="A136" s="20"/>
    </row>
    <row r="137" ht="15.75" customHeight="1">
      <c r="A137" s="20"/>
    </row>
    <row r="138" ht="15.75" customHeight="1">
      <c r="A138" s="20"/>
    </row>
    <row r="139" ht="15.75" customHeight="1">
      <c r="A139" s="20"/>
    </row>
    <row r="140" ht="15.75" customHeight="1">
      <c r="A140" s="20"/>
    </row>
    <row r="141" ht="15.75" customHeight="1">
      <c r="A141" s="20"/>
    </row>
    <row r="142" ht="15.75" customHeight="1">
      <c r="A142" s="20"/>
    </row>
    <row r="143" ht="15.75" customHeight="1">
      <c r="A143" s="20"/>
    </row>
    <row r="144" ht="15.75" customHeight="1">
      <c r="A144" s="20"/>
    </row>
    <row r="145" ht="15.75" customHeight="1">
      <c r="A145" s="20"/>
    </row>
    <row r="146" ht="15.75" customHeight="1">
      <c r="A146" s="20"/>
    </row>
    <row r="147" ht="15.75" customHeight="1">
      <c r="A147" s="20"/>
    </row>
    <row r="148" ht="15.75" customHeight="1">
      <c r="A148" s="20"/>
    </row>
    <row r="149" ht="15.75" customHeight="1">
      <c r="A149" s="20"/>
    </row>
    <row r="150" ht="15.75" customHeight="1">
      <c r="A150" s="20"/>
    </row>
    <row r="151" ht="15.75" customHeight="1">
      <c r="A151" s="20"/>
    </row>
    <row r="152" ht="15.75" customHeight="1">
      <c r="A152" s="20"/>
    </row>
    <row r="153" ht="15.75" customHeight="1">
      <c r="A153" s="20"/>
    </row>
    <row r="154" ht="15.75" customHeight="1">
      <c r="A154" s="20"/>
    </row>
    <row r="155" ht="15.75" customHeight="1">
      <c r="A155" s="20"/>
    </row>
    <row r="156" ht="15.75" customHeight="1">
      <c r="A156" s="20"/>
    </row>
    <row r="157" ht="15.75" customHeight="1">
      <c r="A157" s="20"/>
    </row>
    <row r="158" ht="15.75" customHeight="1">
      <c r="A158" s="20"/>
    </row>
    <row r="159" ht="15.75" customHeight="1">
      <c r="A159" s="20"/>
    </row>
    <row r="160" ht="15.75" customHeight="1">
      <c r="A160" s="20"/>
    </row>
    <row r="161" ht="15.75" customHeight="1">
      <c r="A161" s="20"/>
    </row>
    <row r="162" ht="15.75" customHeight="1">
      <c r="A162" s="20"/>
    </row>
    <row r="163" ht="15.75" customHeight="1">
      <c r="A163" s="20"/>
    </row>
    <row r="164" ht="15.75" customHeight="1">
      <c r="A164" s="20"/>
    </row>
    <row r="165" ht="15.75" customHeight="1">
      <c r="A165" s="20"/>
    </row>
    <row r="166" ht="15.75" customHeight="1">
      <c r="A166" s="20"/>
    </row>
    <row r="167" ht="15.75" customHeight="1">
      <c r="A167" s="20"/>
    </row>
    <row r="168" ht="15.75" customHeight="1">
      <c r="A168" s="20"/>
    </row>
    <row r="169" ht="15.75" customHeight="1">
      <c r="A169" s="20"/>
    </row>
    <row r="170" ht="15.75" customHeight="1">
      <c r="A170" s="20"/>
    </row>
    <row r="171" ht="15.75" customHeight="1">
      <c r="A171" s="20"/>
    </row>
    <row r="172" ht="15.75" customHeight="1">
      <c r="A172" s="20"/>
    </row>
    <row r="173" ht="15.75" customHeight="1">
      <c r="A173" s="20"/>
    </row>
    <row r="174" ht="15.75" customHeight="1">
      <c r="A174" s="20"/>
    </row>
    <row r="175" ht="15.75" customHeight="1">
      <c r="A175" s="20"/>
    </row>
    <row r="176" ht="15.75" customHeight="1">
      <c r="A176" s="20"/>
    </row>
    <row r="177" ht="15.75" customHeight="1">
      <c r="A177" s="20"/>
    </row>
    <row r="178" ht="15.75" customHeight="1">
      <c r="A178" s="20"/>
    </row>
    <row r="179" ht="15.75" customHeight="1">
      <c r="A179" s="20"/>
    </row>
    <row r="180" ht="15.75" customHeight="1">
      <c r="A180" s="20"/>
    </row>
    <row r="181" ht="15.75" customHeight="1">
      <c r="A181" s="20"/>
    </row>
    <row r="182" ht="15.75" customHeight="1">
      <c r="A182" s="20"/>
    </row>
    <row r="183" ht="15.75" customHeight="1">
      <c r="A183" s="20"/>
    </row>
    <row r="184" ht="15.75" customHeight="1">
      <c r="A184" s="20"/>
    </row>
    <row r="185" ht="15.75" customHeight="1">
      <c r="A185" s="20"/>
    </row>
    <row r="186" ht="15.75" customHeight="1">
      <c r="A186" s="20"/>
    </row>
    <row r="187" ht="15.75" customHeight="1">
      <c r="A187" s="20"/>
    </row>
    <row r="188" ht="15.75" customHeight="1">
      <c r="A188" s="20"/>
    </row>
    <row r="189" ht="15.75" customHeight="1">
      <c r="A189" s="20"/>
    </row>
    <row r="190" ht="15.75" customHeight="1">
      <c r="A190" s="20"/>
    </row>
    <row r="191" ht="15.75" customHeight="1">
      <c r="A191" s="20"/>
    </row>
    <row r="192" ht="15.75" customHeight="1">
      <c r="A192" s="20"/>
    </row>
    <row r="193" ht="15.75" customHeight="1">
      <c r="A193" s="20"/>
    </row>
    <row r="194" ht="15.75" customHeight="1">
      <c r="A194" s="20"/>
    </row>
    <row r="195" ht="15.75" customHeight="1">
      <c r="A195" s="20"/>
    </row>
    <row r="196" ht="15.75" customHeight="1">
      <c r="A196" s="20"/>
    </row>
    <row r="197" ht="15.75" customHeight="1">
      <c r="A197" s="20"/>
    </row>
    <row r="198" ht="15.75" customHeight="1">
      <c r="A198" s="20"/>
    </row>
    <row r="199" ht="15.75" customHeight="1">
      <c r="A199" s="20"/>
    </row>
    <row r="200" ht="15.75" customHeight="1">
      <c r="A200" s="20"/>
    </row>
    <row r="201" ht="15.75" customHeight="1">
      <c r="A201" s="20"/>
    </row>
    <row r="202" ht="15.75" customHeight="1">
      <c r="A202" s="20"/>
    </row>
    <row r="203" ht="15.75" customHeight="1">
      <c r="A203" s="20"/>
    </row>
    <row r="204" ht="15.75" customHeight="1">
      <c r="A204" s="20"/>
    </row>
    <row r="205" ht="15.75" customHeight="1">
      <c r="A205" s="20"/>
    </row>
    <row r="206" ht="15.75" customHeight="1">
      <c r="A206" s="20"/>
    </row>
    <row r="207" ht="15.75" customHeight="1">
      <c r="A207" s="20"/>
    </row>
    <row r="208" ht="15.75" customHeight="1">
      <c r="A208" s="20"/>
    </row>
    <row r="209" ht="15.75" customHeight="1">
      <c r="A209" s="20"/>
    </row>
    <row r="210" ht="15.75" customHeight="1">
      <c r="A210" s="20"/>
    </row>
    <row r="211" ht="15.75" customHeight="1">
      <c r="A211" s="20"/>
    </row>
    <row r="212" ht="15.75" customHeight="1">
      <c r="A212" s="20"/>
    </row>
    <row r="213" ht="15.75" customHeight="1">
      <c r="A213" s="20"/>
    </row>
    <row r="214" ht="15.75" customHeight="1">
      <c r="A214" s="20"/>
    </row>
    <row r="215" ht="15.75" customHeight="1">
      <c r="A215" s="20"/>
    </row>
    <row r="216" ht="15.75" customHeight="1">
      <c r="A216" s="20"/>
    </row>
    <row r="217" ht="15.75" customHeight="1">
      <c r="A217" s="20"/>
    </row>
    <row r="218" ht="15.75" customHeight="1">
      <c r="A218" s="20"/>
    </row>
    <row r="219" ht="15.75" customHeight="1">
      <c r="A219" s="20"/>
    </row>
    <row r="220" ht="15.75" customHeight="1">
      <c r="A220" s="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6" t="str">
        <f>IFERROR(__xludf.DUMMYFUNCTION("IMPORTRANGE(""1j2lHEvOoZ_EPY086Qt7f7AFaZGVfiYKJxXlsnNfWCA0"",""Listado Cursos!H:L"")"),"Codigo-Nombre")</f>
        <v>Codigo-Nombre</v>
      </c>
      <c r="B1" s="6" t="str">
        <f>IFERROR(__xludf.DUMMYFUNCTION("""COMPUTED_VALUE"""),"Diseño Curricular V01")</f>
        <v>Diseño Curricular V01</v>
      </c>
      <c r="C1" s="6" t="str">
        <f>IFERROR(__xludf.DUMMYFUNCTION("""COMPUTED_VALUE"""),"Analisis de Contexto V01")</f>
        <v>Analisis de Contexto V01</v>
      </c>
      <c r="D1" s="6" t="str">
        <f>IFERROR(__xludf.DUMMYFUNCTION("""COMPUTED_VALUE"""),"2_Analisis_Internacional_y_Local")</f>
        <v>2_Analisis_Internacional_y_Local</v>
      </c>
      <c r="E1" s="6" t="str">
        <f>IFERROR(__xludf.DUMMYFUNCTION("""COMPUTED_VALUE"""),"3_Diseño_Curricular")</f>
        <v>3_Diseño_Curricular</v>
      </c>
      <c r="H1" s="6">
        <f>IFERROR(__xludf.DUMMYFUNCTION("IMPORTRANGE(VLOOKUP('Diseño'!C4,A:E,4,FALSE), ""Competencias_1re_Sem_2026!B10:J23"")"),1.0)</f>
        <v>1</v>
      </c>
      <c r="I1" s="6" t="str">
        <f>IFERROR(__xludf.DUMMYFUNCTION("""COMPUTED_VALUE"""),"General")</f>
        <v>General</v>
      </c>
      <c r="J1" s="6" t="str">
        <f>IFERROR(__xludf.DUMMYFUNCTION("""COMPUTED_VALUE"""),"Integra")</f>
        <v>Integra</v>
      </c>
      <c r="K1" s="6" t="str">
        <f>IFERROR(__xludf.DUMMYFUNCTION("""COMPUTED_VALUE"""),"circuitos digitales y sistemas embebidos")</f>
        <v>circuitos digitales y sistemas embebidos</v>
      </c>
      <c r="L1" s="6"/>
      <c r="M1" s="6" t="str">
        <f>IFERROR(__xludf.DUMMYFUNCTION("""COMPUTED_VALUE"""),"mediante el uso de bases numéricas, transistores, compuertas lógicas, bloques combinacionales y secuenciales, registros, memoria RAM, Arduino, actuadores, controladores y sensores")</f>
        <v>mediante el uso de bases numéricas, transistores, compuertas lógicas, bloques combinacionales y secuenciales, registros, memoria RAM, Arduino, actuadores, controladores y sensores</v>
      </c>
      <c r="N1" s="6" t="str">
        <f>IFERROR(__xludf.DUMMYFUNCTION("""COMPUTED_VALUE"""),"para la resolución de problemas prácticos de automatización y control en contextos académicos y tecnológicos")</f>
        <v>para la resolución de problemas prácticos de automatización y control en contextos académicos y tecnológicos</v>
      </c>
      <c r="O1" s="6"/>
      <c r="P1" s="6" t="str">
        <f>IFERROR(__xludf.DUMMYFUNCTION("""COMPUTED_VALUE"""),"Aplicar")</f>
        <v>Aplicar</v>
      </c>
    </row>
    <row r="2" ht="15.75" customHeight="1">
      <c r="A2" s="6" t="str">
        <f>IFERROR(__xludf.DUMMYFUNCTION("""COMPUTED_VALUE"""),"17 - Área Social Humanística 1")</f>
        <v>17 - Área Social Humanística 1</v>
      </c>
      <c r="B2" s="6"/>
      <c r="C2" s="6"/>
      <c r="D2" s="6"/>
      <c r="E2" s="6"/>
      <c r="H2" s="6"/>
      <c r="I2" s="6" t="str">
        <f>IFERROR(__xludf.DUMMYFUNCTION("""COMPUTED_VALUE"""),"Integra circuitos digitales y sistemas embebidos mediante el uso de bases numéricas, transistores, compuertas lógicas, bloques combinacionales y secuenciales, registros, memoria RAM, Arduino, actuadores, controladores y sensores para la resolución de prob"&amp;"lemas prácticos de automatización y control en contextos académicos y tecnológicos ")</f>
        <v>Integra circuitos digitales y sistemas embebidos mediante el uso de bases numéricas, transistores, compuertas lógicas, bloques combinacionales y secuenciales, registros, memoria RAM, Arduino, actuadores, controladores y sensores para la resolución de problemas prácticos de automatización y control en contextos académicos y tecnológicos </v>
      </c>
      <c r="J2" s="6"/>
      <c r="K2" s="6"/>
      <c r="L2" s="6"/>
      <c r="M2" s="6"/>
      <c r="N2" s="6"/>
      <c r="O2" s="6"/>
      <c r="P2" s="6"/>
    </row>
    <row r="3" ht="15.75" customHeight="1">
      <c r="A3" s="6" t="str">
        <f>IFERROR(__xludf.DUMMYFUNCTION("""COMPUTED_VALUE"""),"101 - Área Matemática Básica 1")</f>
        <v>101 - Área Matemática Básica 1</v>
      </c>
      <c r="B3" s="6"/>
      <c r="C3" s="6"/>
      <c r="D3" s="6"/>
      <c r="E3" s="6"/>
      <c r="H3" s="6">
        <f>IFERROR(__xludf.DUMMYFUNCTION("""COMPUTED_VALUE"""),2.0)</f>
        <v>2</v>
      </c>
      <c r="I3" s="6" t="str">
        <f>IFERROR(__xludf.DUMMYFUNCTION("""COMPUTED_VALUE"""),"Especifica")</f>
        <v>Especifica</v>
      </c>
      <c r="J3" s="6" t="str">
        <f>IFERROR(__xludf.DUMMYFUNCTION("""COMPUTED_VALUE"""),"Implementa")</f>
        <v>Implementa</v>
      </c>
      <c r="K3" s="6" t="str">
        <f>IFERROR(__xludf.DUMMYFUNCTION("""COMPUTED_VALUE"""),"soluciones de almacenamiento y conteo digital utilizando registros y contadores")</f>
        <v>soluciones de almacenamiento y conteo digital utilizando registros y contadores</v>
      </c>
      <c r="L3" s="6"/>
      <c r="M3" s="6" t="str">
        <f>IFERROR(__xludf.DUMMYFUNCTION("""COMPUTED_VALUE"""),"apoyándose en simuladores de circuitos digitales como Proteus")</f>
        <v>apoyándose en simuladores de circuitos digitales como Proteus</v>
      </c>
      <c r="N3" s="6" t="str">
        <f>IFERROR(__xludf.DUMMYFUNCTION("""COMPUTED_VALUE"""),"para optimizar el manejo de datos y eventos secuenciales en sistemas electrónicos")</f>
        <v>para optimizar el manejo de datos y eventos secuenciales en sistemas electrónicos</v>
      </c>
      <c r="O3" s="6"/>
      <c r="P3" s="6" t="str">
        <f>IFERROR(__xludf.DUMMYFUNCTION("""COMPUTED_VALUE"""),"Aplicar")</f>
        <v>Aplicar</v>
      </c>
    </row>
    <row r="4" ht="15.75" customHeight="1">
      <c r="A4" s="6" t="str">
        <f>IFERROR(__xludf.DUMMYFUNCTION("""COMPUTED_VALUE"""),"5 - Técnicas de Estudio e Investigación")</f>
        <v>5 - Técnicas de Estudio e Investigación</v>
      </c>
      <c r="B4" s="6"/>
      <c r="C4" s="6"/>
      <c r="D4" s="6"/>
      <c r="E4" s="6"/>
      <c r="H4" s="6"/>
      <c r="I4" s="6" t="str">
        <f>IFERROR(__xludf.DUMMYFUNCTION("""COMPUTED_VALUE"""),"Implementa soluciones de almacenamiento y conteo digital utilizando registros y contadores apoyándose en simuladores de circuitos digitales como Proteus para optimizar el manejo de datos y eventos secuenciales en sistemas electrónicos ")</f>
        <v>Implementa soluciones de almacenamiento y conteo digital utilizando registros y contadores apoyándose en simuladores de circuitos digitales como Proteus para optimizar el manejo de datos y eventos secuenciales en sistemas electrónicos </v>
      </c>
      <c r="J4" s="6"/>
      <c r="K4" s="6"/>
      <c r="L4" s="6"/>
      <c r="M4" s="6"/>
      <c r="N4" s="6"/>
      <c r="O4" s="6"/>
      <c r="P4" s="6"/>
    </row>
    <row r="5" ht="15.75" customHeight="1">
      <c r="A5" s="6" t="str">
        <f>IFERROR(__xludf.DUMMYFUNCTION("""COMPUTED_VALUE"""),"39 - Deportes 1")</f>
        <v>39 - Deportes 1</v>
      </c>
      <c r="B5" s="6"/>
      <c r="C5" s="6"/>
      <c r="D5" s="6"/>
      <c r="E5" s="6"/>
      <c r="H5" s="6">
        <f>IFERROR(__xludf.DUMMYFUNCTION("""COMPUTED_VALUE"""),3.0)</f>
        <v>3</v>
      </c>
      <c r="I5" s="6" t="str">
        <f>IFERROR(__xludf.DUMMYFUNCTION("""COMPUTED_VALUE"""),"Especifica")</f>
        <v>Especifica</v>
      </c>
      <c r="J5" s="6" t="str">
        <f>IFERROR(__xludf.DUMMYFUNCTION("""COMPUTED_VALUE"""),"Diseña")</f>
        <v>Diseña</v>
      </c>
      <c r="K5" s="6" t="str">
        <f>IFERROR(__xludf.DUMMYFUNCTION("""COMPUTED_VALUE"""),"Circuitos digitales combinacionales para operaciones aritméticas y lógicas")</f>
        <v>Circuitos digitales combinacionales para operaciones aritméticas y lógicas</v>
      </c>
      <c r="L5" s="6"/>
      <c r="M5" s="6" t="str">
        <f>IFERROR(__xludf.DUMMYFUNCTION("""COMPUTED_VALUE"""),"mediante el uso de Proteus, Logisim y Arduino IDE")</f>
        <v>mediante el uso de Proteus, Logisim y Arduino IDE</v>
      </c>
      <c r="N5" s="6" t="str">
        <f>IFERROR(__xludf.DUMMYFUNCTION("""COMPUTED_VALUE"""),"para construir una Unidad Aritmética Lógica (ALU) funcional que ejecute suma, resta, multiplicación y potencias")</f>
        <v>para construir una Unidad Aritmética Lógica (ALU) funcional que ejecute suma, resta, multiplicación y potencias</v>
      </c>
      <c r="O5" s="6"/>
      <c r="P5" s="6" t="str">
        <f>IFERROR(__xludf.DUMMYFUNCTION("""COMPUTED_VALUE"""),"Crear")</f>
        <v>Crear</v>
      </c>
    </row>
    <row r="6" ht="15.75" customHeight="1">
      <c r="A6" s="6" t="str">
        <f>IFERROR(__xludf.DUMMYFUNCTION("""COMPUTED_VALUE"""),"6 - Idioma Tecnico 1")</f>
        <v>6 - Idioma Tecnico 1</v>
      </c>
      <c r="B6" s="6"/>
      <c r="C6" s="6"/>
      <c r="D6" s="6"/>
      <c r="E6" s="6"/>
      <c r="H6" s="6"/>
      <c r="I6" s="6" t="str">
        <f>IFERROR(__xludf.DUMMYFUNCTION("""COMPUTED_VALUE"""),"Diseña Circuitos digitales combinacionales para operaciones aritméticas y lógicas mediante el uso de Proteus, Logisim y Arduino IDE para construir una Unidad Aritmética Lógica (ALU) funcional que ejecute suma, resta, multiplicación y potencias ")</f>
        <v>Diseña Circuitos digitales combinacionales para operaciones aritméticas y lógicas mediante el uso de Proteus, Logisim y Arduino IDE para construir una Unidad Aritmética Lógica (ALU) funcional que ejecute suma, resta, multiplicación y potencias </v>
      </c>
      <c r="J6" s="6"/>
      <c r="K6" s="6"/>
      <c r="L6" s="6"/>
      <c r="M6" s="6"/>
      <c r="N6" s="6"/>
      <c r="O6" s="6"/>
      <c r="P6" s="6"/>
    </row>
    <row r="7" ht="15.75" customHeight="1">
      <c r="A7" s="6" t="str">
        <f>IFERROR(__xludf.DUMMYFUNCTION("""COMPUTED_VALUE"""),"19 - Área Social Humanística 2")</f>
        <v>19 - Área Social Humanística 2</v>
      </c>
      <c r="B7" s="6"/>
      <c r="C7" s="6"/>
      <c r="D7" s="6"/>
      <c r="E7" s="6"/>
      <c r="H7" s="6">
        <f>IFERROR(__xludf.DUMMYFUNCTION("""COMPUTED_VALUE"""),4.0)</f>
        <v>4</v>
      </c>
      <c r="I7" s="6" t="str">
        <f>IFERROR(__xludf.DUMMYFUNCTION("""COMPUTED_VALUE"""),"Especifica")</f>
        <v>Especifica</v>
      </c>
      <c r="J7" s="6" t="str">
        <f>IFERROR(__xludf.DUMMYFUNCTION("""COMPUTED_VALUE"""),"Implementa")</f>
        <v>Implementa</v>
      </c>
      <c r="K7" s="6" t="str">
        <f>IFERROR(__xludf.DUMMYFUNCTION("""COMPUTED_VALUE"""),"Circuitos digitales secuenciales utilizando flip-flops SR, D, JK y T	")</f>
        <v>Circuitos digitales secuenciales utilizando flip-flops SR, D, JK y T	</v>
      </c>
      <c r="L7" s="6"/>
      <c r="M7" s="6" t="str">
        <f>IFERROR(__xludf.DUMMYFUNCTION("""COMPUTED_VALUE"""),"mediante simulación en Proteus y montaje en protoboard aplicando técnicas de diseño lógico")</f>
        <v>mediante simulación en Proteus y montaje en protoboard aplicando técnicas de diseño lógico</v>
      </c>
      <c r="N7" s="6" t="str">
        <f>IFERROR(__xludf.DUMMYFUNCTION("""COMPUTED_VALUE"""),"para crear y comprobar aplicaciones de almacenamiento, conteo y control de estados en sistemas electrónicos digitales")</f>
        <v>para crear y comprobar aplicaciones de almacenamiento, conteo y control de estados en sistemas electrónicos digitales</v>
      </c>
      <c r="O7" s="6"/>
      <c r="P7" s="6" t="str">
        <f>IFERROR(__xludf.DUMMYFUNCTION("""COMPUTED_VALUE"""),"Aplicar")</f>
        <v>Aplicar</v>
      </c>
    </row>
    <row r="8" ht="15.75" customHeight="1">
      <c r="A8" s="6" t="str">
        <f>IFERROR(__xludf.DUMMYFUNCTION("""COMPUTED_VALUE"""),"103 - Área Matemática Básica 2")</f>
        <v>103 - Área Matemática Básica 2</v>
      </c>
      <c r="B8" s="6"/>
      <c r="C8" s="6"/>
      <c r="D8" s="6"/>
      <c r="E8" s="6"/>
      <c r="H8" s="6"/>
      <c r="I8" s="6" t="str">
        <f>IFERROR(__xludf.DUMMYFUNCTION("""COMPUTED_VALUE"""),"Implementa Circuitos digitales secuenciales utilizando flip-flops SR, D, JK y T	 mediante simulación en Proteus y montaje en protoboard aplicando técnicas de diseño lógico para crear y comprobar aplicaciones de almacenamiento, conteo y control de estados "&amp;"en sistemas electrónicos digitales ")</f>
        <v>Implementa Circuitos digitales secuenciales utilizando flip-flops SR, D, JK y T	 mediante simulación en Proteus y montaje en protoboard aplicando técnicas de diseño lógico para crear y comprobar aplicaciones de almacenamiento, conteo y control de estados en sistemas electrónicos digitales </v>
      </c>
      <c r="J8" s="6"/>
      <c r="K8" s="6"/>
      <c r="L8" s="6"/>
      <c r="M8" s="6"/>
      <c r="N8" s="6"/>
      <c r="O8" s="6"/>
      <c r="P8" s="6"/>
    </row>
    <row r="9" ht="15.75" customHeight="1">
      <c r="A9" s="6" t="str">
        <f>IFERROR(__xludf.DUMMYFUNCTION("""COMPUTED_VALUE"""),"960 - Matemática Para Computación 1")</f>
        <v>960 - Matemática Para Computación 1</v>
      </c>
      <c r="B9" s="6"/>
      <c r="C9" s="6"/>
      <c r="D9" s="6"/>
      <c r="E9" s="6"/>
      <c r="H9" s="6">
        <f>IFERROR(__xludf.DUMMYFUNCTION("""COMPUTED_VALUE"""),5.0)</f>
        <v>5</v>
      </c>
      <c r="I9" s="6" t="str">
        <f>IFERROR(__xludf.DUMMYFUNCTION("""COMPUTED_VALUE"""),"Especifica")</f>
        <v>Especifica</v>
      </c>
      <c r="J9" s="6" t="str">
        <f>IFERROR(__xludf.DUMMYFUNCTION("""COMPUTED_VALUE"""),"Define")</f>
        <v>Define</v>
      </c>
      <c r="K9" s="6" t="str">
        <f>IFERROR(__xludf.DUMMYFUNCTION("""COMPUTED_VALUE"""),"los sistemas numéricos posicionales (binario, octal y decimal) y los componentes básicos de la electrónica digital (puertas lógicas, transistores, LEDs)")</f>
        <v>los sistemas numéricos posicionales (binario, octal y decimal) y los componentes básicos de la electrónica digital (puertas lógicas, transistores, LEDs)</v>
      </c>
      <c r="L9" s="6"/>
      <c r="M9" s="6" t="str">
        <f>IFERROR(__xludf.DUMMYFUNCTION("""COMPUTED_VALUE"""),"ofreciendo explicaciones sobre su función y relación en la representación de la información")</f>
        <v>ofreciendo explicaciones sobre su función y relación en la representación de la información</v>
      </c>
      <c r="N9" s="6" t="str">
        <f>IFERROR(__xludf.DUMMYFUNCTION("""COMPUTED_VALUE"""),"en dispositivos digitales con precisión")</f>
        <v>en dispositivos digitales con precisión</v>
      </c>
      <c r="O9" s="6"/>
      <c r="P9" s="6" t="str">
        <f>IFERROR(__xludf.DUMMYFUNCTION("""COMPUTED_VALUE"""),"Comprender")</f>
        <v>Comprender</v>
      </c>
    </row>
    <row r="10" ht="15.75" customHeight="1">
      <c r="A10" s="6" t="str">
        <f>IFERROR(__xludf.DUMMYFUNCTION("""COMPUTED_VALUE"""),"147 - Física Básica")</f>
        <v>147 - Física Básica</v>
      </c>
      <c r="B10" s="6"/>
      <c r="C10" s="6"/>
      <c r="D10" s="6"/>
      <c r="E10" s="6"/>
      <c r="H10" s="6"/>
      <c r="I10" s="6" t="str">
        <f>IFERROR(__xludf.DUMMYFUNCTION("""COMPUTED_VALUE"""),"Define los sistemas numéricos posicionales (binario, octal y decimal) y los componentes básicos de la electrónica digital (puertas lógicas, transistores, LEDs) ofreciendo explicaciones sobre su función y relación en la representación de la información en "&amp;"dispositivos digitales con precisión ")</f>
        <v>Define los sistemas numéricos posicionales (binario, octal y decimal) y los componentes básicos de la electrónica digital (puertas lógicas, transistores, LEDs) ofreciendo explicaciones sobre su función y relación en la representación de la información en dispositivos digitales con precisión </v>
      </c>
      <c r="J10" s="6"/>
      <c r="K10" s="6"/>
      <c r="L10" s="6"/>
      <c r="M10" s="6"/>
      <c r="N10" s="6"/>
      <c r="O10" s="6"/>
      <c r="P10" s="6"/>
    </row>
    <row r="11" ht="15.75" customHeight="1">
      <c r="A11" s="6" t="str">
        <f>IFERROR(__xludf.DUMMYFUNCTION("""COMPUTED_VALUE"""),"40 - Deportes 2")</f>
        <v>40 - Deportes 2</v>
      </c>
      <c r="B11" s="6"/>
      <c r="C11" s="6"/>
      <c r="D11" s="6"/>
      <c r="E11" s="6"/>
      <c r="H11" s="6">
        <f>IFERROR(__xludf.DUMMYFUNCTION("""COMPUTED_VALUE"""),6.0)</f>
        <v>6</v>
      </c>
      <c r="I11" s="6" t="str">
        <f>IFERROR(__xludf.DUMMYFUNCTION("""COMPUTED_VALUE"""),"Especifica")</f>
        <v>Especifica</v>
      </c>
      <c r="J11" s="6" t="str">
        <f>IFERROR(__xludf.DUMMYFUNCTION("""COMPUTED_VALUE"""),"Diseña")</f>
        <v>Diseña</v>
      </c>
      <c r="K11" s="6" t="str">
        <f>IFERROR(__xludf.DUMMYFUNCTION("""COMPUTED_VALUE"""),"sistemas de control interactivos con microcontroladores y sensores")</f>
        <v>sistemas de control interactivos con microcontroladores y sensores</v>
      </c>
      <c r="L11" s="6"/>
      <c r="M11" s="6" t="str">
        <f>IFERROR(__xludf.DUMMYFUNCTION("""COMPUTED_VALUE"""),"mediante el uso de Arduino IDE y librerías de comunicación (Serial, I2C, SPI)")</f>
        <v>mediante el uso de Arduino IDE y librerías de comunicación (Serial, I2C, SPI)</v>
      </c>
      <c r="N11" s="6" t="str">
        <f>IFERROR(__xludf.DUMMYFUNCTION("""COMPUTED_VALUE"""),"para automatizar procesos de monitoreo y control en tiempo real en dispositivos electrónicos")</f>
        <v>para automatizar procesos de monitoreo y control en tiempo real en dispositivos electrónicos</v>
      </c>
      <c r="O11" s="6"/>
      <c r="P11" s="6" t="str">
        <f>IFERROR(__xludf.DUMMYFUNCTION("""COMPUTED_VALUE"""),"Crear")</f>
        <v>Crear</v>
      </c>
    </row>
    <row r="12" ht="15.75" customHeight="1">
      <c r="A12" s="6" t="str">
        <f>IFERROR(__xludf.DUMMYFUNCTION("""COMPUTED_VALUE"""),"8 - Idioma Técnico 2")</f>
        <v>8 - Idioma Técnico 2</v>
      </c>
      <c r="B12" s="6"/>
      <c r="C12" s="6"/>
      <c r="D12" s="6"/>
      <c r="E12" s="6"/>
      <c r="H12" s="6"/>
      <c r="I12" s="6" t="str">
        <f>IFERROR(__xludf.DUMMYFUNCTION("""COMPUTED_VALUE"""),"Diseña sistemas de control interactivos con microcontroladores y sensores mediante el uso de Arduino IDE y librerías de comunicación (Serial, I2C, SPI) para automatizar procesos de monitoreo y control en tiempo real en dispositivos electrónicos ")</f>
        <v>Diseña sistemas de control interactivos con microcontroladores y sensores mediante el uso de Arduino IDE y librerías de comunicación (Serial, I2C, SPI) para automatizar procesos de monitoreo y control en tiempo real en dispositivos electrónicos </v>
      </c>
      <c r="J12" s="6"/>
      <c r="K12" s="6"/>
      <c r="L12" s="6"/>
      <c r="M12" s="6"/>
      <c r="N12" s="6"/>
      <c r="O12" s="6"/>
      <c r="P12" s="6"/>
    </row>
    <row r="13" ht="15.75" customHeight="1">
      <c r="A13" s="6" t="str">
        <f>IFERROR(__xludf.DUMMYFUNCTION("""COMPUTED_VALUE"""),"795 - Logica de Sitemas")</f>
        <v>795 - Logica de Sitemas</v>
      </c>
      <c r="B13" s="6" t="str">
        <f>IFERROR(__xludf.DUMMYFUNCTION("""COMPUTED_VALUE"""),"1tGblVNcAY7QU_u00ZUgf5GJjDZOK39vXt9FvZeMfPKg")</f>
        <v>1tGblVNcAY7QU_u00ZUgf5GJjDZOK39vXt9FvZeMfPKg</v>
      </c>
      <c r="C13" s="6" t="str">
        <f>IFERROR(__xludf.DUMMYFUNCTION("""COMPUTED_VALUE"""),"1olpUmnSmvTLYIIWFmjmPX_CYPTPOprpPEwh7xMvm2WM")</f>
        <v>1olpUmnSmvTLYIIWFmjmPX_CYPTPOprpPEwh7xMvm2WM</v>
      </c>
      <c r="D13" s="6" t="str">
        <f>IFERROR(__xludf.DUMMYFUNCTION("""COMPUTED_VALUE"""),"17agcDtIQgmVILM9RXVaUBYkv_J7pJleLEkxEkIyMJJM")</f>
        <v>17agcDtIQgmVILM9RXVaUBYkv_J7pJleLEkxEkIyMJJM</v>
      </c>
      <c r="E13" s="6" t="str">
        <f>IFERROR(__xludf.DUMMYFUNCTION("""COMPUTED_VALUE"""),"1w95w-5-FomsEx4h6E_6QIaFvwjWn3GpS")</f>
        <v>1w95w-5-FomsEx4h6E_6QIaFvwjWn3GpS</v>
      </c>
      <c r="H13" s="6">
        <f>IFERROR(__xludf.DUMMYFUNCTION("""COMPUTED_VALUE"""),7.0)</f>
        <v>7</v>
      </c>
      <c r="I13" s="6" t="str">
        <f>IFERROR(__xludf.DUMMYFUNCTION("""COMPUTED_VALUE"""),"Especifica")</f>
        <v>Especifica</v>
      </c>
      <c r="J13" s="6" t="str">
        <f>IFERROR(__xludf.DUMMYFUNCTION("""COMPUTED_VALUE"""),"Define")</f>
        <v>Define</v>
      </c>
      <c r="K13" s="6" t="str">
        <f>IFERROR(__xludf.DUMMYFUNCTION("""COMPUTED_VALUE"""),"soluciones digitales básicas")</f>
        <v>soluciones digitales básicas</v>
      </c>
      <c r="L13" s="6"/>
      <c r="M13" s="6" t="str">
        <f>IFERROR(__xludf.DUMMYFUNCTION("""COMPUTED_VALUE"""),"utilizando compuertas lógicas, circuitos combinacionales y plataformas como Arduino")</f>
        <v>utilizando compuertas lógicas, circuitos combinacionales y plataformas como Arduino</v>
      </c>
      <c r="N13" s="6" t="str">
        <f>IFERROR(__xludf.DUMMYFUNCTION("""COMPUTED_VALUE"""),"para controlar y automatizar tareas elementales en sistemas computacionales")</f>
        <v>para controlar y automatizar tareas elementales en sistemas computacionales</v>
      </c>
      <c r="O13" s="6"/>
      <c r="P13" s="6" t="str">
        <f>IFERROR(__xludf.DUMMYFUNCTION("""COMPUTED_VALUE"""),"Crear")</f>
        <v>Crear</v>
      </c>
    </row>
    <row r="14" ht="15.75" customHeight="1">
      <c r="A14" s="6" t="str">
        <f>IFERROR(__xludf.DUMMYFUNCTION("""COMPUTED_VALUE"""),"962 - Matemática Para Computación 2")</f>
        <v>962 - Matemática Para Computación 2</v>
      </c>
      <c r="B14" s="6"/>
      <c r="C14" s="6"/>
      <c r="D14" s="6"/>
      <c r="E14" s="6"/>
      <c r="H14" s="6"/>
      <c r="I14" s="6" t="str">
        <f>IFERROR(__xludf.DUMMYFUNCTION("""COMPUTED_VALUE"""),"Define soluciones digitales básicas utilizando compuertas lógicas, circuitos combinacionales y plataformas como Arduino para controlar y automatizar tareas elementales en sistemas computacionales ")</f>
        <v>Define soluciones digitales básicas utilizando compuertas lógicas, circuitos combinacionales y plataformas como Arduino para controlar y automatizar tareas elementales en sistemas computacionales </v>
      </c>
      <c r="J14" s="6"/>
      <c r="K14" s="6"/>
      <c r="L14" s="6"/>
      <c r="M14" s="6"/>
      <c r="N14" s="6"/>
      <c r="O14" s="6"/>
      <c r="P14" s="6"/>
    </row>
    <row r="15" ht="15.75" customHeight="1">
      <c r="A15" s="6" t="str">
        <f>IFERROR(__xludf.DUMMYFUNCTION("""COMPUTED_VALUE"""),"770 - Introducción a ala programación y computación 1")</f>
        <v>770 - Introducción a ala programación y computación 1</v>
      </c>
      <c r="B15" s="6" t="str">
        <f>IFERROR(__xludf.DUMMYFUNCTION("""COMPUTED_VALUE"""),"1hnCz3e7R539DMJA_6KBromYXyQWjR5cbX4eUFYyZB78")</f>
        <v>1hnCz3e7R539DMJA_6KBromYXyQWjR5cbX4eUFYyZB78</v>
      </c>
      <c r="C15" s="6" t="str">
        <f>IFERROR(__xludf.DUMMYFUNCTION("""COMPUTED_VALUE"""),"13K0AQ2QyRJmkDL_B9YKTYVy3OKQyLCIBTe0sAqstrFI")</f>
        <v>13K0AQ2QyRJmkDL_B9YKTYVy3OKQyLCIBTe0sAqstrFI</v>
      </c>
      <c r="D15" s="6" t="str">
        <f>IFERROR(__xludf.DUMMYFUNCTION("""COMPUTED_VALUE"""),"1kT0U-6N_PfLXHZnMI7r4DBtAi8DedDHU4nlc6LJYNo0")</f>
        <v>1kT0U-6N_PfLXHZnMI7r4DBtAi8DedDHU4nlc6LJYNo0</v>
      </c>
      <c r="E15" s="6" t="str">
        <f>IFERROR(__xludf.DUMMYFUNCTION("""COMPUTED_VALUE"""),"1ckY3kIc3clzV4xpXc56uv8KpfX4YxL-8")</f>
        <v>1ckY3kIc3clzV4xpXc56uv8KpfX4YxL-8</v>
      </c>
    </row>
    <row r="16" ht="15.75" customHeight="1">
      <c r="A16" s="6" t="str">
        <f>IFERROR(__xludf.DUMMYFUNCTION("""COMPUTED_VALUE"""),"107 - Área Matemática Intermedia 1")</f>
        <v>107 - Área Matemática Intermedia 1</v>
      </c>
      <c r="B16" s="6"/>
      <c r="C16" s="6"/>
      <c r="D16" s="6"/>
      <c r="E16" s="6"/>
    </row>
    <row r="17" ht="15.75" customHeight="1">
      <c r="A17" s="6" t="str">
        <f>IFERROR(__xludf.DUMMYFUNCTION("""COMPUTED_VALUE"""),"150 - Fisica 1")</f>
        <v>150 - Fisica 1</v>
      </c>
      <c r="B17" s="6"/>
      <c r="C17" s="6"/>
      <c r="D17" s="6"/>
      <c r="E17" s="6"/>
      <c r="I17" s="6" t="str">
        <f>I2</f>
        <v>Integra circuitos digitales y sistemas embebidos mediante el uso de bases numéricas, transistores, compuertas lógicas, bloques combinacionales y secuenciales, registros, memoria RAM, Arduino, actuadores, controladores y sensores para la resolución de problemas prácticos de automatización y control en contextos académicos y tecnológicos </v>
      </c>
    </row>
    <row r="18" ht="15.75" customHeight="1">
      <c r="A18" s="6" t="str">
        <f>IFERROR(__xludf.DUMMYFUNCTION("""COMPUTED_VALUE"""),"1 - Ética Profesional")</f>
        <v>1 - Ética Profesional</v>
      </c>
      <c r="B18" s="6"/>
      <c r="C18" s="6"/>
      <c r="D18" s="6"/>
      <c r="E18" s="6"/>
      <c r="I18" s="6" t="str">
        <f>I4</f>
        <v>Implementa soluciones de almacenamiento y conteo digital utilizando registros y contadores apoyándose en simuladores de circuitos digitales como Proteus para optimizar el manejo de datos y eventos secuenciales en sistemas electrónicos </v>
      </c>
    </row>
    <row r="19" ht="15.75" customHeight="1">
      <c r="A19" s="6" t="str">
        <f>IFERROR(__xludf.DUMMYFUNCTION("""COMPUTED_VALUE"""),"9 - Idioma Técnico 3")</f>
        <v>9 - Idioma Técnico 3</v>
      </c>
      <c r="B19" s="6"/>
      <c r="C19" s="6"/>
      <c r="D19" s="6"/>
      <c r="E19" s="6"/>
      <c r="I19" s="6" t="str">
        <f>I6</f>
        <v>Diseña Circuitos digitales combinacionales para operaciones aritméticas y lógicas mediante el uso de Proteus, Logisim y Arduino IDE para construir una Unidad Aritmética Lógica (ALU) funcional que ejecute suma, resta, multiplicación y potencias </v>
      </c>
    </row>
    <row r="20" ht="15.75" customHeight="1">
      <c r="A20" s="6" t="str">
        <f>IFERROR(__xludf.DUMMYFUNCTION("""COMPUTED_VALUE"""),"796 - Lenguajes Formales y de Programación")</f>
        <v>796 - Lenguajes Formales y de Programación</v>
      </c>
      <c r="B20" s="6" t="str">
        <f>IFERROR(__xludf.DUMMYFUNCTION("""COMPUTED_VALUE"""),"1-dPQ2ZCWWgBi4gyaV8KmnDWxF063I-zfJutKPMwJjrw")</f>
        <v>1-dPQ2ZCWWgBi4gyaV8KmnDWxF063I-zfJutKPMwJjrw</v>
      </c>
      <c r="C20" s="6" t="str">
        <f>IFERROR(__xludf.DUMMYFUNCTION("""COMPUTED_VALUE"""),"14p5IrzE6q20i9mtWRrbgJgIQTyfVIS4RiO1JbrFY3Ng")</f>
        <v>14p5IrzE6q20i9mtWRrbgJgIQTyfVIS4RiO1JbrFY3Ng</v>
      </c>
      <c r="D20" s="6" t="str">
        <f>IFERROR(__xludf.DUMMYFUNCTION("""COMPUTED_VALUE"""),"1AGg7thSM78QT3j-XZKX-5O8_jS800m3f69bnsKDL7lw")</f>
        <v>1AGg7thSM78QT3j-XZKX-5O8_jS800m3f69bnsKDL7lw</v>
      </c>
      <c r="E20" s="6" t="str">
        <f>IFERROR(__xludf.DUMMYFUNCTION("""COMPUTED_VALUE"""),"1OmnbU2f0aXljqhgz4fTmiAjtEt-JJYai")</f>
        <v>1OmnbU2f0aXljqhgz4fTmiAjtEt-JJYai</v>
      </c>
      <c r="I20" s="6" t="str">
        <f>I8</f>
        <v>Implementa Circuitos digitales secuenciales utilizando flip-flops SR, D, JK y T	 mediante simulación en Proteus y montaje en protoboard aplicando técnicas de diseño lógico para crear y comprobar aplicaciones de almacenamiento, conteo y control de estados en sistemas electrónicos digitales </v>
      </c>
    </row>
    <row r="21" ht="15.75" customHeight="1">
      <c r="A21" s="6" t="str">
        <f>IFERROR(__xludf.DUMMYFUNCTION("""COMPUTED_VALUE"""),"771 - Introducción a la Programación y Computación 2")</f>
        <v>771 - Introducción a la Programación y Computación 2</v>
      </c>
      <c r="B21" s="6" t="str">
        <f>IFERROR(__xludf.DUMMYFUNCTION("""COMPUTED_VALUE"""),"1__RmanO4MiKBpppCFzGzdDC2fWb5cD2m02xjOur_6nk")</f>
        <v>1__RmanO4MiKBpppCFzGzdDC2fWb5cD2m02xjOur_6nk</v>
      </c>
      <c r="C21" s="6" t="str">
        <f>IFERROR(__xludf.DUMMYFUNCTION("""COMPUTED_VALUE"""),"1hwyEeHtTnYmAXwVixwCmwcQ_1S6x1ID8qghxNj_2les")</f>
        <v>1hwyEeHtTnYmAXwVixwCmwcQ_1S6x1ID8qghxNj_2les</v>
      </c>
      <c r="D21" s="6" t="str">
        <f>IFERROR(__xludf.DUMMYFUNCTION("""COMPUTED_VALUE"""),"1u-w0HNCWqujufP7pN3mFHcpWgitZrec1rkML6inpQK4")</f>
        <v>1u-w0HNCWqujufP7pN3mFHcpWgitZrec1rkML6inpQK4</v>
      </c>
      <c r="E21" s="6" t="str">
        <f>IFERROR(__xludf.DUMMYFUNCTION("""COMPUTED_VALUE"""),"1cHaBQxjzhcYUkXb4b-PtA5PT2axoYWIL")</f>
        <v>1cHaBQxjzhcYUkXb4b-PtA5PT2axoYWIL</v>
      </c>
      <c r="I21" s="6" t="str">
        <f>I10</f>
        <v>Define los sistemas numéricos posicionales (binario, octal y decimal) y los componentes básicos de la electrónica digital (puertas lógicas, transistores, LEDs) ofreciendo explicaciones sobre su función y relación en la representación de la información en dispositivos digitales con precisión </v>
      </c>
    </row>
    <row r="22" ht="15.75" customHeight="1">
      <c r="A22" s="6" t="str">
        <f>IFERROR(__xludf.DUMMYFUNCTION("""COMPUTED_VALUE"""),"112 - Área Matemática Intermedia 2")</f>
        <v>112 - Área Matemática Intermedia 2</v>
      </c>
      <c r="B22" s="6"/>
      <c r="C22" s="6"/>
      <c r="D22" s="6"/>
      <c r="E22" s="6"/>
      <c r="I22" s="6" t="str">
        <f>I12</f>
        <v>Diseña sistemas de control interactivos con microcontroladores y sensores mediante el uso de Arduino IDE y librerías de comunicación (Serial, I2C, SPI) para automatizar procesos de monitoreo y control en tiempo real en dispositivos electrónicos </v>
      </c>
    </row>
    <row r="23" ht="15.75" customHeight="1">
      <c r="A23" s="6" t="str">
        <f>IFERROR(__xludf.DUMMYFUNCTION("""COMPUTED_VALUE"""),"114 - Área Matemática Intermedia 3")</f>
        <v>114 - Área Matemática Intermedia 3</v>
      </c>
      <c r="B23" s="6"/>
      <c r="C23" s="6"/>
      <c r="D23" s="6"/>
      <c r="E23" s="6"/>
      <c r="I23" s="6" t="str">
        <f>I14</f>
        <v>Define soluciones digitales básicas utilizando compuertas lógicas, circuitos combinacionales y plataformas como Arduino para controlar y automatizar tareas elementales en sistemas computacionales </v>
      </c>
    </row>
    <row r="24" ht="15.75" customHeight="1">
      <c r="A24" s="6" t="str">
        <f>IFERROR(__xludf.DUMMYFUNCTION("""COMPUTED_VALUE"""),"152 - Física 2")</f>
        <v>152 - Física 2</v>
      </c>
      <c r="B24" s="6"/>
      <c r="C24" s="6"/>
      <c r="D24" s="6"/>
      <c r="E24" s="6"/>
    </row>
    <row r="25" ht="15.75" customHeight="1">
      <c r="A25" s="6" t="str">
        <f>IFERROR(__xludf.DUMMYFUNCTION("""COMPUTED_VALUE"""),"10 - Lógica")</f>
        <v>10 - Lógica</v>
      </c>
      <c r="B25" s="6"/>
      <c r="C25" s="6"/>
      <c r="D25" s="6"/>
      <c r="E25" s="6"/>
    </row>
    <row r="26" ht="15.75" customHeight="1">
      <c r="A26" s="6" t="str">
        <f>IFERROR(__xludf.DUMMYFUNCTION("""COMPUTED_VALUE"""),"11 - Idioma Técnico 4")</f>
        <v>11 - Idioma Técnico 4</v>
      </c>
      <c r="B26" s="6"/>
      <c r="C26" s="6"/>
      <c r="D26" s="6"/>
      <c r="E26" s="6"/>
    </row>
    <row r="27" ht="15.75" customHeight="1">
      <c r="A27" s="6" t="str">
        <f>IFERROR(__xludf.DUMMYFUNCTION("""COMPUTED_VALUE"""),"2025 - Prácticas Iniciales")</f>
        <v>2025 - Prácticas Iniciales</v>
      </c>
      <c r="B27" s="6"/>
      <c r="C27" s="6"/>
      <c r="D27" s="6"/>
      <c r="E27" s="6"/>
    </row>
    <row r="28" ht="15.75" customHeight="1">
      <c r="A28" s="6" t="str">
        <f>IFERROR(__xludf.DUMMYFUNCTION("""COMPUTED_VALUE"""),"732 - Estadística 1")</f>
        <v>732 - Estadística 1</v>
      </c>
      <c r="B28" s="6"/>
      <c r="C28" s="6"/>
      <c r="D28" s="6"/>
      <c r="E28" s="6"/>
    </row>
    <row r="29" ht="15.75" customHeight="1">
      <c r="A29" s="6" t="str">
        <f>IFERROR(__xludf.DUMMYFUNCTION("""COMPUTED_VALUE"""),"777 - Organización de Lenguajes y Compiladores 1")</f>
        <v>777 - Organización de Lenguajes y Compiladores 1</v>
      </c>
      <c r="B29" s="6" t="str">
        <f>IFERROR(__xludf.DUMMYFUNCTION("""COMPUTED_VALUE"""),"1sMJr8kYIDF7fR6Jn6GMDZp8CdJCeGqxbVA5UTdBCrkM")</f>
        <v>1sMJr8kYIDF7fR6Jn6GMDZp8CdJCeGqxbVA5UTdBCrkM</v>
      </c>
      <c r="C29" s="6" t="str">
        <f>IFERROR(__xludf.DUMMYFUNCTION("""COMPUTED_VALUE"""),"1sznB5glJmAKD25Jh38PR_uvVmYLeupPdQfr5Z_cGdy0")</f>
        <v>1sznB5glJmAKD25Jh38PR_uvVmYLeupPdQfr5Z_cGdy0</v>
      </c>
      <c r="D29" s="6" t="str">
        <f>IFERROR(__xludf.DUMMYFUNCTION("""COMPUTED_VALUE"""),"1kBA4IGrUYJDRe0Y1euEq_2KSZ_6qIOJf4ChyOoB7-bw")</f>
        <v>1kBA4IGrUYJDRe0Y1euEq_2KSZ_6qIOJf4ChyOoB7-bw</v>
      </c>
      <c r="E29" s="6" t="str">
        <f>IFERROR(__xludf.DUMMYFUNCTION("""COMPUTED_VALUE"""),"14tEUE8qfBh4CI8Qotf2UbaoJFzpnWz0r")</f>
        <v>14tEUE8qfBh4CI8Qotf2UbaoJFzpnWz0r</v>
      </c>
    </row>
    <row r="30" ht="15.75" customHeight="1">
      <c r="A30" s="6" t="str">
        <f>IFERROR(__xludf.DUMMYFUNCTION("""COMPUTED_VALUE"""),"964 - Organización Computacional")</f>
        <v>964 - Organización Computacional</v>
      </c>
      <c r="B30" s="6" t="str">
        <f>IFERROR(__xludf.DUMMYFUNCTION("""COMPUTED_VALUE"""),"1daYmFoqU1khKZXb4p_ygv5jH4tkv8-tTjdTDSUh72F0")</f>
        <v>1daYmFoqU1khKZXb4p_ygv5jH4tkv8-tTjdTDSUh72F0</v>
      </c>
      <c r="C30" s="6" t="str">
        <f>IFERROR(__xludf.DUMMYFUNCTION("""COMPUTED_VALUE"""),"1Iu2w--EUMRmqIHGvbgJsupMFeebEMTKXZFzhrwGZtOs")</f>
        <v>1Iu2w--EUMRmqIHGvbgJsupMFeebEMTKXZFzhrwGZtOs</v>
      </c>
      <c r="D30" s="6" t="str">
        <f>IFERROR(__xludf.DUMMYFUNCTION("""COMPUTED_VALUE"""),"1gqR4HPKEldyIGuEb4K6wpzCwLjthMqCU81C5lPPJfYo")</f>
        <v>1gqR4HPKEldyIGuEb4K6wpzCwLjthMqCU81C5lPPJfYo</v>
      </c>
      <c r="E30" s="6" t="str">
        <f>IFERROR(__xludf.DUMMYFUNCTION("""COMPUTED_VALUE"""),"168JiBG-dVAZLw3Z00Wh0GzOSNJ7yxpVe")</f>
        <v>168JiBG-dVAZLw3Z00Wh0GzOSNJ7yxpVe</v>
      </c>
    </row>
    <row r="31" ht="15.75" customHeight="1">
      <c r="A31" s="6" t="str">
        <f>IFERROR(__xludf.DUMMYFUNCTION("""COMPUTED_VALUE"""),"772 - Estructuras de Datos")</f>
        <v>772 - Estructuras de Datos</v>
      </c>
      <c r="B31" s="6" t="str">
        <f>IFERROR(__xludf.DUMMYFUNCTION("""COMPUTED_VALUE"""),"1rTNY7hLmB5N26Z2z6EtF0axcaKKizdu0eLKqLiwUhto")</f>
        <v>1rTNY7hLmB5N26Z2z6EtF0axcaKKizdu0eLKqLiwUhto</v>
      </c>
      <c r="C31" s="6" t="str">
        <f>IFERROR(__xludf.DUMMYFUNCTION("""COMPUTED_VALUE"""),"1e8AAZ395NIODTRjmbwP3Bvdb1OJlsJawLywq7NixwcM")</f>
        <v>1e8AAZ395NIODTRjmbwP3Bvdb1OJlsJawLywq7NixwcM</v>
      </c>
      <c r="D31" s="6" t="str">
        <f>IFERROR(__xludf.DUMMYFUNCTION("""COMPUTED_VALUE"""),"1PVCPYoBYbA64z-ceE8HVIWfvtziNTX_CeNB1XrAFUmk")</f>
        <v>1PVCPYoBYbA64z-ceE8HVIWfvtziNTX_CeNB1XrAFUmk</v>
      </c>
      <c r="E31" s="6" t="str">
        <f>IFERROR(__xludf.DUMMYFUNCTION("""COMPUTED_VALUE"""),"1E0q2biUjzF_2MGRSFGlAtpUs_jiKeYCi")</f>
        <v>1E0q2biUjzF_2MGRSFGlAtpUs_jiKeYCi</v>
      </c>
    </row>
    <row r="32" ht="15.75" customHeight="1">
      <c r="A32" s="6" t="str">
        <f>IFERROR(__xludf.DUMMYFUNCTION("""COMPUTED_VALUE"""),"116 - Matemática Aplicada 3")</f>
        <v>116 - Matemática Aplicada 3</v>
      </c>
      <c r="B32" s="6"/>
      <c r="C32" s="6"/>
      <c r="D32" s="6"/>
      <c r="E32" s="6"/>
    </row>
    <row r="33" ht="15.75" customHeight="1">
      <c r="A33" s="6" t="str">
        <f>IFERROR(__xludf.DUMMYFUNCTION("""COMPUTED_VALUE"""),"118 - Matemática Aplicada 1")</f>
        <v>118 - Matemática Aplicada 1</v>
      </c>
      <c r="B33" s="6"/>
      <c r="C33" s="6"/>
      <c r="D33" s="6"/>
      <c r="E33" s="6"/>
    </row>
    <row r="34" ht="15.75" customHeight="1">
      <c r="A34" s="6" t="str">
        <f>IFERROR(__xludf.DUMMYFUNCTION("""COMPUTED_VALUE"""),"18 - Filosofía de la Ciencia")</f>
        <v>18 - Filosofía de la Ciencia</v>
      </c>
      <c r="B34" s="6"/>
      <c r="C34" s="6"/>
      <c r="D34" s="6"/>
      <c r="E34" s="6"/>
    </row>
    <row r="35" ht="15.75" customHeight="1">
      <c r="A35" s="6" t="str">
        <f>IFERROR(__xludf.DUMMYFUNCTION("""COMPUTED_VALUE"""),"722 - Teoría de Sistemas 1")</f>
        <v>722 - Teoría de Sistemas 1</v>
      </c>
      <c r="B35" s="6" t="str">
        <f>IFERROR(__xludf.DUMMYFUNCTION("""COMPUTED_VALUE"""),"1npGvBttUX2JHkjnmDRQmNhZacltUudlNKCQsLV09BaU")</f>
        <v>1npGvBttUX2JHkjnmDRQmNhZacltUudlNKCQsLV09BaU</v>
      </c>
      <c r="C35" s="6" t="str">
        <f>IFERROR(__xludf.DUMMYFUNCTION("""COMPUTED_VALUE"""),"1hMUPf0qs2ca-iLxfgxe8cYMynK4MJCa34p7GqRHJXbE")</f>
        <v>1hMUPf0qs2ca-iLxfgxe8cYMynK4MJCa34p7GqRHJXbE</v>
      </c>
      <c r="D35" s="6" t="str">
        <f>IFERROR(__xludf.DUMMYFUNCTION("""COMPUTED_VALUE"""),"1ATHMFdf0XbWCqh2hcVgPbB3YAnr637GqzneY0kwZPXs")</f>
        <v>1ATHMFdf0XbWCqh2hcVgPbB3YAnr637GqzneY0kwZPXs</v>
      </c>
      <c r="E35" s="6" t="str">
        <f>IFERROR(__xludf.DUMMYFUNCTION("""COMPUTED_VALUE"""),"1me1nH7wLH9V0Y0D1dBAqO-cxBMvcPd1a")</f>
        <v>1me1nH7wLH9V0Y0D1dBAqO-cxBMvcPd1a</v>
      </c>
    </row>
    <row r="36" ht="15.75" customHeight="1">
      <c r="A36" s="6" t="str">
        <f>IFERROR(__xludf.DUMMYFUNCTION("""COMPUTED_VALUE"""),"601 - Investigación de Operaciones 1")</f>
        <v>601 - Investigación de Operaciones 1</v>
      </c>
      <c r="B36" s="6"/>
      <c r="C36" s="6"/>
      <c r="D36" s="6"/>
      <c r="E36" s="6"/>
    </row>
    <row r="37" ht="15.75" customHeight="1">
      <c r="A37" s="6" t="str">
        <f>IFERROR(__xludf.DUMMYFUNCTION("""COMPUTED_VALUE"""),"14 - Economía")</f>
        <v>14 - Economía</v>
      </c>
      <c r="B37" s="6" t="str">
        <f>IFERROR(__xludf.DUMMYFUNCTION("""COMPUTED_VALUE"""),"169ieOogZaXHMs_PddYQfqqWTOgqfbgT1NUf8dchmb4U")</f>
        <v>169ieOogZaXHMs_PddYQfqqWTOgqfbgT1NUf8dchmb4U</v>
      </c>
      <c r="C37" s="6" t="str">
        <f>IFERROR(__xludf.DUMMYFUNCTION("""COMPUTED_VALUE"""),"1aRV1pjb7CPc1NcugRe2l92I-OqNZYb_4YmhuHZtvXzs")</f>
        <v>1aRV1pjb7CPc1NcugRe2l92I-OqNZYb_4YmhuHZtvXzs</v>
      </c>
      <c r="D37" s="6" t="str">
        <f>IFERROR(__xludf.DUMMYFUNCTION("""COMPUTED_VALUE"""),"1pajOO3AWmOi1jPG43utDMvSL31e0t1UDzgvEQYveS28")</f>
        <v>1pajOO3AWmOi1jPG43utDMvSL31e0t1UDzgvEQYveS28</v>
      </c>
      <c r="E37" s="6" t="str">
        <f>IFERROR(__xludf.DUMMYFUNCTION("""COMPUTED_VALUE"""),"1WqxKIBh1lpbr01vS0jn_ragnl3d_04zY")</f>
        <v>1WqxKIBh1lpbr01vS0jn_ragnl3d_04zY</v>
      </c>
    </row>
    <row r="38" ht="15.75" customHeight="1">
      <c r="A38" s="6" t="str">
        <f>IFERROR(__xludf.DUMMYFUNCTION("""COMPUTED_VALUE"""),"781 - Organización de Lenguajes y Compiladores 2")</f>
        <v>781 - Organización de Lenguajes y Compiladores 2</v>
      </c>
      <c r="B38" s="6" t="str">
        <f>IFERROR(__xludf.DUMMYFUNCTION("""COMPUTED_VALUE"""),"18dQYgiKWkpI2wogupgHf8u3PbCa0cKqMH6-ZsAIhLPw")</f>
        <v>18dQYgiKWkpI2wogupgHf8u3PbCa0cKqMH6-ZsAIhLPw</v>
      </c>
      <c r="C38" s="6" t="str">
        <f>IFERROR(__xludf.DUMMYFUNCTION("""COMPUTED_VALUE"""),"1FvDr2nu5sW0gxDkpPanB4sWbi78KZCAhc6wrywlrvlE")</f>
        <v>1FvDr2nu5sW0gxDkpPanB4sWbi78KZCAhc6wrywlrvlE</v>
      </c>
      <c r="D38" s="6" t="str">
        <f>IFERROR(__xludf.DUMMYFUNCTION("""COMPUTED_VALUE"""),"1vR-fd-_MbOLAfMSv4L0B7CMj6jdlTkOQCD95r1XcqZI")</f>
        <v>1vR-fd-_MbOLAfMSv4L0B7CMj6jdlTkOQCD95r1XcqZI</v>
      </c>
      <c r="E38" s="6" t="str">
        <f>IFERROR(__xludf.DUMMYFUNCTION("""COMPUTED_VALUE"""),"1OpTiDYbGu0wNKI3xw8Lxhx1c4euS0YR9")</f>
        <v>1OpTiDYbGu0wNKI3xw8Lxhx1c4euS0YR9</v>
      </c>
    </row>
    <row r="39" ht="15.75" customHeight="1">
      <c r="A39" s="6" t="str">
        <f>IFERROR(__xludf.DUMMYFUNCTION("""COMPUTED_VALUE"""),"778 - Arquitectura de Computadoras y Ensambladores 1")</f>
        <v>778 - Arquitectura de Computadoras y Ensambladores 1</v>
      </c>
      <c r="B39" s="6" t="str">
        <f>IFERROR(__xludf.DUMMYFUNCTION("""COMPUTED_VALUE"""),"13gNb-7XS_aMptaL1TLnLB5k06Y_okRzOgjzOxLHNuiI")</f>
        <v>13gNb-7XS_aMptaL1TLnLB5k06Y_okRzOgjzOxLHNuiI</v>
      </c>
      <c r="C39" s="6" t="str">
        <f>IFERROR(__xludf.DUMMYFUNCTION("""COMPUTED_VALUE"""),"1dlO25kugHQowRwF3LcOkrFuLGg-hP9mn9OW7x7GssMc")</f>
        <v>1dlO25kugHQowRwF3LcOkrFuLGg-hP9mn9OW7x7GssMc</v>
      </c>
      <c r="D39" s="6" t="str">
        <f>IFERROR(__xludf.DUMMYFUNCTION("""COMPUTED_VALUE"""),"1jMElka7Ve71KPvj9i1bHpM_BAVnEwEXLC-W_04LIFGg")</f>
        <v>1jMElka7Ve71KPvj9i1bHpM_BAVnEwEXLC-W_04LIFGg</v>
      </c>
      <c r="E39" s="6" t="str">
        <f>IFERROR(__xludf.DUMMYFUNCTION("""COMPUTED_VALUE"""),"1vPaqqtPi3QjCFIUp-K5im-qBz572iNPY")</f>
        <v>1vPaqqtPi3QjCFIUp-K5im-qBz572iNPY</v>
      </c>
    </row>
    <row r="40" ht="15.75" customHeight="1">
      <c r="A40" s="6" t="str">
        <f>IFERROR(__xludf.DUMMYFUNCTION("""COMPUTED_VALUE"""),"773 - Manejo e Implementación de Archivos")</f>
        <v>773 - Manejo e Implementación de Archivos</v>
      </c>
      <c r="B40" s="6" t="str">
        <f>IFERROR(__xludf.DUMMYFUNCTION("""COMPUTED_VALUE"""),"1VDaIod2C3XfezxQfz50xvWZ9yVVdVvNIqd-1xbJmaD8")</f>
        <v>1VDaIod2C3XfezxQfz50xvWZ9yVVdVvNIqd-1xbJmaD8</v>
      </c>
      <c r="C40" s="6" t="str">
        <f>IFERROR(__xludf.DUMMYFUNCTION("""COMPUTED_VALUE"""),"1MkqyTtzzzyQyC--twNt__AoC_Sd0UBC67j0f9nktivE")</f>
        <v>1MkqyTtzzzyQyC--twNt__AoC_Sd0UBC67j0f9nktivE</v>
      </c>
      <c r="D40" s="6" t="str">
        <f>IFERROR(__xludf.DUMMYFUNCTION("""COMPUTED_VALUE"""),"1TN3z_RT4NXTQfbj6qQEFc9gmXRHLB6-fy_oyWA0RHdU")</f>
        <v>1TN3z_RT4NXTQfbj6qQEFc9gmXRHLB6-fy_oyWA0RHdU</v>
      </c>
      <c r="E40" s="6" t="str">
        <f>IFERROR(__xludf.DUMMYFUNCTION("""COMPUTED_VALUE"""),"1Nn4F-GdSnEftvTXSfmVRSNkPuH0v1E3D")</f>
        <v>1Nn4F-GdSnEftvTXSfmVRSNkPuH0v1E3D</v>
      </c>
    </row>
    <row r="41" ht="15.75" customHeight="1">
      <c r="A41" s="6" t="str">
        <f>IFERROR(__xludf.DUMMYFUNCTION("""COMPUTED_VALUE"""),"122 - Matemática Aplicada 4")</f>
        <v>122 - Matemática Aplicada 4</v>
      </c>
      <c r="B41" s="6"/>
      <c r="C41" s="6"/>
      <c r="D41" s="6"/>
      <c r="E41" s="6"/>
    </row>
    <row r="42" ht="15.75" customHeight="1">
      <c r="A42" s="6" t="str">
        <f>IFERROR(__xludf.DUMMYFUNCTION("""COMPUTED_VALUE"""),"120 - Matemática Aplicada 2")</f>
        <v>120 - Matemática Aplicada 2</v>
      </c>
      <c r="B42" s="6"/>
      <c r="C42" s="6"/>
      <c r="D42" s="6"/>
      <c r="E42" s="6"/>
    </row>
    <row r="43" ht="15.75" customHeight="1">
      <c r="A43" s="6" t="str">
        <f>IFERROR(__xludf.DUMMYFUNCTION("""COMPUTED_VALUE"""),"200 - Ingeniería Eléctrica 1")</f>
        <v>200 - Ingeniería Eléctrica 1</v>
      </c>
      <c r="B43" s="6"/>
      <c r="C43" s="6"/>
      <c r="D43" s="6"/>
      <c r="E43" s="6"/>
    </row>
    <row r="44" ht="15.75" customHeight="1">
      <c r="A44" s="6" t="str">
        <f>IFERROR(__xludf.DUMMYFUNCTION("""COMPUTED_VALUE"""),"724 - Teoría de Sistemas 2")</f>
        <v>724 - Teoría de Sistemas 2</v>
      </c>
      <c r="B44" s="6" t="str">
        <f>IFERROR(__xludf.DUMMYFUNCTION("""COMPUTED_VALUE"""),"1Oh-yJJ9oc8SdDPJao-u31YXfwOPrsifu2o1a7Sf2-9k")</f>
        <v>1Oh-yJJ9oc8SdDPJao-u31YXfwOPrsifu2o1a7Sf2-9k</v>
      </c>
      <c r="C44" s="6" t="str">
        <f>IFERROR(__xludf.DUMMYFUNCTION("""COMPUTED_VALUE"""),"1O2rxycdV4XrytI_g4llqenReY8-rYp3frKI7rd6fNMI")</f>
        <v>1O2rxycdV4XrytI_g4llqenReY8-rYp3frKI7rd6fNMI</v>
      </c>
      <c r="D44" s="6" t="str">
        <f>IFERROR(__xludf.DUMMYFUNCTION("""COMPUTED_VALUE"""),"1uWuKRV1yUDuRgCMclGBs18DlrkJbY-3RrPrV1PnXLeM")</f>
        <v>1uWuKRV1yUDuRgCMclGBs18DlrkJbY-3RrPrV1PnXLeM</v>
      </c>
      <c r="E44" s="6" t="str">
        <f>IFERROR(__xludf.DUMMYFUNCTION("""COMPUTED_VALUE"""),"1EQVlwt_Q14_MHhr3GeYfJvtnySQAorrC")</f>
        <v>1EQVlwt_Q14_MHhr3GeYfJvtnySQAorrC</v>
      </c>
    </row>
    <row r="45" ht="15.75" customHeight="1">
      <c r="A45" s="6" t="str">
        <f>IFERROR(__xludf.DUMMYFUNCTION("""COMPUTED_VALUE"""),"603 - Investigación de Operaciones 2")</f>
        <v>603 - Investigación de Operaciones 2</v>
      </c>
      <c r="B45" s="6"/>
      <c r="C45" s="6"/>
      <c r="D45" s="6"/>
      <c r="E45" s="6"/>
    </row>
    <row r="46" ht="15.75" customHeight="1">
      <c r="A46" s="6" t="str">
        <f>IFERROR(__xludf.DUMMYFUNCTION("""COMPUTED_VALUE"""),"734 - Estadística 2")</f>
        <v>734 - Estadística 2</v>
      </c>
      <c r="B46" s="6"/>
      <c r="C46" s="6"/>
      <c r="D46" s="6"/>
      <c r="E46" s="6"/>
    </row>
    <row r="47" ht="15.75" customHeight="1">
      <c r="A47" s="6" t="str">
        <f>IFERROR(__xludf.DUMMYFUNCTION("""COMPUTED_VALUE"""),"281 - Sistemas Operativos 1")</f>
        <v>281 - Sistemas Operativos 1</v>
      </c>
      <c r="B47" s="6" t="str">
        <f>IFERROR(__xludf.DUMMYFUNCTION("""COMPUTED_VALUE"""),"1RAzDRLQZEv8Ck7PxnFQbrklrekiw5bDJFX0wgP7vFSQ")</f>
        <v>1RAzDRLQZEv8Ck7PxnFQbrklrekiw5bDJFX0wgP7vFSQ</v>
      </c>
      <c r="C47" s="6" t="str">
        <f>IFERROR(__xludf.DUMMYFUNCTION("""COMPUTED_VALUE"""),"145JPmfq4pDEEE_ipNtWzYQNDVrAg9WOQ9ocmZu_NegE")</f>
        <v>145JPmfq4pDEEE_ipNtWzYQNDVrAg9WOQ9ocmZu_NegE</v>
      </c>
      <c r="D47" s="6" t="str">
        <f>IFERROR(__xludf.DUMMYFUNCTION("""COMPUTED_VALUE"""),"1HE-c5k7b7a4sV8kZRb8whPINiB0Q_xMq-7-LwYVSiEA")</f>
        <v>1HE-c5k7b7a4sV8kZRb8whPINiB0Q_xMq-7-LwYVSiEA</v>
      </c>
      <c r="E47" s="6" t="str">
        <f>IFERROR(__xludf.DUMMYFUNCTION("""COMPUTED_VALUE"""),"1n0J1NqUgfuTdZBYJs6ClPsEPAT-BsF53")</f>
        <v>1n0J1NqUgfuTdZBYJs6ClPsEPAT-BsF53</v>
      </c>
    </row>
    <row r="48" ht="15.75" customHeight="1">
      <c r="A48" s="6" t="str">
        <f>IFERROR(__xludf.DUMMYFUNCTION("""COMPUTED_VALUE"""),"779 - Arquitectura de Computadoras y Ensambladores 2")</f>
        <v>779 - Arquitectura de Computadoras y Ensambladores 2</v>
      </c>
      <c r="B48" s="6" t="str">
        <f>IFERROR(__xludf.DUMMYFUNCTION("""COMPUTED_VALUE"""),"1_uxBhWcRvgBlCjf2s6O-Hvly7rBvJyZdswUKwm6KP5Y")</f>
        <v>1_uxBhWcRvgBlCjf2s6O-Hvly7rBvJyZdswUKwm6KP5Y</v>
      </c>
      <c r="C48" s="6" t="str">
        <f>IFERROR(__xludf.DUMMYFUNCTION("""COMPUTED_VALUE"""),"1dqk67SNWBGb15fqe17ZBfmxUg9pla5H7nqVOrGHYEJ4")</f>
        <v>1dqk67SNWBGb15fqe17ZBfmxUg9pla5H7nqVOrGHYEJ4</v>
      </c>
      <c r="D48" s="6" t="str">
        <f>IFERROR(__xludf.DUMMYFUNCTION("""COMPUTED_VALUE"""),"1I4Bx-1TpNE382Kclmp7qlhsORNllFJ6iza9or1MYlQM")</f>
        <v>1I4Bx-1TpNE382Kclmp7qlhsORNllFJ6iza9or1MYlQM</v>
      </c>
      <c r="E48" s="6" t="str">
        <f>IFERROR(__xludf.DUMMYFUNCTION("""COMPUTED_VALUE"""),"1fb6OBuOK__kn1iOUatpXGXqw-Xx2KUF3")</f>
        <v>1fb6OBuOK__kn1iOUatpXGXqw-Xx2KUF3</v>
      </c>
    </row>
    <row r="49" ht="15.75" customHeight="1">
      <c r="A49" s="6" t="str">
        <f>IFERROR(__xludf.DUMMYFUNCTION("""COMPUTED_VALUE"""),"970 - Redes de Computadoras 1")</f>
        <v>970 - Redes de Computadoras 1</v>
      </c>
      <c r="B49" s="6" t="str">
        <f>IFERROR(__xludf.DUMMYFUNCTION("""COMPUTED_VALUE"""),"1z_6lSkIcVZpEVQ4tR8c-eSvVvTxWsXwhmFojsLWeBGc")</f>
        <v>1z_6lSkIcVZpEVQ4tR8c-eSvVvTxWsXwhmFojsLWeBGc</v>
      </c>
      <c r="C49" s="6" t="str">
        <f>IFERROR(__xludf.DUMMYFUNCTION("""COMPUTED_VALUE"""),"18wRQLI8Pz51ZFEFWKE1SD6XVhlxOdJa1PpxDFo2dRT4")</f>
        <v>18wRQLI8Pz51ZFEFWKE1SD6XVhlxOdJa1PpxDFo2dRT4</v>
      </c>
      <c r="D49" s="6" t="str">
        <f>IFERROR(__xludf.DUMMYFUNCTION("""COMPUTED_VALUE"""),"1i-Uona9IG1TfHaWeowvwDDQBbBF5rm-kKLnZwWQbchA")</f>
        <v>1i-Uona9IG1TfHaWeowvwDDQBbBF5rm-kKLnZwWQbchA</v>
      </c>
      <c r="E49" s="6" t="str">
        <f>IFERROR(__xludf.DUMMYFUNCTION("""COMPUTED_VALUE"""),"1MyEh58_aw-4JAg_UmiHarHdZJMAoZYFg")</f>
        <v>1MyEh58_aw-4JAg_UmiHarHdZJMAoZYFg</v>
      </c>
    </row>
    <row r="50" ht="15.75" customHeight="1">
      <c r="A50" s="6" t="str">
        <f>IFERROR(__xludf.DUMMYFUNCTION("""COMPUTED_VALUE"""),"774 - Sistemas de Bases de Datos 1")</f>
        <v>774 - Sistemas de Bases de Datos 1</v>
      </c>
      <c r="B50" s="6" t="str">
        <f>IFERROR(__xludf.DUMMYFUNCTION("""COMPUTED_VALUE"""),"1h1zzA1-Xq9ihet57bP4f0PLQnKeojJUanhgpuP67hKs")</f>
        <v>1h1zzA1-Xq9ihet57bP4f0PLQnKeojJUanhgpuP67hKs</v>
      </c>
      <c r="C50" s="6" t="str">
        <f>IFERROR(__xludf.DUMMYFUNCTION("""COMPUTED_VALUE"""),"1xYInTWRmhz45q5vjazDVsb1EGOCbYqibWRBgZMK1g2I")</f>
        <v>1xYInTWRmhz45q5vjazDVsb1EGOCbYqibWRBgZMK1g2I</v>
      </c>
      <c r="D50" s="6" t="str">
        <f>IFERROR(__xludf.DUMMYFUNCTION("""COMPUTED_VALUE"""),"1ab_tQ3tdHfx3wTYZggg6topYWfMdNDjc_9Pl6gMgeY0")</f>
        <v>1ab_tQ3tdHfx3wTYZggg6topYWfMdNDjc_9Pl6gMgeY0</v>
      </c>
      <c r="E50" s="6" t="str">
        <f>IFERROR(__xludf.DUMMYFUNCTION("""COMPUTED_VALUE"""),"1a0bdit9CmOXEhJOXc35cohqfdNKmMAzD")</f>
        <v>1a0bdit9CmOXEhJOXc35cohqfdNKmMAzD</v>
      </c>
    </row>
    <row r="51" ht="15.75" customHeight="1">
      <c r="A51" s="6" t="str">
        <f>IFERROR(__xludf.DUMMYFUNCTION("""COMPUTED_VALUE"""),"2036 - Prácticas Intermedias")</f>
        <v>2036 - Prácticas Intermedias</v>
      </c>
      <c r="B51" s="6"/>
      <c r="C51" s="6"/>
      <c r="D51" s="6"/>
      <c r="E51" s="6"/>
    </row>
    <row r="52" ht="15.75" customHeight="1">
      <c r="A52" s="6" t="str">
        <f>IFERROR(__xludf.DUMMYFUNCTION("""COMPUTED_VALUE"""),"285 - Sistemas Operativos 2")</f>
        <v>285 - Sistemas Operativos 2</v>
      </c>
      <c r="B52" s="6" t="str">
        <f>IFERROR(__xludf.DUMMYFUNCTION("""COMPUTED_VALUE"""),"1VCx3jdfVNJvtMfY5j_W624CAT1QxC-9qVw_ts_erFM8")</f>
        <v>1VCx3jdfVNJvtMfY5j_W624CAT1QxC-9qVw_ts_erFM8</v>
      </c>
      <c r="C52" s="6" t="str">
        <f>IFERROR(__xludf.DUMMYFUNCTION("""COMPUTED_VALUE"""),"1ssmi68Gibgtkl07Zn0H_wQWjqhj_SfcpUhCdmyvVjb4")</f>
        <v>1ssmi68Gibgtkl07Zn0H_wQWjqhj_SfcpUhCdmyvVjb4</v>
      </c>
      <c r="D52" s="6" t="str">
        <f>IFERROR(__xludf.DUMMYFUNCTION("""COMPUTED_VALUE"""),"1bIFK2VHNoCYqh3rnNBIgLzQpv40VUWzyYaRVu-gQbTI")</f>
        <v>1bIFK2VHNoCYqh3rnNBIgLzQpv40VUWzyYaRVu-gQbTI</v>
      </c>
      <c r="E52" s="6" t="str">
        <f>IFERROR(__xludf.DUMMYFUNCTION("""COMPUTED_VALUE"""),"1q8mN6aa9bhjGWUIaszZNHjuEk-b6qckg")</f>
        <v>1q8mN6aa9bhjGWUIaszZNHjuEk-b6qckg</v>
      </c>
    </row>
    <row r="53" ht="15.75" customHeight="1">
      <c r="A53" s="6" t="str">
        <f>IFERROR(__xludf.DUMMYFUNCTION("""COMPUTED_VALUE"""),"975 - Redes de Computadoras 2")</f>
        <v>975 - Redes de Computadoras 2</v>
      </c>
      <c r="B53" s="6" t="str">
        <f>IFERROR(__xludf.DUMMYFUNCTION("""COMPUTED_VALUE"""),"1JcTacSIMIoXQmOixc1cssvrK_MVzZYH-Yo4FFSny6Nk")</f>
        <v>1JcTacSIMIoXQmOixc1cssvrK_MVzZYH-Yo4FFSny6Nk</v>
      </c>
      <c r="C53" s="6" t="str">
        <f>IFERROR(__xludf.DUMMYFUNCTION("""COMPUTED_VALUE"""),"1JLgRGqqoVVNY2eFrI2m3ylhPGOUPiyZN7_tK8VnOywQ")</f>
        <v>1JLgRGqqoVVNY2eFrI2m3ylhPGOUPiyZN7_tK8VnOywQ</v>
      </c>
      <c r="D53" s="6" t="str">
        <f>IFERROR(__xludf.DUMMYFUNCTION("""COMPUTED_VALUE"""),"1IL8QCca0XDIN9zPNoVS7hKBCHZQ9eh42iA_U0q-_ktQ")</f>
        <v>1IL8QCca0XDIN9zPNoVS7hKBCHZQ9eh42iA_U0q-_ktQ</v>
      </c>
      <c r="E53" s="6" t="str">
        <f>IFERROR(__xludf.DUMMYFUNCTION("""COMPUTED_VALUE"""),"1gu0dvm6zoJE2RmJVBG6ZIV_BFoLoxJfB")</f>
        <v>1gu0dvm6zoJE2RmJVBG6ZIV_BFoLoxJfB</v>
      </c>
    </row>
    <row r="54" ht="15.75" customHeight="1">
      <c r="A54" s="6" t="str">
        <f>IFERROR(__xludf.DUMMYFUNCTION("""COMPUTED_VALUE"""),"775 - Sistemas de Bases de Datos 2")</f>
        <v>775 - Sistemas de Bases de Datos 2</v>
      </c>
      <c r="B54" s="6" t="str">
        <f>IFERROR(__xludf.DUMMYFUNCTION("""COMPUTED_VALUE"""),"1TCVGX95CGGMGYvyB2K8cDve9RSMthqD6Tc1-CrmctiM")</f>
        <v>1TCVGX95CGGMGYvyB2K8cDve9RSMthqD6Tc1-CrmctiM</v>
      </c>
      <c r="C54" s="6" t="str">
        <f>IFERROR(__xludf.DUMMYFUNCTION("""COMPUTED_VALUE"""),"1c8vA2_5i-ARXIPU3ZxB3bwcKRbWh46erGG5KH3wrJyU")</f>
        <v>1c8vA2_5i-ARXIPU3ZxB3bwcKRbWh46erGG5KH3wrJyU</v>
      </c>
      <c r="D54" s="6" t="str">
        <f>IFERROR(__xludf.DUMMYFUNCTION("""COMPUTED_VALUE"""),"17_WFCeqzOngZrZqB-G0qa2RVksxKYCq8VrQTxvdfvyg")</f>
        <v>17_WFCeqzOngZrZqB-G0qa2RVksxKYCq8VrQTxvdfvyg</v>
      </c>
      <c r="E54" s="6" t="str">
        <f>IFERROR(__xludf.DUMMYFUNCTION("""COMPUTED_VALUE"""),"d/1-KBylfOI9IIiZlF-l2dlJlM6PNNdjzFl")</f>
        <v>d/1-KBylfOI9IIiZlF-l2dlJlM6PNNdjzFl</v>
      </c>
    </row>
    <row r="55" ht="15.75" customHeight="1">
      <c r="A55" s="6" t="str">
        <f>IFERROR(__xludf.DUMMYFUNCTION("""COMPUTED_VALUE"""),"283 - Análisis y Diseño de Sistemas 1")</f>
        <v>283 - Análisis y Diseño de Sistemas 1</v>
      </c>
      <c r="B55" s="6" t="str">
        <f>IFERROR(__xludf.DUMMYFUNCTION("""COMPUTED_VALUE"""),"1Y3HF-OxPbgEhNi6pNhbpImrQsH3btlYO6xtsnryrunY")</f>
        <v>1Y3HF-OxPbgEhNi6pNhbpImrQsH3btlYO6xtsnryrunY</v>
      </c>
      <c r="C55" s="6" t="str">
        <f>IFERROR(__xludf.DUMMYFUNCTION("""COMPUTED_VALUE"""),"12umvxFMZmSLGZenSQOXCnUePgu7-gug8FmFRz5MKlkE")</f>
        <v>12umvxFMZmSLGZenSQOXCnUePgu7-gug8FmFRz5MKlkE</v>
      </c>
      <c r="D55" s="6" t="str">
        <f>IFERROR(__xludf.DUMMYFUNCTION("""COMPUTED_VALUE"""),"1gwmb6_MjiG_JUXAI5JWT33vnYBsnPqtoeHWc1yoFWQQ")</f>
        <v>1gwmb6_MjiG_JUXAI5JWT33vnYBsnPqtoeHWc1yoFWQQ</v>
      </c>
      <c r="E55" s="6" t="str">
        <f>IFERROR(__xludf.DUMMYFUNCTION("""COMPUTED_VALUE"""),"1QXb23bY6W9aTRkpiCON7Q0ews5p7hatK")</f>
        <v>1QXb23bY6W9aTRkpiCON7Q0ews5p7hatK</v>
      </c>
    </row>
    <row r="56" ht="15.75" customHeight="1">
      <c r="A56" s="6" t="str">
        <f>IFERROR(__xludf.DUMMYFUNCTION("""COMPUTED_VALUE"""),"797 - Seminario de Sistemas 1")</f>
        <v>797 - Seminario de Sistemas 1</v>
      </c>
      <c r="B56" s="6" t="str">
        <f>IFERROR(__xludf.DUMMYFUNCTION("""COMPUTED_VALUE"""),"1VXfuZgL8iNYOe8XfW_5s4rVnIq-_Xurqk8xlOGGexqY")</f>
        <v>1VXfuZgL8iNYOe8XfW_5s4rVnIq-_Xurqk8xlOGGexqY</v>
      </c>
      <c r="C56" s="6" t="str">
        <f>IFERROR(__xludf.DUMMYFUNCTION("""COMPUTED_VALUE"""),"1eWOPuodcZlQ4YNCFI3CQ-Zpw7nxkVx7vi3XlMdj8he4")</f>
        <v>1eWOPuodcZlQ4YNCFI3CQ-Zpw7nxkVx7vi3XlMdj8he4</v>
      </c>
      <c r="D56" s="6" t="str">
        <f>IFERROR(__xludf.DUMMYFUNCTION("""COMPUTED_VALUE"""),"13DUp9JOUZdD2C1BdD-os-W-bLO-jSufbMHC7eJ5PBSo")</f>
        <v>13DUp9JOUZdD2C1BdD-os-W-bLO-jSufbMHC7eJ5PBSo</v>
      </c>
      <c r="E56" s="6" t="str">
        <f>IFERROR(__xludf.DUMMYFUNCTION("""COMPUTED_VALUE"""),"1EnANLnqSuVktTF4SdlpIOuHPbefsIOnc")</f>
        <v>1EnANLnqSuVktTF4SdlpIOuHPbefsIOnc</v>
      </c>
    </row>
    <row r="57" ht="15.75" customHeight="1">
      <c r="A57" s="6" t="str">
        <f>IFERROR(__xludf.DUMMYFUNCTION("""COMPUTED_VALUE"""),"700 - Ingeniería Económica 1")</f>
        <v>700 - Ingeniería Económica 1</v>
      </c>
      <c r="B57" s="6"/>
      <c r="C57" s="6"/>
      <c r="D57" s="6"/>
      <c r="E57" s="6"/>
    </row>
    <row r="58" ht="15.75" customHeight="1">
      <c r="A58" s="6" t="str">
        <f>IFERROR(__xludf.DUMMYFUNCTION("""COMPUTED_VALUE"""),"729 - Modelación y Simulación 1")</f>
        <v>729 - Modelación y Simulación 1</v>
      </c>
      <c r="B58" s="6" t="str">
        <f>IFERROR(__xludf.DUMMYFUNCTION("""COMPUTED_VALUE"""),"17u8GNz3HZ-i9KS-yxFiuJx9u7OawTwjyLcvLoG_x6W8")</f>
        <v>17u8GNz3HZ-i9KS-yxFiuJx9u7OawTwjyLcvLoG_x6W8</v>
      </c>
      <c r="C58" s="6" t="str">
        <f>IFERROR(__xludf.DUMMYFUNCTION("""COMPUTED_VALUE"""),"1NFJSyWLsOrGAG7qFKpXyw79GRTTb4abmj-M6aBddS5U")</f>
        <v>1NFJSyWLsOrGAG7qFKpXyw79GRTTb4abmj-M6aBddS5U</v>
      </c>
      <c r="D58" s="6" t="str">
        <f>IFERROR(__xludf.DUMMYFUNCTION("""COMPUTED_VALUE"""),"1toY-3JEeuVBJwRbyxsqyquwh-orXIfZE8KB3e43PXok")</f>
        <v>1toY-3JEeuVBJwRbyxsqyquwh-orXIfZE8KB3e43PXok</v>
      </c>
      <c r="E58" s="6" t="str">
        <f>IFERROR(__xludf.DUMMYFUNCTION("""COMPUTED_VALUE"""),"15sfPZmXt41hGkttgpVICPuKozdPNEJ6A")</f>
        <v>15sfPZmXt41hGkttgpVICPuKozdPNEJ6A</v>
      </c>
    </row>
    <row r="59" ht="15.75" customHeight="1">
      <c r="A59" s="6" t="str">
        <f>IFERROR(__xludf.DUMMYFUNCTION("""COMPUTED_VALUE"""),"786 - Sistemas Organizacionales y Gerenciales 1")</f>
        <v>786 - Sistemas Organizacionales y Gerenciales 1</v>
      </c>
      <c r="B59" s="6" t="str">
        <f>IFERROR(__xludf.DUMMYFUNCTION("""COMPUTED_VALUE"""),"1VTtCckO64u9REDx8UoxNJrYiavZGQU_hh4HvsOUiqlc")</f>
        <v>1VTtCckO64u9REDx8UoxNJrYiavZGQU_hh4HvsOUiqlc</v>
      </c>
      <c r="C59" s="6" t="str">
        <f>IFERROR(__xludf.DUMMYFUNCTION("""COMPUTED_VALUE"""),"1dMwVEKpg3j4uCN3CqoVXOWkBQbHNw7DIhtU8Bhc5Mqc")</f>
        <v>1dMwVEKpg3j4uCN3CqoVXOWkBQbHNw7DIhtU8Bhc5Mqc</v>
      </c>
      <c r="D59" s="6" t="str">
        <f>IFERROR(__xludf.DUMMYFUNCTION("""COMPUTED_VALUE"""),"1eh447vkO2YeAmVFqKtzinqlk4a4Y1JJKjOtv9eVOlY0")</f>
        <v>1eh447vkO2YeAmVFqKtzinqlk4a4Y1JJKjOtv9eVOlY0</v>
      </c>
      <c r="E59" s="6" t="str">
        <f>IFERROR(__xludf.DUMMYFUNCTION("""COMPUTED_VALUE"""),"1txIe6LugQ0CGgSIkqRY1UZvHL7CtMqgD")</f>
        <v>1txIe6LugQ0CGgSIkqRY1UZvHL7CtMqgD</v>
      </c>
    </row>
    <row r="60" ht="15.75" customHeight="1">
      <c r="A60" s="6" t="str">
        <f>IFERROR(__xludf.DUMMYFUNCTION("""COMPUTED_VALUE"""),"972 - Inteligencia Artificial 1")</f>
        <v>972 - Inteligencia Artificial 1</v>
      </c>
      <c r="B60" s="6" t="str">
        <f>IFERROR(__xludf.DUMMYFUNCTION("""COMPUTED_VALUE"""),"1C04a6qH3d2zJVb1hJwa6tsRQVM9LUb_nwyxMovG5tdI")</f>
        <v>1C04a6qH3d2zJVb1hJwa6tsRQVM9LUb_nwyxMovG5tdI</v>
      </c>
      <c r="C60" s="6" t="str">
        <f>IFERROR(__xludf.DUMMYFUNCTION("""COMPUTED_VALUE"""),"1CEh1GcUg3ntzgPT9yUocLDlrLJKmZCCl1MWUrEyfwzg")</f>
        <v>1CEh1GcUg3ntzgPT9yUocLDlrLJKmZCCl1MWUrEyfwzg</v>
      </c>
      <c r="D60" s="6" t="str">
        <f>IFERROR(__xludf.DUMMYFUNCTION("""COMPUTED_VALUE"""),"1oncZrzGawvfNWTdhWsLhXGKvrApliYXhCf81eUnkV20")</f>
        <v>1oncZrzGawvfNWTdhWsLhXGKvrApliYXhCf81eUnkV20</v>
      </c>
      <c r="E60" s="6" t="str">
        <f>IFERROR(__xludf.DUMMYFUNCTION("""COMPUTED_VALUE"""),"1eMKEvvWQ4yFq38z3ks0ZmIZ43xAVGgyM")</f>
        <v>1eMKEvvWQ4yFq38z3ks0ZmIZ43xAVGgyM</v>
      </c>
    </row>
    <row r="61" ht="15.75" customHeight="1">
      <c r="A61" s="6" t="str">
        <f>IFERROR(__xludf.DUMMYFUNCTION("""COMPUTED_VALUE"""),"966 - Seguridad y Auditoría de Redes de Computadoras")</f>
        <v>966 - Seguridad y Auditoría de Redes de Computadoras</v>
      </c>
      <c r="B61" s="6"/>
      <c r="C61" s="6"/>
      <c r="D61" s="6"/>
      <c r="E61" s="6"/>
    </row>
    <row r="62" ht="15.75" customHeight="1">
      <c r="A62" s="6" t="str">
        <f>IFERROR(__xludf.DUMMYFUNCTION("""COMPUTED_VALUE"""),"785 - Análisis y Diseño de Sistemas 2")</f>
        <v>785 - Análisis y Diseño de Sistemas 2</v>
      </c>
      <c r="B62" s="6" t="str">
        <f>IFERROR(__xludf.DUMMYFUNCTION("""COMPUTED_VALUE"""),"1_ufF1kvClwUUTsCz0V0fLuXjs_JRZWRSMCWkUEd8co4")</f>
        <v>1_ufF1kvClwUUTsCz0V0fLuXjs_JRZWRSMCWkUEd8co4</v>
      </c>
      <c r="C62" s="6" t="str">
        <f>IFERROR(__xludf.DUMMYFUNCTION("""COMPUTED_VALUE"""),"1HaBdPkxZx1GRiw5WlqxQhbxPWuW-mZVFEoUho7tsLDY")</f>
        <v>1HaBdPkxZx1GRiw5WlqxQhbxPWuW-mZVFEoUho7tsLDY</v>
      </c>
      <c r="D62" s="6"/>
      <c r="E62" s="6"/>
    </row>
    <row r="63" ht="15.75" customHeight="1">
      <c r="A63" s="6" t="str">
        <f>IFERROR(__xludf.DUMMYFUNCTION("""COMPUTED_VALUE"""),"798 - Seminario de Sistemas 2")</f>
        <v>798 - Seminario de Sistemas 2</v>
      </c>
      <c r="B63" s="6" t="str">
        <f>IFERROR(__xludf.DUMMYFUNCTION("""COMPUTED_VALUE"""),"1v6hbJdWzxkj7s5D7oM894pu3kMAvhEZGXUMfRFv7yKQ")</f>
        <v>1v6hbJdWzxkj7s5D7oM894pu3kMAvhEZGXUMfRFv7yKQ</v>
      </c>
      <c r="C63" s="6" t="str">
        <f>IFERROR(__xludf.DUMMYFUNCTION("""COMPUTED_VALUE"""),"1LxPO_wuZRiAXrS1EicVG-gQWzjILKll8Nqvs3MS7G_k")</f>
        <v>1LxPO_wuZRiAXrS1EicVG-gQWzjILKll8Nqvs3MS7G_k</v>
      </c>
      <c r="D63" s="6" t="str">
        <f>IFERROR(__xludf.DUMMYFUNCTION("""COMPUTED_VALUE"""),"1BWLmO3asfl7g244aKrskvOVVUItkuDglmE1c2bmkR30")</f>
        <v>1BWLmO3asfl7g244aKrskvOVVUItkuDglmE1c2bmkR30</v>
      </c>
      <c r="E63" s="6" t="str">
        <f>IFERROR(__xludf.DUMMYFUNCTION("""COMPUTED_VALUE"""),"1Aq8boJeyyodIKEdkrfe9fWB5RIGSLDb5")</f>
        <v>1Aq8boJeyyodIKEdkrfe9fWB5RIGSLDb5</v>
      </c>
    </row>
    <row r="64" ht="15.75" customHeight="1">
      <c r="A64" s="6" t="str">
        <f>IFERROR(__xludf.DUMMYFUNCTION("""COMPUTED_VALUE"""),"788 - Sistemas Aplicados 1")</f>
        <v>788 - Sistemas Aplicados 1</v>
      </c>
      <c r="B64" s="6"/>
      <c r="C64" s="6"/>
      <c r="D64" s="6"/>
      <c r="E64" s="6"/>
    </row>
    <row r="65" ht="15.75" customHeight="1">
      <c r="A65" s="6" t="str">
        <f>IFERROR(__xludf.DUMMYFUNCTION("""COMPUTED_VALUE"""),"776 - Bases de Datos Avanzadas")</f>
        <v>776 - Bases de Datos Avanzadas</v>
      </c>
      <c r="B65" s="6" t="str">
        <f>IFERROR(__xludf.DUMMYFUNCTION("""COMPUTED_VALUE"""),"1SZ2dJz29IsruB5vMYQ514xwGe6wyVx6cjMu_iwnHpFo")</f>
        <v>1SZ2dJz29IsruB5vMYQ514xwGe6wyVx6cjMu_iwnHpFo</v>
      </c>
      <c r="C65" s="6"/>
      <c r="D65" s="6"/>
      <c r="E65" s="6"/>
    </row>
    <row r="66" ht="15.75" customHeight="1">
      <c r="A66" s="6" t="str">
        <f>IFERROR(__xludf.DUMMYFUNCTION("""COMPUTED_VALUE"""),"2009 - Prácticas Finales Ingeniería Ciencias y Sistemas")</f>
        <v>2009 - Prácticas Finales Ingeniería Ciencias y Sistemas</v>
      </c>
      <c r="B66" s="6"/>
      <c r="C66" s="6"/>
      <c r="D66" s="6"/>
      <c r="E66" s="6"/>
    </row>
    <row r="67" ht="15.75" customHeight="1">
      <c r="A67" s="6" t="str">
        <f>IFERROR(__xludf.DUMMYFUNCTION("""COMPUTED_VALUE"""),"720 - Modelación y Simulación 2")</f>
        <v>720 - Modelación y Simulación 2</v>
      </c>
      <c r="B67" s="6" t="str">
        <f>IFERROR(__xludf.DUMMYFUNCTION("""COMPUTED_VALUE"""),"1ebc3-I4AbsLDHtzhtolQz7pqZDPvmSE0yZJu1xY6lLY")</f>
        <v>1ebc3-I4AbsLDHtzhtolQz7pqZDPvmSE0yZJu1xY6lLY</v>
      </c>
      <c r="C67" s="6" t="str">
        <f>IFERROR(__xludf.DUMMYFUNCTION("""COMPUTED_VALUE"""),"1VnSdYE6hCH1oAG4XdaAltDp-IuIjLZzv9KdrOGh2-0Y")</f>
        <v>1VnSdYE6hCH1oAG4XdaAltDp-IuIjLZzv9KdrOGh2-0Y</v>
      </c>
      <c r="D67" s="6" t="str">
        <f>IFERROR(__xludf.DUMMYFUNCTION("""COMPUTED_VALUE"""),"1LLT4wjh6eEkdi7y6_yd99pbR2Q8NPBHYmsciMZpRqUE")</f>
        <v>1LLT4wjh6eEkdi7y6_yd99pbR2Q8NPBHYmsciMZpRqUE</v>
      </c>
      <c r="E67" s="6" t="str">
        <f>IFERROR(__xludf.DUMMYFUNCTION("""COMPUTED_VALUE"""),"11D7BpB1NYAQLsl-xomWKo7ibetJ_b2JE")</f>
        <v>11D7BpB1NYAQLsl-xomWKo7ibetJ_b2JE</v>
      </c>
    </row>
    <row r="68" ht="15.75" customHeight="1">
      <c r="A68" s="6" t="str">
        <f>IFERROR(__xludf.DUMMYFUNCTION("""COMPUTED_VALUE"""),"787 - Sistemas Organizacionales y Gerenciales 2")</f>
        <v>787 - Sistemas Organizacionales y Gerenciales 2</v>
      </c>
      <c r="B68" s="6" t="str">
        <f>IFERROR(__xludf.DUMMYFUNCTION("""COMPUTED_VALUE"""),"1KpYHYX_EAJ-h4GLtSoCT8Rqz-xU4Qh5pUnEiPyxmEZA")</f>
        <v>1KpYHYX_EAJ-h4GLtSoCT8Rqz-xU4Qh5pUnEiPyxmEZA</v>
      </c>
      <c r="C68" s="6" t="str">
        <f>IFERROR(__xludf.DUMMYFUNCTION("""COMPUTED_VALUE"""),"106SYnPHxQ47_qT62NOXndjd6mPwE7LV7AXR9D4-euB8")</f>
        <v>106SYnPHxQ47_qT62NOXndjd6mPwE7LV7AXR9D4-euB8</v>
      </c>
      <c r="D68" s="6" t="str">
        <f>IFERROR(__xludf.DUMMYFUNCTION("""COMPUTED_VALUE"""),"1uo3-u0rbLWUGIyMydUz-lOWpj7xdx2oKwNH9T1cU12A")</f>
        <v>1uo3-u0rbLWUGIyMydUz-lOWpj7xdx2oKwNH9T1cU12A</v>
      </c>
      <c r="E68" s="6" t="str">
        <f>IFERROR(__xludf.DUMMYFUNCTION("""COMPUTED_VALUE"""),"1wmyYrKnHpQJd0Iebc9cCHZwq93Te5Iq8")</f>
        <v>1wmyYrKnHpQJd0Iebc9cCHZwq93Te5Iq8</v>
      </c>
    </row>
    <row r="69" ht="15.75" customHeight="1">
      <c r="A69" s="6" t="str">
        <f>IFERROR(__xludf.DUMMYFUNCTION("""COMPUTED_VALUE"""),"790 - Emprendedores de Negocios Informáticos")</f>
        <v>790 - Emprendedores de Negocios Informáticos</v>
      </c>
      <c r="B69" s="6"/>
      <c r="C69" s="6"/>
      <c r="D69" s="6"/>
      <c r="E69" s="6"/>
    </row>
    <row r="70" ht="15.75" customHeight="1">
      <c r="A70" s="6" t="str">
        <f>IFERROR(__xludf.DUMMYFUNCTION("""COMPUTED_VALUE"""),"968 - Inteligencia Artificial 2")</f>
        <v>968 - Inteligencia Artificial 2</v>
      </c>
      <c r="B70" s="6"/>
      <c r="C70" s="6"/>
      <c r="D70" s="6"/>
      <c r="E70" s="6"/>
    </row>
    <row r="71" ht="15.75" customHeight="1">
      <c r="A71" s="6" t="str">
        <f>IFERROR(__xludf.DUMMYFUNCTION("""COMPUTED_VALUE"""),"974 - Redes de Nueva Generación")</f>
        <v>974 - Redes de Nueva Generación</v>
      </c>
      <c r="B71" s="6"/>
      <c r="C71" s="6"/>
      <c r="D71" s="6"/>
      <c r="E71" s="6"/>
    </row>
    <row r="72" ht="15.75" customHeight="1">
      <c r="A72" s="6" t="str">
        <f>IFERROR(__xludf.DUMMYFUNCTION("""COMPUTED_VALUE"""),"780 - Software Avanzado")</f>
        <v>780 - Software Avanzado</v>
      </c>
      <c r="B72" s="6" t="str">
        <f>IFERROR(__xludf.DUMMYFUNCTION("""COMPUTED_VALUE"""),"1SZ2dJz29IsruB5vMYQ514xwGe6wyVx6cjMu_iwnHpFo")</f>
        <v>1SZ2dJz29IsruB5vMYQ514xwGe6wyVx6cjMu_iwnHpFo</v>
      </c>
      <c r="C72" s="6" t="str">
        <f>IFERROR(__xludf.DUMMYFUNCTION("""COMPUTED_VALUE"""),"13JrqVT0c3I6SzCOF1sKpi1qJKOryNTT4TsCaNwuV-24")</f>
        <v>13JrqVT0c3I6SzCOF1sKpi1qJKOryNTT4TsCaNwuV-24</v>
      </c>
      <c r="D72" s="6" t="str">
        <f>IFERROR(__xludf.DUMMYFUNCTION("""COMPUTED_VALUE"""),"1QVpX8zi83Rr6KfcUvSEKp9NqRCfEFmL1eZ88Oeeolto")</f>
        <v>1QVpX8zi83Rr6KfcUvSEKp9NqRCfEFmL1eZ88Oeeolto</v>
      </c>
      <c r="E72" s="6" t="str">
        <f>IFERROR(__xludf.DUMMYFUNCTION("""COMPUTED_VALUE"""),"1j6tUIPNPfK0lVrpQxNZKyB23LcXzn5Ge")</f>
        <v>1j6tUIPNPfK0lVrpQxNZKyB23LcXzn5Ge</v>
      </c>
    </row>
    <row r="73" ht="15.75" customHeight="1">
      <c r="A73" s="6" t="str">
        <f>IFERROR(__xludf.DUMMYFUNCTION("""COMPUTED_VALUE"""),"789 - Sistemas Aplicados 2")</f>
        <v>789 - Sistemas Aplicados 2</v>
      </c>
      <c r="B73" s="6"/>
      <c r="C73" s="6"/>
      <c r="D73" s="6"/>
      <c r="E73" s="6"/>
    </row>
    <row r="74" ht="15.75" customHeight="1">
      <c r="A74" s="6" t="str">
        <f>IFERROR(__xludf.DUMMYFUNCTION("""COMPUTED_VALUE"""),"735 - Auditoría de Proyectos de Software")</f>
        <v>735 - Auditoría de Proyectos de Software</v>
      </c>
      <c r="B74" s="6"/>
      <c r="C74" s="6"/>
      <c r="D74" s="6"/>
      <c r="E74" s="6"/>
    </row>
    <row r="75" ht="15.75" customHeight="1">
      <c r="A75" s="6" t="str">
        <f>IFERROR(__xludf.DUMMYFUNCTION("""COMPUTED_VALUE"""),"7999 - Seminario de Investigación EPS Sistemas")</f>
        <v>7999 - Seminario de Investigación EPS Sistemas</v>
      </c>
      <c r="B75" s="6"/>
      <c r="C75" s="6"/>
      <c r="D75" s="6"/>
      <c r="E75" s="6"/>
    </row>
    <row r="76" ht="15.75" customHeight="1">
      <c r="A76" s="6" t="str">
        <f>IFERROR(__xludf.DUMMYFUNCTION("""COMPUTED_VALUE"""),"799 - Seminario de Investigación")</f>
        <v>799 - Seminario de Investigación</v>
      </c>
      <c r="B76" s="6"/>
      <c r="C76" s="6"/>
      <c r="D76" s="6"/>
      <c r="E76" s="6"/>
    </row>
    <row r="77" ht="15.75" customHeight="1">
      <c r="A77" s="6" t="str">
        <f>IFERROR(__xludf.DUMMYFUNCTION("""COMPUTED_VALUE"""),"90 - Programacion de Computadoras 1")</f>
        <v>90 - Programacion de Computadoras 1</v>
      </c>
      <c r="B77" s="6" t="str">
        <f>IFERROR(__xludf.DUMMYFUNCTION("""COMPUTED_VALUE"""),"1qvDDGj5yCc7f5CzNszeAsW2HPXfptQjvWIcbjskCMYM")</f>
        <v>1qvDDGj5yCc7f5CzNszeAsW2HPXfptQjvWIcbjskCMYM</v>
      </c>
      <c r="C77" s="6" t="str">
        <f>IFERROR(__xludf.DUMMYFUNCTION("""COMPUTED_VALUE"""),"1YPGQg3r0TE0ZsibgKarHMDVR2FLaHLC0G5O84_GpNhw")</f>
        <v>1YPGQg3r0TE0ZsibgKarHMDVR2FLaHLC0G5O84_GpNhw</v>
      </c>
      <c r="D77" s="6" t="str">
        <f>IFERROR(__xludf.DUMMYFUNCTION("""COMPUTED_VALUE"""),"1A_jprbCHQlF7SUg-tly0Ak7hJtMh8U9qL3lUg0S2T4U")</f>
        <v>1A_jprbCHQlF7SUg-tly0Ak7hJtMh8U9qL3lUg0S2T4U</v>
      </c>
      <c r="E77" s="6" t="str">
        <f>IFERROR(__xludf.DUMMYFUNCTION("""COMPUTED_VALUE"""),"1QT0XgtJhS0WdXvrmJ9l5fhkQxyPS7eMI")</f>
        <v>1QT0XgtJhS0WdXvrmJ9l5fhkQxyPS7eMI</v>
      </c>
    </row>
    <row r="78" ht="15.75" customHeight="1">
      <c r="A78" s="6" t="str">
        <f>IFERROR(__xludf.DUMMYFUNCTION("""COMPUTED_VALUE"""),"92 - Programacion de Computadoras 2")</f>
        <v>92 - Programacion de Computadoras 2</v>
      </c>
      <c r="B78" s="6" t="str">
        <f>IFERROR(__xludf.DUMMYFUNCTION("""COMPUTED_VALUE"""),"1SCiXODhHsEGBVGnnYk9ZrO_gSOSvcGwu7lDEJBfLaEw")</f>
        <v>1SCiXODhHsEGBVGnnYk9ZrO_gSOSvcGwu7lDEJBfLaEw</v>
      </c>
      <c r="C78" s="6" t="str">
        <f>IFERROR(__xludf.DUMMYFUNCTION("""COMPUTED_VALUE"""),"1Bf3nWt47xcnM3VU3BvJaD4AcWQd-1GK4pJm4b69PzDk")</f>
        <v>1Bf3nWt47xcnM3VU3BvJaD4AcWQd-1GK4pJm4b69PzDk</v>
      </c>
      <c r="D78" s="6" t="str">
        <f>IFERROR(__xludf.DUMMYFUNCTION("""COMPUTED_VALUE"""),"1DHgSe2VDZ9KBUhl4_7NdyzagI7iar5NJSgD9rUtytdY")</f>
        <v>1DHgSe2VDZ9KBUhl4_7NdyzagI7iar5NJSgD9rUtytdY</v>
      </c>
      <c r="E78" s="6" t="str">
        <f>IFERROR(__xludf.DUMMYFUNCTION("""COMPUTED_VALUE"""),"1FHqe10A7z4kQFMWfvfI8tkxBkAgiF7u2e1XlqT1-63E")</f>
        <v>1FHqe10A7z4kQFMWfvfI8tkxBkAgiF7u2e1XlqT1-63E</v>
      </c>
    </row>
    <row r="79" ht="15.75" customHeight="1">
      <c r="A79" s="6" t="str">
        <f>IFERROR(__xludf.DUMMYFUNCTION("""COMPUTED_VALUE"""),"667 - Programacion Comercial 1")</f>
        <v>667 - Programacion Comercial 1</v>
      </c>
      <c r="B79" s="6" t="str">
        <f>IFERROR(__xludf.DUMMYFUNCTION("""COMPUTED_VALUE"""),"1q-0CM7N_hXOxknvTAL7P8U9-t9hqpm1-3l5E6r3G-qg")</f>
        <v>1q-0CM7N_hXOxknvTAL7P8U9-t9hqpm1-3l5E6r3G-qg</v>
      </c>
      <c r="C79" s="6" t="str">
        <f>IFERROR(__xludf.DUMMYFUNCTION("""COMPUTED_VALUE"""),"1R41rwbBQZrh9qjZ3XYjH5mTM9rwh34s58Htn787_YnY")</f>
        <v>1R41rwbBQZrh9qjZ3XYjH5mTM9rwh34s58Htn787_YnY</v>
      </c>
      <c r="D79" s="6" t="str">
        <f>IFERROR(__xludf.DUMMYFUNCTION("""COMPUTED_VALUE"""),"1s3J2CHGyPGSPwPm7T7m5o_7sQCrWwpQ5xqzAk04bgVA")</f>
        <v>1s3J2CHGyPGSPwPm7T7m5o_7sQCrWwpQ5xqzAk04bgVA</v>
      </c>
      <c r="E79" s="6" t="str">
        <f>IFERROR(__xludf.DUMMYFUNCTION("""COMPUTED_VALUE"""),"1VSynsMtKbK1ktIqRzKf6QEpnepidsJka")</f>
        <v>1VSynsMtKbK1ktIqRzKf6QEpnepidsJka</v>
      </c>
    </row>
    <row r="80" ht="15.75" customHeight="1">
      <c r="A80" s="6" t="str">
        <f>IFERROR(__xludf.DUMMYFUNCTION("""COMPUTED_VALUE"""),"768 - Algoritmos")</f>
        <v>768 - Algoritmos</v>
      </c>
      <c r="B80" s="6" t="str">
        <f>IFERROR(__xludf.DUMMYFUNCTION("""COMPUTED_VALUE"""),"1SjAd6zUsLAnVyCAYH7AjoRBdaM836qJGVSbcpa5npcA")</f>
        <v>1SjAd6zUsLAnVyCAYH7AjoRBdaM836qJGVSbcpa5npcA</v>
      </c>
      <c r="C80" s="6" t="str">
        <f>IFERROR(__xludf.DUMMYFUNCTION("""COMPUTED_VALUE"""),"1afm0IKlaJOgHVN4bCH6AUAoNUqhq0_44_T5aENeyCWo")</f>
        <v>1afm0IKlaJOgHVN4bCH6AUAoNUqhq0_44_T5aENeyCWo</v>
      </c>
      <c r="D80" s="6" t="str">
        <f>IFERROR(__xludf.DUMMYFUNCTION("""COMPUTED_VALUE"""),"1G1fW33CrLmmI1Pxdgw_cAdUJKRHg8LpG4-p2vnoWUqw")</f>
        <v>1G1fW33CrLmmI1Pxdgw_cAdUJKRHg8LpG4-p2vnoWUqw</v>
      </c>
      <c r="E80" s="6" t="str">
        <f>IFERROR(__xludf.DUMMYFUNCTION("""COMPUTED_VALUE"""),"1ySU7wJA5-EonRSWzEsgL03LPoX0Yz7rw")</f>
        <v>1ySU7wJA5-EonRSWzEsgL03LPoX0Yz7rw</v>
      </c>
    </row>
    <row r="81" ht="15.75" customHeight="1">
      <c r="A81" s="6" t="str">
        <f>IFERROR(__xludf.DUMMYFUNCTION("""COMPUTED_VALUE"""),"0089 - Comunicación Asertiva")</f>
        <v>0089 - Comunicación Asertiva</v>
      </c>
      <c r="B81" s="6"/>
      <c r="C81" s="6"/>
      <c r="D81" s="6" t="str">
        <f>IFERROR(__xludf.DUMMYFUNCTION("""COMPUTED_VALUE"""),"1_Ei-qZBLFjKXYNiETo-SLQ_i6LLtwBqz0DelGIPi31I")</f>
        <v>1_Ei-qZBLFjKXYNiETo-SLQ_i6LLtwBqz0DelGIPi31I</v>
      </c>
      <c r="E81" s="6" t="str">
        <f>IFERROR(__xludf.DUMMYFUNCTION("""COMPUTED_VALUE"""),"10NGlQjOf6PbS47vS9QrPsz0UIEnfLTPH")</f>
        <v>10NGlQjOf6PbS47vS9QrPsz0UIEnfLTPH</v>
      </c>
    </row>
    <row r="82" ht="15.75" customHeight="1">
      <c r="A82" s="6"/>
      <c r="B82" s="6"/>
      <c r="C82" s="6"/>
      <c r="D82" s="6"/>
      <c r="E82" s="6"/>
    </row>
    <row r="83" ht="15.75" customHeight="1">
      <c r="A83" s="6"/>
      <c r="B83" s="6"/>
      <c r="C83" s="6"/>
      <c r="D83" s="6"/>
      <c r="E83" s="6"/>
    </row>
    <row r="84" ht="15.75" customHeight="1">
      <c r="A84" s="6"/>
      <c r="B84" s="6"/>
      <c r="C84" s="6"/>
      <c r="D84" s="6"/>
      <c r="E84" s="6"/>
    </row>
    <row r="85" ht="15.75" customHeight="1">
      <c r="A85" s="6"/>
      <c r="B85" s="6"/>
      <c r="C85" s="6"/>
      <c r="D85" s="6"/>
      <c r="E85" s="6"/>
    </row>
    <row r="86" ht="15.75" customHeight="1">
      <c r="A86" s="6"/>
      <c r="B86" s="6"/>
      <c r="C86" s="6"/>
      <c r="D86" s="6"/>
      <c r="E86" s="6"/>
    </row>
    <row r="87" ht="15.75" customHeight="1">
      <c r="A87" s="6"/>
      <c r="B87" s="6"/>
      <c r="C87" s="6"/>
      <c r="D87" s="6"/>
      <c r="E87" s="6"/>
    </row>
    <row r="88" ht="15.75" customHeight="1">
      <c r="A88" s="6"/>
      <c r="B88" s="6"/>
      <c r="C88" s="6"/>
      <c r="D88" s="6"/>
      <c r="E88" s="6"/>
    </row>
    <row r="89" ht="15.75" customHeight="1">
      <c r="A89" s="6"/>
      <c r="B89" s="6"/>
      <c r="C89" s="6"/>
      <c r="D89" s="6"/>
      <c r="E89" s="6"/>
    </row>
    <row r="90" ht="15.75" customHeight="1">
      <c r="A90" s="6"/>
      <c r="B90" s="6"/>
      <c r="C90" s="6"/>
      <c r="D90" s="6"/>
      <c r="E90" s="6"/>
    </row>
    <row r="91" ht="15.75" customHeight="1">
      <c r="A91" s="6"/>
      <c r="B91" s="6"/>
      <c r="C91" s="6"/>
      <c r="D91" s="6"/>
      <c r="E91" s="6"/>
    </row>
    <row r="92" ht="15.75" customHeight="1">
      <c r="A92" s="6"/>
      <c r="B92" s="6"/>
      <c r="C92" s="6"/>
      <c r="D92" s="6"/>
      <c r="E92" s="6"/>
    </row>
    <row r="93" ht="15.75" customHeight="1">
      <c r="A93" s="6"/>
      <c r="B93" s="6"/>
      <c r="C93" s="6"/>
      <c r="D93" s="6"/>
      <c r="E93" s="6"/>
    </row>
    <row r="94" ht="15.75" customHeight="1">
      <c r="A94" s="6"/>
      <c r="B94" s="6"/>
      <c r="C94" s="6"/>
      <c r="D94" s="6"/>
      <c r="E94" s="6"/>
    </row>
    <row r="95" ht="15.75" customHeight="1">
      <c r="A95" s="6"/>
      <c r="B95" s="6"/>
      <c r="C95" s="6"/>
      <c r="D95" s="6"/>
      <c r="E95" s="6"/>
    </row>
    <row r="96" ht="15.75" customHeight="1">
      <c r="A96" s="6"/>
      <c r="B96" s="6"/>
      <c r="C96" s="6"/>
      <c r="D96" s="6"/>
      <c r="E96" s="6"/>
    </row>
    <row r="97" ht="15.75" customHeight="1">
      <c r="A97" s="6"/>
      <c r="B97" s="6"/>
      <c r="C97" s="6"/>
      <c r="D97" s="6"/>
      <c r="E97" s="6"/>
    </row>
    <row r="98" ht="15.75" customHeight="1">
      <c r="A98" s="6"/>
      <c r="B98" s="6"/>
      <c r="C98" s="6"/>
      <c r="D98" s="6"/>
      <c r="E98" s="6"/>
    </row>
    <row r="99" ht="15.75" customHeight="1">
      <c r="A99" s="6"/>
      <c r="B99" s="6"/>
      <c r="C99" s="6"/>
      <c r="D99" s="6"/>
      <c r="E99" s="6"/>
    </row>
    <row r="100" ht="15.75" customHeight="1">
      <c r="A100" s="6"/>
      <c r="B100" s="6"/>
      <c r="C100" s="6"/>
      <c r="D100" s="6"/>
      <c r="E100" s="6"/>
    </row>
    <row r="101" ht="15.75" customHeight="1">
      <c r="A101" s="6"/>
      <c r="B101" s="6"/>
      <c r="C101" s="6"/>
      <c r="D101" s="6"/>
      <c r="E101" s="6"/>
    </row>
    <row r="102" ht="15.75" customHeight="1">
      <c r="A102" s="6"/>
      <c r="B102" s="6"/>
      <c r="C102" s="6"/>
      <c r="D102" s="6"/>
      <c r="E102" s="6"/>
    </row>
    <row r="103" ht="15.75" customHeight="1">
      <c r="A103" s="6"/>
      <c r="B103" s="6"/>
      <c r="C103" s="6"/>
      <c r="D103" s="6"/>
      <c r="E103" s="6"/>
    </row>
    <row r="104" ht="15.75" customHeight="1">
      <c r="A104" s="6"/>
      <c r="B104" s="6"/>
      <c r="C104" s="6"/>
      <c r="D104" s="6"/>
      <c r="E104" s="6"/>
    </row>
    <row r="105" ht="15.75" customHeight="1">
      <c r="A105" s="6"/>
      <c r="B105" s="6"/>
      <c r="C105" s="6"/>
      <c r="D105" s="6"/>
      <c r="E105" s="6"/>
    </row>
    <row r="106" ht="15.75" customHeight="1">
      <c r="A106" s="6"/>
      <c r="B106" s="6"/>
      <c r="C106" s="6"/>
      <c r="D106" s="6"/>
      <c r="E106" s="6"/>
    </row>
    <row r="107" ht="15.75" customHeight="1">
      <c r="A107" s="6"/>
      <c r="B107" s="6"/>
      <c r="C107" s="6"/>
      <c r="D107" s="6"/>
      <c r="E107" s="6"/>
    </row>
    <row r="108" ht="15.75" customHeight="1">
      <c r="A108" s="6"/>
      <c r="B108" s="6"/>
      <c r="C108" s="6"/>
      <c r="D108" s="6"/>
      <c r="E108" s="6"/>
    </row>
    <row r="109" ht="15.75" customHeight="1">
      <c r="A109" s="6"/>
      <c r="B109" s="6"/>
      <c r="C109" s="6"/>
      <c r="D109" s="6"/>
      <c r="E109" s="6"/>
    </row>
    <row r="110" ht="15.75" customHeight="1">
      <c r="A110" s="6"/>
      <c r="B110" s="6"/>
      <c r="C110" s="6"/>
      <c r="D110" s="6"/>
      <c r="E110" s="6"/>
    </row>
    <row r="111" ht="15.75" customHeight="1">
      <c r="A111" s="6"/>
      <c r="B111" s="6"/>
      <c r="C111" s="6"/>
      <c r="D111" s="6"/>
      <c r="E111" s="6"/>
    </row>
    <row r="112" ht="15.75" customHeight="1">
      <c r="A112" s="6"/>
      <c r="B112" s="6"/>
      <c r="C112" s="6"/>
      <c r="D112" s="6"/>
      <c r="E112" s="6"/>
    </row>
    <row r="113" ht="15.75" customHeight="1">
      <c r="A113" s="6"/>
      <c r="B113" s="6"/>
      <c r="C113" s="6"/>
      <c r="D113" s="6"/>
      <c r="E113" s="6"/>
    </row>
    <row r="114" ht="15.75" customHeight="1">
      <c r="A114" s="6"/>
      <c r="B114" s="6"/>
      <c r="C114" s="6"/>
      <c r="D114" s="6"/>
      <c r="E114" s="6"/>
    </row>
    <row r="115" ht="15.75" customHeight="1">
      <c r="A115" s="6"/>
      <c r="B115" s="6"/>
      <c r="C115" s="6"/>
      <c r="D115" s="6"/>
      <c r="E115" s="6"/>
    </row>
    <row r="116" ht="15.75" customHeight="1">
      <c r="A116" s="6"/>
      <c r="B116" s="6"/>
      <c r="C116" s="6"/>
      <c r="D116" s="6"/>
      <c r="E116" s="6"/>
    </row>
    <row r="117" ht="15.75" customHeight="1">
      <c r="A117" s="6"/>
      <c r="B117" s="6"/>
      <c r="C117" s="6"/>
      <c r="D117" s="6"/>
      <c r="E117" s="6"/>
    </row>
    <row r="118" ht="15.75" customHeight="1">
      <c r="A118" s="6"/>
      <c r="B118" s="6"/>
      <c r="C118" s="6"/>
      <c r="D118" s="6"/>
      <c r="E118" s="6"/>
    </row>
    <row r="119" ht="15.75" customHeight="1">
      <c r="A119" s="6"/>
      <c r="B119" s="6"/>
      <c r="C119" s="6"/>
      <c r="D119" s="6"/>
      <c r="E119" s="6"/>
    </row>
    <row r="120" ht="15.75" customHeight="1">
      <c r="A120" s="6"/>
      <c r="B120" s="6"/>
      <c r="C120" s="6"/>
      <c r="D120" s="6"/>
      <c r="E120" s="6"/>
    </row>
    <row r="121" ht="15.75" customHeight="1">
      <c r="A121" s="6"/>
      <c r="B121" s="6"/>
      <c r="C121" s="6"/>
      <c r="D121" s="6"/>
      <c r="E121" s="6"/>
    </row>
    <row r="122" ht="15.75" customHeight="1">
      <c r="A122" s="6"/>
      <c r="B122" s="6"/>
      <c r="C122" s="6"/>
      <c r="D122" s="6"/>
      <c r="E122" s="6"/>
    </row>
    <row r="123" ht="15.75" customHeight="1">
      <c r="A123" s="6"/>
      <c r="B123" s="6"/>
      <c r="C123" s="6"/>
      <c r="D123" s="6"/>
      <c r="E123" s="6"/>
    </row>
    <row r="124" ht="15.75" customHeight="1">
      <c r="A124" s="6"/>
      <c r="B124" s="6"/>
      <c r="C124" s="6"/>
      <c r="D124" s="6"/>
      <c r="E124" s="6"/>
    </row>
    <row r="125" ht="15.75" customHeight="1">
      <c r="A125" s="6"/>
      <c r="B125" s="6"/>
      <c r="C125" s="6"/>
      <c r="D125" s="6"/>
      <c r="E125" s="6"/>
    </row>
    <row r="126" ht="15.75" customHeight="1">
      <c r="A126" s="6"/>
      <c r="B126" s="6"/>
      <c r="C126" s="6"/>
      <c r="D126" s="6"/>
      <c r="E126" s="6"/>
    </row>
    <row r="127" ht="15.75" customHeight="1">
      <c r="A127" s="6"/>
      <c r="B127" s="6"/>
      <c r="C127" s="6"/>
      <c r="D127" s="6"/>
      <c r="E127" s="6"/>
    </row>
    <row r="128" ht="15.75" customHeight="1">
      <c r="A128" s="6"/>
      <c r="B128" s="6"/>
      <c r="C128" s="6"/>
      <c r="D128" s="6"/>
      <c r="E128" s="6"/>
    </row>
    <row r="129" ht="15.75" customHeight="1">
      <c r="A129" s="6"/>
      <c r="B129" s="6"/>
      <c r="C129" s="6"/>
      <c r="D129" s="6"/>
      <c r="E129" s="6"/>
    </row>
    <row r="130" ht="15.75" customHeight="1">
      <c r="A130" s="6"/>
      <c r="B130" s="6"/>
      <c r="C130" s="6"/>
      <c r="D130" s="6"/>
      <c r="E130" s="6"/>
    </row>
    <row r="131" ht="15.75" customHeight="1">
      <c r="A131" s="6"/>
      <c r="B131" s="6"/>
      <c r="C131" s="6"/>
      <c r="D131" s="6"/>
      <c r="E131" s="6"/>
    </row>
    <row r="132" ht="15.75" customHeight="1">
      <c r="A132" s="6"/>
      <c r="B132" s="6"/>
      <c r="C132" s="6"/>
      <c r="D132" s="6"/>
      <c r="E132" s="6"/>
    </row>
    <row r="133" ht="15.75" customHeight="1">
      <c r="A133" s="6"/>
      <c r="B133" s="6"/>
      <c r="C133" s="6"/>
      <c r="D133" s="6"/>
      <c r="E133" s="6"/>
    </row>
    <row r="134" ht="15.75" customHeight="1">
      <c r="A134" s="6"/>
      <c r="B134" s="6"/>
      <c r="C134" s="6"/>
      <c r="D134" s="6"/>
      <c r="E134" s="6"/>
    </row>
    <row r="135" ht="15.75" customHeight="1">
      <c r="A135" s="6"/>
      <c r="B135" s="6"/>
      <c r="C135" s="6"/>
      <c r="D135" s="6"/>
      <c r="E135" s="6"/>
    </row>
    <row r="136" ht="15.75" customHeight="1">
      <c r="A136" s="6"/>
      <c r="B136" s="6"/>
      <c r="C136" s="6"/>
      <c r="D136" s="6"/>
      <c r="E136" s="6"/>
    </row>
    <row r="137" ht="15.75" customHeight="1">
      <c r="A137" s="6"/>
      <c r="B137" s="6"/>
      <c r="C137" s="6"/>
      <c r="D137" s="6"/>
      <c r="E137" s="6"/>
    </row>
    <row r="138" ht="15.75" customHeight="1">
      <c r="A138" s="6"/>
      <c r="B138" s="6"/>
      <c r="C138" s="6"/>
      <c r="D138" s="6"/>
      <c r="E138" s="6"/>
    </row>
    <row r="139" ht="15.75" customHeight="1">
      <c r="A139" s="6"/>
      <c r="B139" s="6"/>
      <c r="C139" s="6"/>
      <c r="D139" s="6"/>
      <c r="E139" s="6"/>
    </row>
    <row r="140" ht="15.75" customHeight="1">
      <c r="A140" s="6"/>
      <c r="B140" s="6"/>
      <c r="C140" s="6"/>
      <c r="D140" s="6"/>
      <c r="E140" s="6"/>
    </row>
    <row r="141" ht="15.75" customHeight="1">
      <c r="A141" s="6"/>
      <c r="B141" s="6"/>
      <c r="C141" s="6"/>
      <c r="D141" s="6"/>
      <c r="E141" s="6"/>
    </row>
    <row r="142" ht="15.75" customHeight="1">
      <c r="A142" s="6"/>
      <c r="B142" s="6"/>
      <c r="C142" s="6"/>
      <c r="D142" s="6"/>
      <c r="E142" s="6"/>
    </row>
    <row r="143" ht="15.75" customHeight="1">
      <c r="A143" s="6"/>
      <c r="B143" s="6"/>
      <c r="C143" s="6"/>
      <c r="D143" s="6"/>
      <c r="E143" s="6"/>
    </row>
    <row r="144" ht="15.75" customHeight="1">
      <c r="A144" s="6"/>
      <c r="B144" s="6"/>
      <c r="C144" s="6"/>
      <c r="D144" s="6"/>
      <c r="E144" s="6"/>
    </row>
    <row r="145" ht="15.75" customHeight="1">
      <c r="A145" s="6"/>
      <c r="B145" s="6"/>
      <c r="C145" s="6"/>
      <c r="D145" s="6"/>
      <c r="E145" s="6"/>
    </row>
    <row r="146" ht="15.75" customHeight="1">
      <c r="A146" s="6"/>
      <c r="B146" s="6"/>
      <c r="C146" s="6"/>
      <c r="D146" s="6"/>
      <c r="E146" s="6"/>
    </row>
    <row r="147" ht="15.75" customHeight="1">
      <c r="A147" s="6"/>
      <c r="B147" s="6"/>
      <c r="C147" s="6"/>
      <c r="D147" s="6"/>
      <c r="E147" s="6"/>
    </row>
    <row r="148" ht="15.75" customHeight="1">
      <c r="A148" s="6"/>
      <c r="B148" s="6"/>
      <c r="C148" s="6"/>
      <c r="D148" s="6"/>
      <c r="E148" s="6"/>
    </row>
    <row r="149" ht="15.75" customHeight="1">
      <c r="A149" s="6"/>
      <c r="B149" s="6"/>
      <c r="C149" s="6"/>
      <c r="D149" s="6"/>
      <c r="E149" s="6"/>
    </row>
    <row r="150" ht="15.75" customHeight="1">
      <c r="A150" s="6"/>
      <c r="B150" s="6"/>
      <c r="C150" s="6"/>
      <c r="D150" s="6"/>
      <c r="E150" s="6"/>
    </row>
    <row r="151" ht="15.75" customHeight="1">
      <c r="A151" s="6"/>
      <c r="B151" s="6"/>
      <c r="C151" s="6"/>
      <c r="D151" s="6"/>
      <c r="E151" s="6"/>
    </row>
    <row r="152" ht="15.75" customHeight="1">
      <c r="A152" s="6"/>
      <c r="B152" s="6"/>
      <c r="C152" s="6"/>
      <c r="D152" s="6"/>
      <c r="E152" s="6"/>
    </row>
    <row r="153" ht="15.75" customHeight="1">
      <c r="A153" s="6"/>
      <c r="B153" s="6"/>
      <c r="C153" s="6"/>
      <c r="D153" s="6"/>
      <c r="E153" s="6"/>
    </row>
    <row r="154" ht="15.75" customHeight="1">
      <c r="A154" s="6"/>
      <c r="B154" s="6"/>
      <c r="C154" s="6"/>
      <c r="D154" s="6"/>
      <c r="E154" s="6"/>
    </row>
    <row r="155" ht="15.75" customHeight="1">
      <c r="A155" s="6"/>
      <c r="B155" s="6"/>
      <c r="C155" s="6"/>
      <c r="D155" s="6"/>
      <c r="E155" s="6"/>
    </row>
    <row r="156" ht="15.75" customHeight="1">
      <c r="A156" s="6"/>
      <c r="B156" s="6"/>
      <c r="C156" s="6"/>
      <c r="D156" s="6"/>
      <c r="E156" s="6"/>
    </row>
    <row r="157" ht="15.75" customHeight="1">
      <c r="A157" s="6"/>
      <c r="B157" s="6"/>
      <c r="C157" s="6"/>
      <c r="D157" s="6"/>
      <c r="E157" s="6"/>
    </row>
    <row r="158" ht="15.75" customHeight="1">
      <c r="A158" s="6"/>
      <c r="B158" s="6"/>
      <c r="C158" s="6"/>
      <c r="D158" s="6"/>
      <c r="E158" s="6"/>
    </row>
    <row r="159" ht="15.75" customHeight="1">
      <c r="A159" s="6"/>
      <c r="B159" s="6"/>
      <c r="C159" s="6"/>
      <c r="D159" s="6"/>
      <c r="E159" s="6"/>
    </row>
    <row r="160" ht="15.75" customHeight="1">
      <c r="A160" s="6"/>
      <c r="B160" s="6"/>
      <c r="C160" s="6"/>
      <c r="D160" s="6"/>
      <c r="E160" s="6"/>
    </row>
    <row r="161" ht="15.75" customHeight="1">
      <c r="A161" s="6"/>
      <c r="B161" s="6"/>
      <c r="C161" s="6"/>
      <c r="D161" s="6"/>
      <c r="E161" s="6"/>
    </row>
    <row r="162" ht="15.75" customHeight="1">
      <c r="A162" s="6"/>
      <c r="B162" s="6"/>
      <c r="C162" s="6"/>
      <c r="D162" s="6"/>
      <c r="E162" s="6"/>
    </row>
    <row r="163" ht="15.75" customHeight="1">
      <c r="A163" s="6"/>
      <c r="B163" s="6"/>
      <c r="C163" s="6"/>
      <c r="D163" s="6"/>
      <c r="E163" s="6"/>
    </row>
    <row r="164" ht="15.75" customHeight="1">
      <c r="A164" s="6"/>
      <c r="B164" s="6"/>
      <c r="C164" s="6"/>
      <c r="D164" s="6"/>
      <c r="E164" s="6"/>
    </row>
    <row r="165" ht="15.75" customHeight="1">
      <c r="A165" s="6"/>
      <c r="B165" s="6"/>
      <c r="C165" s="6"/>
      <c r="D165" s="6"/>
      <c r="E165" s="6"/>
    </row>
    <row r="166" ht="15.75" customHeight="1">
      <c r="A166" s="6"/>
      <c r="B166" s="6"/>
      <c r="C166" s="6"/>
      <c r="D166" s="6"/>
      <c r="E166" s="6"/>
    </row>
    <row r="167" ht="15.75" customHeight="1">
      <c r="A167" s="6"/>
      <c r="B167" s="6"/>
      <c r="C167" s="6"/>
      <c r="D167" s="6"/>
      <c r="E167" s="6"/>
    </row>
    <row r="168" ht="15.75" customHeight="1">
      <c r="A168" s="6"/>
      <c r="B168" s="6"/>
      <c r="C168" s="6"/>
      <c r="D168" s="6"/>
      <c r="E168" s="6"/>
    </row>
    <row r="169" ht="15.75" customHeight="1">
      <c r="A169" s="6"/>
      <c r="B169" s="6"/>
      <c r="C169" s="6"/>
      <c r="D169" s="6"/>
      <c r="E169" s="6"/>
    </row>
    <row r="170" ht="15.75" customHeight="1">
      <c r="A170" s="6"/>
      <c r="B170" s="6"/>
      <c r="C170" s="6"/>
      <c r="D170" s="6"/>
      <c r="E170" s="6"/>
    </row>
    <row r="171" ht="15.75" customHeight="1">
      <c r="A171" s="6"/>
      <c r="B171" s="6"/>
      <c r="C171" s="6"/>
      <c r="D171" s="6"/>
      <c r="E171" s="6"/>
    </row>
    <row r="172" ht="15.75" customHeight="1">
      <c r="A172" s="6"/>
      <c r="B172" s="6"/>
      <c r="C172" s="6"/>
      <c r="D172" s="6"/>
      <c r="E172" s="6"/>
    </row>
    <row r="173" ht="15.75" customHeight="1">
      <c r="A173" s="6"/>
      <c r="B173" s="6"/>
      <c r="C173" s="6"/>
      <c r="D173" s="6"/>
      <c r="E173" s="6"/>
    </row>
    <row r="174" ht="15.75" customHeight="1">
      <c r="A174" s="6"/>
      <c r="B174" s="6"/>
      <c r="C174" s="6"/>
      <c r="D174" s="6"/>
      <c r="E174" s="6"/>
    </row>
    <row r="175" ht="15.75" customHeight="1">
      <c r="A175" s="6"/>
      <c r="B175" s="6"/>
      <c r="C175" s="6"/>
      <c r="D175" s="6"/>
      <c r="E175" s="6"/>
    </row>
    <row r="176" ht="15.75" customHeight="1">
      <c r="A176" s="6"/>
      <c r="B176" s="6"/>
      <c r="C176" s="6"/>
      <c r="D176" s="6"/>
      <c r="E176" s="6"/>
    </row>
    <row r="177" ht="15.75" customHeight="1">
      <c r="A177" s="6"/>
      <c r="B177" s="6"/>
      <c r="C177" s="6"/>
      <c r="D177" s="6"/>
      <c r="E177" s="6"/>
    </row>
    <row r="178" ht="15.75" customHeight="1">
      <c r="A178" s="6"/>
      <c r="B178" s="6"/>
      <c r="C178" s="6"/>
      <c r="D178" s="6"/>
      <c r="E178" s="6"/>
    </row>
    <row r="179" ht="15.75" customHeight="1">
      <c r="A179" s="6"/>
      <c r="B179" s="6"/>
      <c r="C179" s="6"/>
      <c r="D179" s="6"/>
      <c r="E179" s="6"/>
    </row>
    <row r="180" ht="15.75" customHeight="1">
      <c r="A180" s="6"/>
      <c r="B180" s="6"/>
      <c r="C180" s="6"/>
      <c r="D180" s="6"/>
      <c r="E180" s="6"/>
    </row>
    <row r="181" ht="15.75" customHeight="1">
      <c r="A181" s="6"/>
      <c r="B181" s="6"/>
      <c r="C181" s="6"/>
      <c r="D181" s="6"/>
      <c r="E181" s="6"/>
    </row>
    <row r="182" ht="15.75" customHeight="1">
      <c r="A182" s="6"/>
      <c r="B182" s="6"/>
      <c r="C182" s="6"/>
      <c r="D182" s="6"/>
      <c r="E182" s="6"/>
    </row>
    <row r="183" ht="15.75" customHeight="1">
      <c r="A183" s="6"/>
      <c r="B183" s="6"/>
      <c r="C183" s="6"/>
      <c r="D183" s="6"/>
      <c r="E183" s="6"/>
    </row>
    <row r="184" ht="15.75" customHeight="1">
      <c r="A184" s="6"/>
      <c r="B184" s="6"/>
      <c r="C184" s="6"/>
      <c r="D184" s="6"/>
      <c r="E184" s="6"/>
    </row>
    <row r="185" ht="15.75" customHeight="1">
      <c r="A185" s="6"/>
      <c r="B185" s="6"/>
      <c r="C185" s="6"/>
      <c r="D185" s="6"/>
      <c r="E185" s="6"/>
    </row>
    <row r="186" ht="15.75" customHeight="1">
      <c r="A186" s="6"/>
      <c r="B186" s="6"/>
      <c r="C186" s="6"/>
      <c r="D186" s="6"/>
      <c r="E186" s="6"/>
    </row>
    <row r="187" ht="15.75" customHeight="1">
      <c r="A187" s="6"/>
      <c r="B187" s="6"/>
      <c r="C187" s="6"/>
      <c r="D187" s="6"/>
      <c r="E187" s="6"/>
    </row>
    <row r="188" ht="15.75" customHeight="1">
      <c r="A188" s="6"/>
      <c r="B188" s="6"/>
      <c r="C188" s="6"/>
      <c r="D188" s="6"/>
      <c r="E188" s="6"/>
    </row>
    <row r="189" ht="15.75" customHeight="1">
      <c r="A189" s="6"/>
      <c r="B189" s="6"/>
      <c r="C189" s="6"/>
      <c r="D189" s="6"/>
      <c r="E189" s="6"/>
    </row>
    <row r="190" ht="15.75" customHeight="1">
      <c r="A190" s="6"/>
      <c r="B190" s="6"/>
      <c r="C190" s="6"/>
      <c r="D190" s="6"/>
      <c r="E190" s="6"/>
    </row>
    <row r="191" ht="15.75" customHeight="1">
      <c r="A191" s="6"/>
      <c r="B191" s="6"/>
      <c r="C191" s="6"/>
      <c r="D191" s="6"/>
      <c r="E191" s="6"/>
    </row>
    <row r="192" ht="15.75" customHeight="1">
      <c r="A192" s="6"/>
      <c r="B192" s="6"/>
      <c r="C192" s="6"/>
      <c r="D192" s="6"/>
      <c r="E192" s="6"/>
    </row>
    <row r="193" ht="15.75" customHeight="1">
      <c r="A193" s="6"/>
      <c r="B193" s="6"/>
      <c r="C193" s="6"/>
      <c r="D193" s="6"/>
      <c r="E193" s="6"/>
    </row>
    <row r="194" ht="15.75" customHeight="1">
      <c r="A194" s="6"/>
      <c r="B194" s="6"/>
      <c r="C194" s="6"/>
      <c r="D194" s="6"/>
      <c r="E194" s="6"/>
    </row>
    <row r="195" ht="15.75" customHeight="1">
      <c r="A195" s="6"/>
      <c r="B195" s="6"/>
      <c r="C195" s="6"/>
      <c r="D195" s="6"/>
      <c r="E195" s="6"/>
    </row>
    <row r="196" ht="15.75" customHeight="1">
      <c r="A196" s="6"/>
      <c r="B196" s="6"/>
      <c r="C196" s="6"/>
      <c r="D196" s="6"/>
      <c r="E196" s="6"/>
    </row>
    <row r="197" ht="15.75" customHeight="1">
      <c r="A197" s="6"/>
      <c r="B197" s="6"/>
      <c r="C197" s="6"/>
      <c r="D197" s="6"/>
      <c r="E197" s="6"/>
    </row>
    <row r="198" ht="15.75" customHeight="1">
      <c r="A198" s="6"/>
      <c r="B198" s="6"/>
      <c r="C198" s="6"/>
      <c r="D198" s="6"/>
      <c r="E198" s="6"/>
    </row>
    <row r="199" ht="15.75" customHeight="1">
      <c r="A199" s="6"/>
      <c r="B199" s="6"/>
      <c r="C199" s="6"/>
      <c r="D199" s="6"/>
      <c r="E199" s="6"/>
    </row>
    <row r="200" ht="15.75" customHeight="1">
      <c r="A200" s="6"/>
      <c r="B200" s="6"/>
      <c r="C200" s="6"/>
      <c r="D200" s="6"/>
      <c r="E200" s="6"/>
    </row>
    <row r="201" ht="15.75" customHeight="1">
      <c r="A201" s="6"/>
      <c r="B201" s="6"/>
      <c r="C201" s="6"/>
      <c r="D201" s="6"/>
      <c r="E201" s="6"/>
    </row>
    <row r="202" ht="15.75" customHeight="1">
      <c r="A202" s="6"/>
      <c r="B202" s="6"/>
      <c r="C202" s="6"/>
      <c r="D202" s="6"/>
      <c r="E202" s="6"/>
    </row>
    <row r="203" ht="15.75" customHeight="1">
      <c r="A203" s="6"/>
      <c r="B203" s="6"/>
      <c r="C203" s="6"/>
      <c r="D203" s="6"/>
      <c r="E203" s="6"/>
    </row>
    <row r="204" ht="15.75" customHeight="1">
      <c r="A204" s="6"/>
      <c r="B204" s="6"/>
      <c r="C204" s="6"/>
      <c r="D204" s="6"/>
      <c r="E204" s="6"/>
    </row>
    <row r="205" ht="15.75" customHeight="1">
      <c r="A205" s="6"/>
      <c r="B205" s="6"/>
      <c r="C205" s="6"/>
      <c r="D205" s="6"/>
      <c r="E205" s="6"/>
    </row>
    <row r="206" ht="15.75" customHeight="1">
      <c r="A206" s="6"/>
      <c r="B206" s="6"/>
      <c r="C206" s="6"/>
      <c r="D206" s="6"/>
      <c r="E206" s="6"/>
    </row>
    <row r="207" ht="15.75" customHeight="1">
      <c r="A207" s="6"/>
      <c r="B207" s="6"/>
      <c r="C207" s="6"/>
      <c r="D207" s="6"/>
      <c r="E207" s="6"/>
    </row>
    <row r="208" ht="15.75" customHeight="1">
      <c r="A208" s="6"/>
      <c r="B208" s="6"/>
      <c r="C208" s="6"/>
      <c r="D208" s="6"/>
      <c r="E208" s="6"/>
    </row>
    <row r="209" ht="15.75" customHeight="1">
      <c r="A209" s="6"/>
      <c r="B209" s="6"/>
      <c r="C209" s="6"/>
      <c r="D209" s="6"/>
      <c r="E209" s="6"/>
    </row>
    <row r="210" ht="15.75" customHeight="1">
      <c r="A210" s="6"/>
      <c r="B210" s="6"/>
      <c r="C210" s="6"/>
      <c r="D210" s="6"/>
      <c r="E210" s="6"/>
    </row>
    <row r="211" ht="15.75" customHeight="1">
      <c r="A211" s="6"/>
      <c r="B211" s="6"/>
      <c r="C211" s="6"/>
      <c r="D211" s="6"/>
      <c r="E211" s="6"/>
    </row>
    <row r="212" ht="15.75" customHeight="1">
      <c r="A212" s="6"/>
      <c r="B212" s="6"/>
      <c r="C212" s="6"/>
      <c r="D212" s="6"/>
      <c r="E212" s="6"/>
    </row>
    <row r="213" ht="15.75" customHeight="1">
      <c r="A213" s="6"/>
      <c r="B213" s="6"/>
      <c r="C213" s="6"/>
      <c r="D213" s="6"/>
      <c r="E213" s="6"/>
    </row>
    <row r="214" ht="15.75" customHeight="1">
      <c r="A214" s="6"/>
      <c r="B214" s="6"/>
      <c r="C214" s="6"/>
      <c r="D214" s="6"/>
      <c r="E214" s="6"/>
    </row>
    <row r="215" ht="15.75" customHeight="1">
      <c r="A215" s="6"/>
      <c r="B215" s="6"/>
      <c r="C215" s="6"/>
      <c r="D215" s="6"/>
      <c r="E215" s="6"/>
    </row>
    <row r="216" ht="15.75" customHeight="1">
      <c r="A216" s="6"/>
      <c r="B216" s="6"/>
      <c r="C216" s="6"/>
      <c r="D216" s="6"/>
      <c r="E216" s="6"/>
    </row>
    <row r="217" ht="15.75" customHeight="1">
      <c r="A217" s="6"/>
      <c r="B217" s="6"/>
      <c r="C217" s="6"/>
      <c r="D217" s="6"/>
      <c r="E217" s="6"/>
    </row>
    <row r="218" ht="15.75" customHeight="1">
      <c r="A218" s="6"/>
      <c r="B218" s="6"/>
      <c r="C218" s="6"/>
      <c r="D218" s="6"/>
      <c r="E218" s="6"/>
    </row>
    <row r="219" ht="15.75" customHeight="1">
      <c r="A219" s="6"/>
      <c r="B219" s="6"/>
      <c r="C219" s="6"/>
      <c r="D219" s="6"/>
      <c r="E219" s="6"/>
    </row>
    <row r="220" ht="15.75" customHeight="1">
      <c r="A220" s="6"/>
      <c r="B220" s="6"/>
      <c r="C220" s="6"/>
      <c r="D220" s="6"/>
      <c r="E220" s="6"/>
    </row>
    <row r="221" ht="15.75" customHeight="1">
      <c r="A221" s="6"/>
      <c r="B221" s="6"/>
      <c r="C221" s="6"/>
      <c r="D221" s="6"/>
      <c r="E221" s="6"/>
    </row>
    <row r="222" ht="15.75" customHeight="1">
      <c r="A222" s="6"/>
      <c r="B222" s="6"/>
      <c r="C222" s="6"/>
      <c r="D222" s="6"/>
      <c r="E222" s="6"/>
    </row>
    <row r="223" ht="15.75" customHeight="1">
      <c r="A223" s="6"/>
      <c r="B223" s="6"/>
      <c r="C223" s="6"/>
      <c r="D223" s="6"/>
      <c r="E223" s="6"/>
    </row>
    <row r="224" ht="15.75" customHeight="1">
      <c r="A224" s="6"/>
      <c r="B224" s="6"/>
      <c r="C224" s="6"/>
      <c r="D224" s="6"/>
      <c r="E224" s="6"/>
    </row>
    <row r="225" ht="15.75" customHeight="1">
      <c r="A225" s="6"/>
      <c r="B225" s="6"/>
      <c r="C225" s="6"/>
      <c r="D225" s="6"/>
      <c r="E225" s="6"/>
    </row>
    <row r="226" ht="15.75" customHeight="1">
      <c r="A226" s="6"/>
      <c r="B226" s="6"/>
      <c r="C226" s="6"/>
      <c r="D226" s="6"/>
      <c r="E226" s="6"/>
    </row>
    <row r="227" ht="15.75" customHeight="1">
      <c r="A227" s="6"/>
      <c r="B227" s="6"/>
      <c r="C227" s="6"/>
      <c r="D227" s="6"/>
      <c r="E227" s="6"/>
    </row>
    <row r="228" ht="15.75" customHeight="1">
      <c r="A228" s="6"/>
      <c r="B228" s="6"/>
      <c r="C228" s="6"/>
      <c r="D228" s="6"/>
      <c r="E228" s="6"/>
    </row>
    <row r="229" ht="15.75" customHeight="1">
      <c r="A229" s="6"/>
      <c r="B229" s="6"/>
      <c r="C229" s="6"/>
      <c r="D229" s="6"/>
      <c r="E229" s="6"/>
    </row>
    <row r="230" ht="15.75" customHeight="1">
      <c r="A230" s="6"/>
      <c r="B230" s="6"/>
      <c r="C230" s="6"/>
      <c r="D230" s="6"/>
      <c r="E230" s="6"/>
    </row>
    <row r="231" ht="15.75" customHeight="1">
      <c r="A231" s="6"/>
      <c r="B231" s="6"/>
      <c r="C231" s="6"/>
      <c r="D231" s="6"/>
      <c r="E231" s="6"/>
    </row>
    <row r="232" ht="15.75" customHeight="1">
      <c r="A232" s="6"/>
      <c r="B232" s="6"/>
      <c r="C232" s="6"/>
      <c r="D232" s="6"/>
      <c r="E232" s="6"/>
    </row>
    <row r="233" ht="15.75" customHeight="1">
      <c r="A233" s="6"/>
      <c r="B233" s="6"/>
      <c r="C233" s="6"/>
      <c r="D233" s="6"/>
      <c r="E233" s="6"/>
    </row>
    <row r="234" ht="15.75" customHeight="1">
      <c r="A234" s="6"/>
      <c r="B234" s="6"/>
      <c r="C234" s="6"/>
      <c r="D234" s="6"/>
      <c r="E234" s="6"/>
    </row>
    <row r="235" ht="15.75" customHeight="1">
      <c r="A235" s="6"/>
      <c r="B235" s="6"/>
      <c r="C235" s="6"/>
      <c r="D235" s="6"/>
      <c r="E235" s="6"/>
    </row>
    <row r="236" ht="15.75" customHeight="1">
      <c r="A236" s="6"/>
      <c r="B236" s="6"/>
      <c r="C236" s="6"/>
      <c r="D236" s="6"/>
      <c r="E236" s="6"/>
    </row>
    <row r="237" ht="15.75" customHeight="1">
      <c r="A237" s="6"/>
      <c r="B237" s="6"/>
      <c r="C237" s="6"/>
      <c r="D237" s="6"/>
      <c r="E237" s="6"/>
    </row>
    <row r="238" ht="15.75" customHeight="1">
      <c r="A238" s="6"/>
      <c r="B238" s="6"/>
      <c r="C238" s="6"/>
      <c r="D238" s="6"/>
      <c r="E238" s="6"/>
    </row>
    <row r="239" ht="15.75" customHeight="1">
      <c r="A239" s="6"/>
      <c r="B239" s="6"/>
      <c r="C239" s="6"/>
      <c r="D239" s="6"/>
      <c r="E239" s="6"/>
    </row>
    <row r="240" ht="15.75" customHeight="1">
      <c r="A240" s="6"/>
      <c r="B240" s="6"/>
      <c r="C240" s="6"/>
      <c r="D240" s="6"/>
      <c r="E240" s="6"/>
    </row>
    <row r="241" ht="15.75" customHeight="1">
      <c r="A241" s="6"/>
      <c r="B241" s="6"/>
      <c r="C241" s="6"/>
      <c r="D241" s="6"/>
      <c r="E241" s="6"/>
    </row>
    <row r="242" ht="15.75" customHeight="1">
      <c r="A242" s="6"/>
      <c r="B242" s="6"/>
      <c r="C242" s="6"/>
      <c r="D242" s="6"/>
      <c r="E242" s="6"/>
    </row>
    <row r="243" ht="15.75" customHeight="1">
      <c r="A243" s="6"/>
      <c r="B243" s="6"/>
      <c r="C243" s="6"/>
      <c r="D243" s="6"/>
      <c r="E243" s="6"/>
    </row>
    <row r="244" ht="15.75" customHeight="1">
      <c r="A244" s="6"/>
      <c r="B244" s="6"/>
      <c r="C244" s="6"/>
      <c r="D244" s="6"/>
      <c r="E244" s="6"/>
    </row>
    <row r="245" ht="15.75" customHeight="1">
      <c r="A245" s="6"/>
      <c r="B245" s="6"/>
      <c r="C245" s="6"/>
      <c r="D245" s="6"/>
      <c r="E245" s="6"/>
    </row>
    <row r="246" ht="15.75" customHeight="1">
      <c r="A246" s="6"/>
      <c r="B246" s="6"/>
      <c r="C246" s="6"/>
      <c r="D246" s="6"/>
      <c r="E246" s="6"/>
    </row>
    <row r="247" ht="15.75" customHeight="1">
      <c r="A247" s="6"/>
      <c r="B247" s="6"/>
      <c r="C247" s="6"/>
      <c r="D247" s="6"/>
      <c r="E247" s="6"/>
    </row>
    <row r="248" ht="15.75" customHeight="1">
      <c r="A248" s="6"/>
      <c r="B248" s="6"/>
      <c r="C248" s="6"/>
      <c r="D248" s="6"/>
      <c r="E248" s="6"/>
    </row>
    <row r="249" ht="15.75" customHeight="1">
      <c r="A249" s="6"/>
      <c r="B249" s="6"/>
      <c r="C249" s="6"/>
      <c r="D249" s="6"/>
      <c r="E249" s="6"/>
    </row>
    <row r="250" ht="15.75" customHeight="1">
      <c r="A250" s="6"/>
      <c r="B250" s="6"/>
      <c r="C250" s="6"/>
      <c r="D250" s="6"/>
      <c r="E250" s="6"/>
    </row>
    <row r="251" ht="15.75" customHeight="1">
      <c r="A251" s="6"/>
      <c r="B251" s="6"/>
      <c r="C251" s="6"/>
      <c r="D251" s="6"/>
      <c r="E251" s="6"/>
    </row>
    <row r="252" ht="15.75" customHeight="1">
      <c r="A252" s="6"/>
      <c r="B252" s="6"/>
      <c r="C252" s="6"/>
      <c r="D252" s="6"/>
      <c r="E252" s="6"/>
    </row>
    <row r="253" ht="15.75" customHeight="1">
      <c r="A253" s="6"/>
      <c r="B253" s="6"/>
      <c r="C253" s="6"/>
      <c r="D253" s="6"/>
      <c r="E253" s="6"/>
    </row>
    <row r="254" ht="15.75" customHeight="1">
      <c r="A254" s="6"/>
      <c r="B254" s="6"/>
      <c r="C254" s="6"/>
      <c r="D254" s="6"/>
      <c r="E254" s="6"/>
    </row>
    <row r="255" ht="15.75" customHeight="1">
      <c r="A255" s="6"/>
      <c r="B255" s="6"/>
      <c r="C255" s="6"/>
      <c r="D255" s="6"/>
      <c r="E255" s="6"/>
    </row>
    <row r="256" ht="15.75" customHeight="1">
      <c r="A256" s="6"/>
      <c r="B256" s="6"/>
      <c r="C256" s="6"/>
      <c r="D256" s="6"/>
      <c r="E256" s="6"/>
    </row>
    <row r="257" ht="15.75" customHeight="1">
      <c r="A257" s="6"/>
      <c r="B257" s="6"/>
      <c r="C257" s="6"/>
      <c r="D257" s="6"/>
      <c r="E257" s="6"/>
    </row>
    <row r="258" ht="15.75" customHeight="1">
      <c r="A258" s="6"/>
      <c r="B258" s="6"/>
      <c r="C258" s="6"/>
      <c r="D258" s="6"/>
      <c r="E258" s="6"/>
    </row>
    <row r="259" ht="15.75" customHeight="1">
      <c r="A259" s="6"/>
      <c r="B259" s="6"/>
      <c r="C259" s="6"/>
      <c r="D259" s="6"/>
      <c r="E259" s="6"/>
    </row>
    <row r="260" ht="15.75" customHeight="1">
      <c r="A260" s="6"/>
      <c r="B260" s="6"/>
      <c r="C260" s="6"/>
      <c r="D260" s="6"/>
      <c r="E260" s="6"/>
    </row>
    <row r="261" ht="15.75" customHeight="1">
      <c r="A261" s="6"/>
      <c r="B261" s="6"/>
      <c r="C261" s="6"/>
      <c r="D261" s="6"/>
      <c r="E261" s="6"/>
    </row>
    <row r="262" ht="15.75" customHeight="1">
      <c r="A262" s="6"/>
      <c r="B262" s="6"/>
      <c r="C262" s="6"/>
      <c r="D262" s="6"/>
      <c r="E262" s="6"/>
    </row>
    <row r="263" ht="15.75" customHeight="1">
      <c r="A263" s="6"/>
      <c r="B263" s="6"/>
      <c r="C263" s="6"/>
      <c r="D263" s="6"/>
      <c r="E263" s="6"/>
    </row>
    <row r="264" ht="15.75" customHeight="1">
      <c r="A264" s="6"/>
      <c r="B264" s="6"/>
      <c r="C264" s="6"/>
      <c r="D264" s="6"/>
      <c r="E264" s="6"/>
    </row>
    <row r="265" ht="15.75" customHeight="1">
      <c r="A265" s="6"/>
      <c r="B265" s="6"/>
      <c r="C265" s="6"/>
      <c r="D265" s="6"/>
      <c r="E265" s="6"/>
    </row>
    <row r="266" ht="15.75" customHeight="1">
      <c r="A266" s="6"/>
      <c r="B266" s="6"/>
      <c r="C266" s="6"/>
      <c r="D266" s="6"/>
      <c r="E266" s="6"/>
    </row>
    <row r="267" ht="15.75" customHeight="1">
      <c r="A267" s="6"/>
      <c r="B267" s="6"/>
      <c r="C267" s="6"/>
      <c r="D267" s="6"/>
      <c r="E267" s="6"/>
    </row>
    <row r="268" ht="15.75" customHeight="1">
      <c r="A268" s="6"/>
      <c r="B268" s="6"/>
      <c r="C268" s="6"/>
      <c r="D268" s="6"/>
      <c r="E268" s="6"/>
    </row>
    <row r="269" ht="15.75" customHeight="1">
      <c r="A269" s="6"/>
      <c r="B269" s="6"/>
      <c r="C269" s="6"/>
      <c r="D269" s="6"/>
      <c r="E269" s="6"/>
    </row>
    <row r="270" ht="15.75" customHeight="1">
      <c r="A270" s="6"/>
      <c r="B270" s="6"/>
      <c r="C270" s="6"/>
      <c r="D270" s="6"/>
      <c r="E270" s="6"/>
    </row>
    <row r="271" ht="15.75" customHeight="1">
      <c r="A271" s="6"/>
      <c r="B271" s="6"/>
      <c r="C271" s="6"/>
      <c r="D271" s="6"/>
      <c r="E271" s="6"/>
    </row>
    <row r="272" ht="15.75" customHeight="1">
      <c r="A272" s="6"/>
      <c r="B272" s="6"/>
      <c r="C272" s="6"/>
      <c r="D272" s="6"/>
      <c r="E272" s="6"/>
    </row>
    <row r="273" ht="15.75" customHeight="1">
      <c r="A273" s="6"/>
      <c r="B273" s="6"/>
      <c r="C273" s="6"/>
      <c r="D273" s="6"/>
      <c r="E273" s="6"/>
    </row>
    <row r="274" ht="15.75" customHeight="1">
      <c r="A274" s="6"/>
      <c r="B274" s="6"/>
      <c r="C274" s="6"/>
      <c r="D274" s="6"/>
      <c r="E274" s="6"/>
    </row>
    <row r="275" ht="15.75" customHeight="1">
      <c r="A275" s="6"/>
      <c r="B275" s="6"/>
      <c r="C275" s="6"/>
      <c r="D275" s="6"/>
      <c r="E275" s="6"/>
    </row>
    <row r="276" ht="15.75" customHeight="1">
      <c r="A276" s="6"/>
      <c r="B276" s="6"/>
      <c r="C276" s="6"/>
      <c r="D276" s="6"/>
      <c r="E276" s="6"/>
    </row>
    <row r="277" ht="15.75" customHeight="1">
      <c r="A277" s="6"/>
      <c r="B277" s="6"/>
      <c r="C277" s="6"/>
      <c r="D277" s="6"/>
      <c r="E277" s="6"/>
    </row>
    <row r="278" ht="15.75" customHeight="1">
      <c r="A278" s="6"/>
      <c r="B278" s="6"/>
      <c r="C278" s="6"/>
      <c r="D278" s="6"/>
      <c r="E278" s="6"/>
    </row>
    <row r="279" ht="15.75" customHeight="1">
      <c r="A279" s="6"/>
      <c r="B279" s="6"/>
      <c r="C279" s="6"/>
      <c r="D279" s="6"/>
      <c r="E279" s="6"/>
    </row>
    <row r="280" ht="15.75" customHeight="1">
      <c r="A280" s="6"/>
      <c r="B280" s="6"/>
      <c r="C280" s="6"/>
      <c r="D280" s="6"/>
      <c r="E280" s="6"/>
    </row>
    <row r="281" ht="15.75" customHeight="1">
      <c r="A281" s="6"/>
      <c r="B281" s="6"/>
      <c r="C281" s="6"/>
      <c r="D281" s="6"/>
      <c r="E281" s="6"/>
    </row>
    <row r="282" ht="15.75" customHeight="1">
      <c r="A282" s="6"/>
      <c r="B282" s="6"/>
      <c r="C282" s="6"/>
      <c r="D282" s="6"/>
      <c r="E282" s="6"/>
    </row>
    <row r="283" ht="15.75" customHeight="1">
      <c r="A283" s="6"/>
      <c r="B283" s="6"/>
      <c r="C283" s="6"/>
      <c r="D283" s="6"/>
      <c r="E283" s="6"/>
    </row>
    <row r="284" ht="15.75" customHeight="1">
      <c r="A284" s="6"/>
      <c r="B284" s="6"/>
      <c r="C284" s="6"/>
      <c r="D284" s="6"/>
      <c r="E284" s="6"/>
    </row>
    <row r="285" ht="15.75" customHeight="1">
      <c r="A285" s="6"/>
      <c r="B285" s="6"/>
      <c r="C285" s="6"/>
      <c r="D285" s="6"/>
      <c r="E285" s="6"/>
    </row>
    <row r="286" ht="15.75" customHeight="1">
      <c r="A286" s="6"/>
      <c r="B286" s="6"/>
      <c r="C286" s="6"/>
      <c r="D286" s="6"/>
      <c r="E286" s="6"/>
    </row>
    <row r="287" ht="15.75" customHeight="1">
      <c r="A287" s="6"/>
      <c r="B287" s="6"/>
      <c r="C287" s="6"/>
      <c r="D287" s="6"/>
      <c r="E287" s="6"/>
    </row>
    <row r="288" ht="15.75" customHeight="1">
      <c r="A288" s="6"/>
      <c r="B288" s="6"/>
      <c r="C288" s="6"/>
      <c r="D288" s="6"/>
      <c r="E288" s="6"/>
    </row>
    <row r="289" ht="15.75" customHeight="1">
      <c r="A289" s="6"/>
      <c r="B289" s="6"/>
      <c r="C289" s="6"/>
      <c r="D289" s="6"/>
      <c r="E289" s="6"/>
    </row>
    <row r="290" ht="15.75" customHeight="1">
      <c r="A290" s="6"/>
      <c r="B290" s="6"/>
      <c r="C290" s="6"/>
      <c r="D290" s="6"/>
      <c r="E290" s="6"/>
    </row>
    <row r="291" ht="15.75" customHeight="1">
      <c r="A291" s="6"/>
      <c r="B291" s="6"/>
      <c r="C291" s="6"/>
      <c r="D291" s="6"/>
      <c r="E291" s="6"/>
    </row>
    <row r="292" ht="15.75" customHeight="1">
      <c r="A292" s="6"/>
      <c r="B292" s="6"/>
      <c r="C292" s="6"/>
      <c r="D292" s="6"/>
      <c r="E292" s="6"/>
    </row>
    <row r="293" ht="15.75" customHeight="1">
      <c r="A293" s="6"/>
      <c r="B293" s="6"/>
      <c r="C293" s="6"/>
      <c r="D293" s="6"/>
      <c r="E293" s="6"/>
    </row>
    <row r="294" ht="15.75" customHeight="1">
      <c r="A294" s="6"/>
      <c r="B294" s="6"/>
      <c r="C294" s="6"/>
      <c r="D294" s="6"/>
      <c r="E294" s="6"/>
    </row>
    <row r="295" ht="15.75" customHeight="1">
      <c r="A295" s="6"/>
      <c r="B295" s="6"/>
      <c r="C295" s="6"/>
      <c r="D295" s="6"/>
      <c r="E295" s="6"/>
    </row>
    <row r="296" ht="15.75" customHeight="1">
      <c r="A296" s="6"/>
      <c r="B296" s="6"/>
      <c r="C296" s="6"/>
      <c r="D296" s="6"/>
      <c r="E296" s="6"/>
    </row>
    <row r="297" ht="15.75" customHeight="1">
      <c r="A297" s="6"/>
      <c r="B297" s="6"/>
      <c r="C297" s="6"/>
      <c r="D297" s="6"/>
      <c r="E297" s="6"/>
    </row>
    <row r="298" ht="15.75" customHeight="1">
      <c r="A298" s="6"/>
      <c r="B298" s="6"/>
      <c r="C298" s="6"/>
      <c r="D298" s="6"/>
      <c r="E298" s="6"/>
    </row>
    <row r="299" ht="15.75" customHeight="1">
      <c r="A299" s="6"/>
      <c r="B299" s="6"/>
      <c r="C299" s="6"/>
      <c r="D299" s="6"/>
      <c r="E299" s="6"/>
    </row>
    <row r="300" ht="15.75" customHeight="1">
      <c r="A300" s="6"/>
      <c r="B300" s="6"/>
      <c r="C300" s="6"/>
      <c r="D300" s="6"/>
      <c r="E300" s="6"/>
    </row>
    <row r="301" ht="15.75" customHeight="1">
      <c r="A301" s="6"/>
      <c r="B301" s="6"/>
      <c r="C301" s="6"/>
      <c r="D301" s="6"/>
      <c r="E301" s="6"/>
    </row>
    <row r="302" ht="15.75" customHeight="1">
      <c r="A302" s="6"/>
      <c r="B302" s="6"/>
      <c r="C302" s="6"/>
      <c r="D302" s="6"/>
      <c r="E302" s="6"/>
    </row>
    <row r="303" ht="15.75" customHeight="1">
      <c r="A303" s="6"/>
      <c r="B303" s="6"/>
      <c r="C303" s="6"/>
      <c r="D303" s="6"/>
      <c r="E303" s="6"/>
    </row>
    <row r="304" ht="15.75" customHeight="1">
      <c r="A304" s="6"/>
      <c r="B304" s="6"/>
      <c r="C304" s="6"/>
      <c r="D304" s="6"/>
      <c r="E304" s="6"/>
    </row>
    <row r="305" ht="15.75" customHeight="1">
      <c r="A305" s="6"/>
      <c r="B305" s="6"/>
      <c r="C305" s="6"/>
      <c r="D305" s="6"/>
      <c r="E305" s="6"/>
    </row>
    <row r="306" ht="15.75" customHeight="1">
      <c r="A306" s="6"/>
      <c r="B306" s="6"/>
      <c r="C306" s="6"/>
      <c r="D306" s="6"/>
      <c r="E306" s="6"/>
    </row>
    <row r="307" ht="15.75" customHeight="1">
      <c r="A307" s="6"/>
      <c r="B307" s="6"/>
      <c r="C307" s="6"/>
      <c r="D307" s="6"/>
      <c r="E307" s="6"/>
    </row>
    <row r="308" ht="15.75" customHeight="1">
      <c r="A308" s="6"/>
      <c r="B308" s="6"/>
      <c r="C308" s="6"/>
      <c r="D308" s="6"/>
      <c r="E308" s="6"/>
    </row>
    <row r="309" ht="15.75" customHeight="1">
      <c r="A309" s="6"/>
      <c r="B309" s="6"/>
      <c r="C309" s="6"/>
      <c r="D309" s="6"/>
      <c r="E309" s="6"/>
    </row>
    <row r="310" ht="15.75" customHeight="1">
      <c r="A310" s="6"/>
      <c r="B310" s="6"/>
      <c r="C310" s="6"/>
      <c r="D310" s="6"/>
      <c r="E310" s="6"/>
    </row>
    <row r="311" ht="15.75" customHeight="1">
      <c r="A311" s="6"/>
      <c r="B311" s="6"/>
      <c r="C311" s="6"/>
      <c r="D311" s="6"/>
      <c r="E311" s="6"/>
    </row>
    <row r="312" ht="15.75" customHeight="1">
      <c r="A312" s="6"/>
      <c r="B312" s="6"/>
      <c r="C312" s="6"/>
      <c r="D312" s="6"/>
      <c r="E312" s="6"/>
    </row>
    <row r="313" ht="15.75" customHeight="1">
      <c r="A313" s="6"/>
      <c r="B313" s="6"/>
      <c r="C313" s="6"/>
      <c r="D313" s="6"/>
      <c r="E313" s="6"/>
    </row>
    <row r="314" ht="15.75" customHeight="1">
      <c r="A314" s="6"/>
      <c r="B314" s="6"/>
      <c r="C314" s="6"/>
      <c r="D314" s="6"/>
      <c r="E314" s="6"/>
    </row>
    <row r="315" ht="15.75" customHeight="1">
      <c r="A315" s="6"/>
      <c r="B315" s="6"/>
      <c r="C315" s="6"/>
      <c r="D315" s="6"/>
      <c r="E315" s="6"/>
    </row>
    <row r="316" ht="15.75" customHeight="1">
      <c r="A316" s="6"/>
      <c r="B316" s="6"/>
      <c r="C316" s="6"/>
      <c r="D316" s="6"/>
      <c r="E316" s="6"/>
    </row>
    <row r="317" ht="15.75" customHeight="1">
      <c r="A317" s="6"/>
      <c r="B317" s="6"/>
      <c r="C317" s="6"/>
      <c r="D317" s="6"/>
      <c r="E317" s="6"/>
    </row>
    <row r="318" ht="15.75" customHeight="1">
      <c r="A318" s="6"/>
      <c r="B318" s="6"/>
      <c r="C318" s="6"/>
      <c r="D318" s="6"/>
      <c r="E318" s="6"/>
    </row>
    <row r="319" ht="15.75" customHeight="1">
      <c r="A319" s="6"/>
      <c r="B319" s="6"/>
      <c r="C319" s="6"/>
      <c r="D319" s="6"/>
      <c r="E319" s="6"/>
    </row>
    <row r="320" ht="15.75" customHeight="1">
      <c r="A320" s="6"/>
      <c r="B320" s="6"/>
      <c r="C320" s="6"/>
      <c r="D320" s="6"/>
      <c r="E320" s="6"/>
    </row>
    <row r="321" ht="15.75" customHeight="1">
      <c r="A321" s="6"/>
      <c r="B321" s="6"/>
      <c r="C321" s="6"/>
      <c r="D321" s="6"/>
      <c r="E321" s="6"/>
    </row>
    <row r="322" ht="15.75" customHeight="1">
      <c r="A322" s="6"/>
      <c r="B322" s="6"/>
      <c r="C322" s="6"/>
      <c r="D322" s="6"/>
      <c r="E322" s="6"/>
    </row>
    <row r="323" ht="15.75" customHeight="1">
      <c r="A323" s="6"/>
      <c r="B323" s="6"/>
      <c r="C323" s="6"/>
      <c r="D323" s="6"/>
      <c r="E323" s="6"/>
    </row>
    <row r="324" ht="15.75" customHeight="1">
      <c r="A324" s="6"/>
      <c r="B324" s="6"/>
      <c r="C324" s="6"/>
      <c r="D324" s="6"/>
      <c r="E324" s="6"/>
    </row>
    <row r="325" ht="15.75" customHeight="1">
      <c r="A325" s="6"/>
      <c r="B325" s="6"/>
      <c r="C325" s="6"/>
      <c r="D325" s="6"/>
      <c r="E325" s="6"/>
    </row>
    <row r="326" ht="15.75" customHeight="1">
      <c r="A326" s="6"/>
      <c r="B326" s="6"/>
      <c r="C326" s="6"/>
      <c r="D326" s="6"/>
      <c r="E326" s="6"/>
    </row>
    <row r="327" ht="15.75" customHeight="1">
      <c r="A327" s="6"/>
      <c r="B327" s="6"/>
      <c r="C327" s="6"/>
      <c r="D327" s="6"/>
      <c r="E327" s="6"/>
    </row>
    <row r="328" ht="15.75" customHeight="1">
      <c r="A328" s="6"/>
      <c r="B328" s="6"/>
      <c r="C328" s="6"/>
      <c r="D328" s="6"/>
      <c r="E328" s="6"/>
    </row>
    <row r="329" ht="15.75" customHeight="1">
      <c r="A329" s="6"/>
      <c r="B329" s="6"/>
      <c r="C329" s="6"/>
      <c r="D329" s="6"/>
      <c r="E329" s="6"/>
    </row>
    <row r="330" ht="15.75" customHeight="1">
      <c r="A330" s="6"/>
      <c r="B330" s="6"/>
      <c r="C330" s="6"/>
      <c r="D330" s="6"/>
      <c r="E330" s="6"/>
    </row>
    <row r="331" ht="15.75" customHeight="1">
      <c r="A331" s="6"/>
      <c r="B331" s="6"/>
      <c r="C331" s="6"/>
      <c r="D331" s="6"/>
      <c r="E331" s="6"/>
    </row>
    <row r="332" ht="15.75" customHeight="1">
      <c r="A332" s="6"/>
      <c r="B332" s="6"/>
      <c r="C332" s="6"/>
      <c r="D332" s="6"/>
      <c r="E332" s="6"/>
    </row>
    <row r="333" ht="15.75" customHeight="1">
      <c r="A333" s="6"/>
      <c r="B333" s="6"/>
      <c r="C333" s="6"/>
      <c r="D333" s="6"/>
      <c r="E333" s="6"/>
    </row>
    <row r="334" ht="15.75" customHeight="1">
      <c r="A334" s="6"/>
      <c r="B334" s="6"/>
      <c r="C334" s="6"/>
      <c r="D334" s="6"/>
      <c r="E334" s="6"/>
    </row>
    <row r="335" ht="15.75" customHeight="1">
      <c r="A335" s="6"/>
      <c r="B335" s="6"/>
      <c r="C335" s="6"/>
      <c r="D335" s="6"/>
      <c r="E335" s="6"/>
    </row>
    <row r="336" ht="15.75" customHeight="1">
      <c r="A336" s="6"/>
      <c r="B336" s="6"/>
      <c r="C336" s="6"/>
      <c r="D336" s="6"/>
      <c r="E336" s="6"/>
    </row>
    <row r="337" ht="15.75" customHeight="1">
      <c r="A337" s="6"/>
      <c r="B337" s="6"/>
      <c r="C337" s="6"/>
      <c r="D337" s="6"/>
      <c r="E337" s="6"/>
    </row>
    <row r="338" ht="15.75" customHeight="1">
      <c r="A338" s="6"/>
      <c r="B338" s="6"/>
      <c r="C338" s="6"/>
      <c r="D338" s="6"/>
      <c r="E338" s="6"/>
    </row>
    <row r="339" ht="15.75" customHeight="1">
      <c r="A339" s="6"/>
      <c r="B339" s="6"/>
      <c r="C339" s="6"/>
      <c r="D339" s="6"/>
      <c r="E339" s="6"/>
    </row>
    <row r="340" ht="15.75" customHeight="1">
      <c r="A340" s="6"/>
      <c r="B340" s="6"/>
      <c r="C340" s="6"/>
      <c r="D340" s="6"/>
      <c r="E340" s="6"/>
    </row>
    <row r="341" ht="15.75" customHeight="1">
      <c r="A341" s="6"/>
      <c r="B341" s="6"/>
      <c r="C341" s="6"/>
      <c r="D341" s="6"/>
      <c r="E341" s="6"/>
    </row>
    <row r="342" ht="15.75" customHeight="1">
      <c r="A342" s="6"/>
      <c r="B342" s="6"/>
      <c r="C342" s="6"/>
      <c r="D342" s="6"/>
      <c r="E342" s="6"/>
    </row>
    <row r="343" ht="15.75" customHeight="1">
      <c r="A343" s="6"/>
      <c r="B343" s="6"/>
      <c r="C343" s="6"/>
      <c r="D343" s="6"/>
      <c r="E343" s="6"/>
    </row>
    <row r="344" ht="15.75" customHeight="1">
      <c r="A344" s="6"/>
      <c r="B344" s="6"/>
      <c r="C344" s="6"/>
      <c r="D344" s="6"/>
      <c r="E344" s="6"/>
    </row>
    <row r="345" ht="15.75" customHeight="1">
      <c r="A345" s="6"/>
      <c r="B345" s="6"/>
      <c r="C345" s="6"/>
      <c r="D345" s="6"/>
      <c r="E345" s="6"/>
    </row>
    <row r="346" ht="15.75" customHeight="1">
      <c r="A346" s="6"/>
      <c r="B346" s="6"/>
      <c r="C346" s="6"/>
      <c r="D346" s="6"/>
      <c r="E346" s="6"/>
    </row>
    <row r="347" ht="15.75" customHeight="1">
      <c r="A347" s="6"/>
      <c r="B347" s="6"/>
      <c r="C347" s="6"/>
      <c r="D347" s="6"/>
      <c r="E347" s="6"/>
    </row>
    <row r="348" ht="15.75" customHeight="1">
      <c r="A348" s="6"/>
      <c r="B348" s="6"/>
      <c r="C348" s="6"/>
      <c r="D348" s="6"/>
      <c r="E348" s="6"/>
    </row>
    <row r="349" ht="15.75" customHeight="1">
      <c r="A349" s="6"/>
      <c r="B349" s="6"/>
      <c r="C349" s="6"/>
      <c r="D349" s="6"/>
      <c r="E349" s="6"/>
    </row>
    <row r="350" ht="15.75" customHeight="1">
      <c r="A350" s="6"/>
      <c r="B350" s="6"/>
      <c r="C350" s="6"/>
      <c r="D350" s="6"/>
      <c r="E350" s="6"/>
    </row>
    <row r="351" ht="15.75" customHeight="1">
      <c r="A351" s="6"/>
      <c r="B351" s="6"/>
      <c r="C351" s="6"/>
      <c r="D351" s="6"/>
      <c r="E351" s="6"/>
    </row>
    <row r="352" ht="15.75" customHeight="1">
      <c r="A352" s="6"/>
      <c r="B352" s="6"/>
      <c r="C352" s="6"/>
      <c r="D352" s="6"/>
      <c r="E352" s="6"/>
    </row>
    <row r="353" ht="15.75" customHeight="1">
      <c r="A353" s="6"/>
      <c r="B353" s="6"/>
      <c r="C353" s="6"/>
      <c r="D353" s="6"/>
      <c r="E353" s="6"/>
    </row>
    <row r="354" ht="15.75" customHeight="1">
      <c r="A354" s="6"/>
      <c r="B354" s="6"/>
      <c r="C354" s="6"/>
      <c r="D354" s="6"/>
      <c r="E354" s="6"/>
    </row>
    <row r="355" ht="15.75" customHeight="1">
      <c r="A355" s="6"/>
      <c r="B355" s="6"/>
      <c r="C355" s="6"/>
      <c r="D355" s="6"/>
      <c r="E355" s="6"/>
    </row>
    <row r="356" ht="15.75" customHeight="1">
      <c r="A356" s="6"/>
      <c r="B356" s="6"/>
      <c r="C356" s="6"/>
      <c r="D356" s="6"/>
      <c r="E356" s="6"/>
    </row>
    <row r="357" ht="15.75" customHeight="1">
      <c r="A357" s="6"/>
      <c r="B357" s="6"/>
      <c r="C357" s="6"/>
      <c r="D357" s="6"/>
      <c r="E357" s="6"/>
    </row>
    <row r="358" ht="15.75" customHeight="1">
      <c r="A358" s="6"/>
      <c r="B358" s="6"/>
      <c r="C358" s="6"/>
      <c r="D358" s="6"/>
      <c r="E358" s="6"/>
    </row>
    <row r="359" ht="15.75" customHeight="1">
      <c r="A359" s="6"/>
      <c r="B359" s="6"/>
      <c r="C359" s="6"/>
      <c r="D359" s="6"/>
      <c r="E359" s="6"/>
    </row>
    <row r="360" ht="15.75" customHeight="1">
      <c r="A360" s="6"/>
      <c r="B360" s="6"/>
      <c r="C360" s="6"/>
      <c r="D360" s="6"/>
      <c r="E360" s="6"/>
    </row>
    <row r="361" ht="15.75" customHeight="1">
      <c r="A361" s="6"/>
      <c r="B361" s="6"/>
      <c r="C361" s="6"/>
      <c r="D361" s="6"/>
      <c r="E361" s="6"/>
    </row>
    <row r="362" ht="15.75" customHeight="1">
      <c r="A362" s="6"/>
      <c r="B362" s="6"/>
      <c r="C362" s="6"/>
      <c r="D362" s="6"/>
      <c r="E362" s="6"/>
    </row>
    <row r="363" ht="15.75" customHeight="1">
      <c r="A363" s="6"/>
      <c r="B363" s="6"/>
      <c r="C363" s="6"/>
      <c r="D363" s="6"/>
      <c r="E363" s="6"/>
    </row>
    <row r="364" ht="15.75" customHeight="1">
      <c r="A364" s="6"/>
      <c r="B364" s="6"/>
      <c r="C364" s="6"/>
      <c r="D364" s="6"/>
      <c r="E364" s="6"/>
    </row>
    <row r="365" ht="15.75" customHeight="1">
      <c r="A365" s="6"/>
      <c r="B365" s="6"/>
      <c r="C365" s="6"/>
      <c r="D365" s="6"/>
      <c r="E365" s="6"/>
    </row>
    <row r="366" ht="15.75" customHeight="1">
      <c r="A366" s="6"/>
      <c r="B366" s="6"/>
      <c r="C366" s="6"/>
      <c r="D366" s="6"/>
      <c r="E366" s="6"/>
    </row>
    <row r="367" ht="15.75" customHeight="1">
      <c r="A367" s="6"/>
      <c r="B367" s="6"/>
      <c r="C367" s="6"/>
      <c r="D367" s="6"/>
      <c r="E367" s="6"/>
    </row>
    <row r="368" ht="15.75" customHeight="1">
      <c r="A368" s="6"/>
      <c r="B368" s="6"/>
      <c r="C368" s="6"/>
      <c r="D368" s="6"/>
      <c r="E368" s="6"/>
    </row>
    <row r="369" ht="15.75" customHeight="1">
      <c r="A369" s="6"/>
      <c r="B369" s="6"/>
      <c r="C369" s="6"/>
      <c r="D369" s="6"/>
      <c r="E369" s="6"/>
    </row>
    <row r="370" ht="15.75" customHeight="1">
      <c r="A370" s="6"/>
      <c r="B370" s="6"/>
      <c r="C370" s="6"/>
      <c r="D370" s="6"/>
      <c r="E370" s="6"/>
    </row>
    <row r="371" ht="15.75" customHeight="1">
      <c r="A371" s="6"/>
      <c r="B371" s="6"/>
      <c r="C371" s="6"/>
      <c r="D371" s="6"/>
      <c r="E371" s="6"/>
    </row>
    <row r="372" ht="15.75" customHeight="1">
      <c r="A372" s="6"/>
      <c r="B372" s="6"/>
      <c r="C372" s="6"/>
      <c r="D372" s="6"/>
      <c r="E372" s="6"/>
    </row>
    <row r="373" ht="15.75" customHeight="1">
      <c r="A373" s="6"/>
      <c r="B373" s="6"/>
      <c r="C373" s="6"/>
      <c r="D373" s="6"/>
      <c r="E373" s="6"/>
    </row>
    <row r="374" ht="15.75" customHeight="1">
      <c r="A374" s="6"/>
      <c r="B374" s="6"/>
      <c r="C374" s="6"/>
      <c r="D374" s="6"/>
      <c r="E374" s="6"/>
    </row>
    <row r="375" ht="15.75" customHeight="1">
      <c r="A375" s="6"/>
      <c r="B375" s="6"/>
      <c r="C375" s="6"/>
      <c r="D375" s="6"/>
      <c r="E375" s="6"/>
    </row>
    <row r="376" ht="15.75" customHeight="1">
      <c r="A376" s="6"/>
      <c r="B376" s="6"/>
      <c r="C376" s="6"/>
      <c r="D376" s="6"/>
      <c r="E376" s="6"/>
    </row>
    <row r="377" ht="15.75" customHeight="1">
      <c r="A377" s="6"/>
      <c r="B377" s="6"/>
      <c r="C377" s="6"/>
      <c r="D377" s="6"/>
      <c r="E377" s="6"/>
    </row>
    <row r="378" ht="15.75" customHeight="1">
      <c r="A378" s="6"/>
      <c r="B378" s="6"/>
      <c r="C378" s="6"/>
      <c r="D378" s="6"/>
      <c r="E378" s="6"/>
    </row>
    <row r="379" ht="15.75" customHeight="1">
      <c r="A379" s="6"/>
      <c r="B379" s="6"/>
      <c r="C379" s="6"/>
      <c r="D379" s="6"/>
      <c r="E379" s="6"/>
    </row>
    <row r="380" ht="15.75" customHeight="1">
      <c r="A380" s="6"/>
      <c r="B380" s="6"/>
      <c r="C380" s="6"/>
      <c r="D380" s="6"/>
      <c r="E380" s="6"/>
    </row>
    <row r="381" ht="15.75" customHeight="1">
      <c r="A381" s="6"/>
      <c r="B381" s="6"/>
      <c r="C381" s="6"/>
      <c r="D381" s="6"/>
      <c r="E381" s="6"/>
    </row>
    <row r="382" ht="15.75" customHeight="1">
      <c r="A382" s="6"/>
      <c r="B382" s="6"/>
      <c r="C382" s="6"/>
      <c r="D382" s="6"/>
      <c r="E382" s="6"/>
    </row>
    <row r="383" ht="15.75" customHeight="1">
      <c r="A383" s="6"/>
      <c r="B383" s="6"/>
      <c r="C383" s="6"/>
      <c r="D383" s="6"/>
      <c r="E383" s="6"/>
    </row>
    <row r="384" ht="15.75" customHeight="1">
      <c r="A384" s="6"/>
      <c r="B384" s="6"/>
      <c r="C384" s="6"/>
      <c r="D384" s="6"/>
      <c r="E384" s="6"/>
    </row>
    <row r="385" ht="15.75" customHeight="1">
      <c r="A385" s="6"/>
      <c r="B385" s="6"/>
      <c r="C385" s="6"/>
      <c r="D385" s="6"/>
      <c r="E385" s="6"/>
    </row>
    <row r="386" ht="15.75" customHeight="1">
      <c r="A386" s="6"/>
      <c r="B386" s="6"/>
      <c r="C386" s="6"/>
      <c r="D386" s="6"/>
      <c r="E386" s="6"/>
    </row>
    <row r="387" ht="15.75" customHeight="1">
      <c r="A387" s="6"/>
      <c r="B387" s="6"/>
      <c r="C387" s="6"/>
      <c r="D387" s="6"/>
      <c r="E387" s="6"/>
    </row>
    <row r="388" ht="15.75" customHeight="1">
      <c r="A388" s="6"/>
      <c r="B388" s="6"/>
      <c r="C388" s="6"/>
      <c r="D388" s="6"/>
      <c r="E388" s="6"/>
    </row>
    <row r="389" ht="15.75" customHeight="1">
      <c r="A389" s="6"/>
      <c r="B389" s="6"/>
      <c r="C389" s="6"/>
      <c r="D389" s="6"/>
      <c r="E389" s="6"/>
    </row>
    <row r="390" ht="15.75" customHeight="1">
      <c r="A390" s="6"/>
      <c r="B390" s="6"/>
      <c r="C390" s="6"/>
      <c r="D390" s="6"/>
      <c r="E390" s="6"/>
    </row>
    <row r="391" ht="15.75" customHeight="1">
      <c r="A391" s="6"/>
      <c r="B391" s="6"/>
      <c r="C391" s="6"/>
      <c r="D391" s="6"/>
      <c r="E391" s="6"/>
    </row>
    <row r="392" ht="15.75" customHeight="1">
      <c r="A392" s="6"/>
      <c r="B392" s="6"/>
      <c r="C392" s="6"/>
      <c r="D392" s="6"/>
      <c r="E392" s="6"/>
    </row>
    <row r="393" ht="15.75" customHeight="1">
      <c r="A393" s="6"/>
      <c r="B393" s="6"/>
      <c r="C393" s="6"/>
      <c r="D393" s="6"/>
      <c r="E393" s="6"/>
    </row>
    <row r="394" ht="15.75" customHeight="1">
      <c r="A394" s="6"/>
      <c r="B394" s="6"/>
      <c r="C394" s="6"/>
      <c r="D394" s="6"/>
      <c r="E394" s="6"/>
    </row>
    <row r="395" ht="15.75" customHeight="1">
      <c r="A395" s="6"/>
      <c r="B395" s="6"/>
      <c r="C395" s="6"/>
      <c r="D395" s="6"/>
      <c r="E395" s="6"/>
    </row>
    <row r="396" ht="15.75" customHeight="1">
      <c r="A396" s="6"/>
      <c r="B396" s="6"/>
      <c r="C396" s="6"/>
      <c r="D396" s="6"/>
      <c r="E396" s="6"/>
    </row>
    <row r="397" ht="15.75" customHeight="1">
      <c r="A397" s="6"/>
      <c r="B397" s="6"/>
      <c r="C397" s="6"/>
      <c r="D397" s="6"/>
      <c r="E397" s="6"/>
    </row>
    <row r="398" ht="15.75" customHeight="1">
      <c r="A398" s="6"/>
      <c r="B398" s="6"/>
      <c r="C398" s="6"/>
      <c r="D398" s="6"/>
      <c r="E398" s="6"/>
    </row>
    <row r="399" ht="15.75" customHeight="1">
      <c r="A399" s="6"/>
      <c r="B399" s="6"/>
      <c r="C399" s="6"/>
      <c r="D399" s="6"/>
      <c r="E399" s="6"/>
    </row>
    <row r="400" ht="15.75" customHeight="1">
      <c r="A400" s="6"/>
      <c r="B400" s="6"/>
      <c r="C400" s="6"/>
      <c r="D400" s="6"/>
      <c r="E400" s="6"/>
    </row>
    <row r="401" ht="15.75" customHeight="1">
      <c r="A401" s="6"/>
      <c r="B401" s="6"/>
      <c r="C401" s="6"/>
      <c r="D401" s="6"/>
      <c r="E401" s="6"/>
    </row>
    <row r="402" ht="15.75" customHeight="1">
      <c r="A402" s="6"/>
      <c r="B402" s="6"/>
      <c r="C402" s="6"/>
      <c r="D402" s="6"/>
      <c r="E402" s="6"/>
    </row>
    <row r="403" ht="15.75" customHeight="1">
      <c r="A403" s="6"/>
      <c r="B403" s="6"/>
      <c r="C403" s="6"/>
      <c r="D403" s="6"/>
      <c r="E403" s="6"/>
    </row>
    <row r="404" ht="15.75" customHeight="1">
      <c r="A404" s="6"/>
      <c r="B404" s="6"/>
      <c r="C404" s="6"/>
      <c r="D404" s="6"/>
      <c r="E404" s="6"/>
    </row>
    <row r="405" ht="15.75" customHeight="1">
      <c r="A405" s="6"/>
      <c r="B405" s="6"/>
      <c r="C405" s="6"/>
      <c r="D405" s="6"/>
      <c r="E405" s="6"/>
    </row>
    <row r="406" ht="15.75" customHeight="1">
      <c r="A406" s="6"/>
      <c r="B406" s="6"/>
      <c r="C406" s="6"/>
      <c r="D406" s="6"/>
      <c r="E406" s="6"/>
    </row>
    <row r="407" ht="15.75" customHeight="1">
      <c r="A407" s="6"/>
      <c r="B407" s="6"/>
      <c r="C407" s="6"/>
      <c r="D407" s="6"/>
      <c r="E407" s="6"/>
    </row>
    <row r="408" ht="15.75" customHeight="1">
      <c r="A408" s="6"/>
      <c r="B408" s="6"/>
      <c r="C408" s="6"/>
      <c r="D408" s="6"/>
      <c r="E408" s="6"/>
    </row>
    <row r="409" ht="15.75" customHeight="1">
      <c r="A409" s="6"/>
      <c r="B409" s="6"/>
      <c r="C409" s="6"/>
      <c r="D409" s="6"/>
      <c r="E409" s="6"/>
    </row>
    <row r="410" ht="15.75" customHeight="1">
      <c r="A410" s="6"/>
      <c r="B410" s="6"/>
      <c r="C410" s="6"/>
      <c r="D410" s="6"/>
      <c r="E410" s="6"/>
    </row>
    <row r="411" ht="15.75" customHeight="1">
      <c r="A411" s="6"/>
      <c r="B411" s="6"/>
      <c r="C411" s="6"/>
      <c r="D411" s="6"/>
      <c r="E411" s="6"/>
    </row>
    <row r="412" ht="15.75" customHeight="1">
      <c r="A412" s="6"/>
      <c r="B412" s="6"/>
      <c r="C412" s="6"/>
      <c r="D412" s="6"/>
      <c r="E412" s="6"/>
    </row>
    <row r="413" ht="15.75" customHeight="1">
      <c r="A413" s="6"/>
      <c r="B413" s="6"/>
      <c r="C413" s="6"/>
      <c r="D413" s="6"/>
      <c r="E413" s="6"/>
    </row>
    <row r="414" ht="15.75" customHeight="1">
      <c r="A414" s="6"/>
      <c r="B414" s="6"/>
      <c r="C414" s="6"/>
      <c r="D414" s="6"/>
      <c r="E414" s="6"/>
    </row>
    <row r="415" ht="15.75" customHeight="1">
      <c r="A415" s="6"/>
      <c r="B415" s="6"/>
      <c r="C415" s="6"/>
      <c r="D415" s="6"/>
      <c r="E415" s="6"/>
    </row>
    <row r="416" ht="15.75" customHeight="1">
      <c r="A416" s="6"/>
      <c r="B416" s="6"/>
      <c r="C416" s="6"/>
      <c r="D416" s="6"/>
      <c r="E416" s="6"/>
    </row>
    <row r="417" ht="15.75" customHeight="1">
      <c r="A417" s="6"/>
      <c r="B417" s="6"/>
      <c r="C417" s="6"/>
      <c r="D417" s="6"/>
      <c r="E417" s="6"/>
    </row>
    <row r="418" ht="15.75" customHeight="1">
      <c r="A418" s="6"/>
      <c r="B418" s="6"/>
      <c r="C418" s="6"/>
      <c r="D418" s="6"/>
      <c r="E418" s="6"/>
    </row>
    <row r="419" ht="15.75" customHeight="1">
      <c r="A419" s="6"/>
      <c r="B419" s="6"/>
      <c r="C419" s="6"/>
      <c r="D419" s="6"/>
      <c r="E419" s="6"/>
    </row>
    <row r="420" ht="15.75" customHeight="1">
      <c r="A420" s="6"/>
      <c r="B420" s="6"/>
      <c r="C420" s="6"/>
      <c r="D420" s="6"/>
      <c r="E420" s="6"/>
    </row>
    <row r="421" ht="15.75" customHeight="1">
      <c r="A421" s="6"/>
      <c r="B421" s="6"/>
      <c r="C421" s="6"/>
      <c r="D421" s="6"/>
      <c r="E421" s="6"/>
    </row>
    <row r="422" ht="15.75" customHeight="1">
      <c r="A422" s="6"/>
      <c r="B422" s="6"/>
      <c r="C422" s="6"/>
      <c r="D422" s="6"/>
      <c r="E422" s="6"/>
    </row>
    <row r="423" ht="15.75" customHeight="1">
      <c r="A423" s="6"/>
      <c r="B423" s="6"/>
      <c r="C423" s="6"/>
      <c r="D423" s="6"/>
      <c r="E423" s="6"/>
    </row>
    <row r="424" ht="15.75" customHeight="1">
      <c r="A424" s="6"/>
      <c r="B424" s="6"/>
      <c r="C424" s="6"/>
      <c r="D424" s="6"/>
      <c r="E424" s="6"/>
    </row>
    <row r="425" ht="15.75" customHeight="1">
      <c r="A425" s="6"/>
      <c r="B425" s="6"/>
      <c r="C425" s="6"/>
      <c r="D425" s="6"/>
      <c r="E425" s="6"/>
    </row>
    <row r="426" ht="15.75" customHeight="1">
      <c r="A426" s="6"/>
      <c r="B426" s="6"/>
      <c r="C426" s="6"/>
      <c r="D426" s="6"/>
      <c r="E426" s="6"/>
    </row>
    <row r="427" ht="15.75" customHeight="1">
      <c r="A427" s="6"/>
      <c r="B427" s="6"/>
      <c r="C427" s="6"/>
      <c r="D427" s="6"/>
      <c r="E427" s="6"/>
    </row>
    <row r="428" ht="15.75" customHeight="1">
      <c r="A428" s="6"/>
      <c r="B428" s="6"/>
      <c r="C428" s="6"/>
      <c r="D428" s="6"/>
      <c r="E428" s="6"/>
    </row>
    <row r="429" ht="15.75" customHeight="1">
      <c r="A429" s="6"/>
      <c r="B429" s="6"/>
      <c r="C429" s="6"/>
      <c r="D429" s="6"/>
      <c r="E429" s="6"/>
    </row>
    <row r="430" ht="15.75" customHeight="1">
      <c r="A430" s="6"/>
      <c r="B430" s="6"/>
      <c r="C430" s="6"/>
      <c r="D430" s="6"/>
      <c r="E430" s="6"/>
    </row>
    <row r="431" ht="15.75" customHeight="1">
      <c r="A431" s="6"/>
      <c r="B431" s="6"/>
      <c r="C431" s="6"/>
      <c r="D431" s="6"/>
      <c r="E431" s="6"/>
    </row>
    <row r="432" ht="15.75" customHeight="1">
      <c r="A432" s="6"/>
      <c r="B432" s="6"/>
      <c r="C432" s="6"/>
      <c r="D432" s="6"/>
      <c r="E432" s="6"/>
    </row>
    <row r="433" ht="15.75" customHeight="1">
      <c r="A433" s="6"/>
      <c r="B433" s="6"/>
      <c r="C433" s="6"/>
      <c r="D433" s="6"/>
      <c r="E433" s="6"/>
    </row>
    <row r="434" ht="15.75" customHeight="1">
      <c r="A434" s="6"/>
      <c r="B434" s="6"/>
      <c r="C434" s="6"/>
      <c r="D434" s="6"/>
      <c r="E434" s="6"/>
    </row>
    <row r="435" ht="15.75" customHeight="1">
      <c r="A435" s="6"/>
      <c r="B435" s="6"/>
      <c r="C435" s="6"/>
      <c r="D435" s="6"/>
      <c r="E435" s="6"/>
    </row>
    <row r="436" ht="15.75" customHeight="1">
      <c r="A436" s="6"/>
      <c r="B436" s="6"/>
      <c r="C436" s="6"/>
      <c r="D436" s="6"/>
      <c r="E436" s="6"/>
    </row>
    <row r="437" ht="15.75" customHeight="1">
      <c r="A437" s="6"/>
      <c r="B437" s="6"/>
      <c r="C437" s="6"/>
      <c r="D437" s="6"/>
      <c r="E437" s="6"/>
    </row>
    <row r="438" ht="15.75" customHeight="1">
      <c r="A438" s="6"/>
      <c r="B438" s="6"/>
      <c r="C438" s="6"/>
      <c r="D438" s="6"/>
      <c r="E438" s="6"/>
    </row>
    <row r="439" ht="15.75" customHeight="1">
      <c r="A439" s="6"/>
      <c r="B439" s="6"/>
      <c r="C439" s="6"/>
      <c r="D439" s="6"/>
      <c r="E439" s="6"/>
    </row>
    <row r="440" ht="15.75" customHeight="1">
      <c r="A440" s="6"/>
      <c r="B440" s="6"/>
      <c r="C440" s="6"/>
      <c r="D440" s="6"/>
      <c r="E440" s="6"/>
    </row>
    <row r="441" ht="15.75" customHeight="1">
      <c r="A441" s="6"/>
      <c r="B441" s="6"/>
      <c r="C441" s="6"/>
      <c r="D441" s="6"/>
      <c r="E441" s="6"/>
    </row>
    <row r="442" ht="15.75" customHeight="1">
      <c r="A442" s="6"/>
      <c r="B442" s="6"/>
      <c r="C442" s="6"/>
      <c r="D442" s="6"/>
      <c r="E442" s="6"/>
    </row>
    <row r="443" ht="15.75" customHeight="1">
      <c r="A443" s="6"/>
      <c r="B443" s="6"/>
      <c r="C443" s="6"/>
      <c r="D443" s="6"/>
      <c r="E443" s="6"/>
    </row>
    <row r="444" ht="15.75" customHeight="1">
      <c r="A444" s="6"/>
      <c r="B444" s="6"/>
      <c r="C444" s="6"/>
      <c r="D444" s="6"/>
      <c r="E444" s="6"/>
    </row>
    <row r="445" ht="15.75" customHeight="1">
      <c r="A445" s="6"/>
      <c r="B445" s="6"/>
      <c r="C445" s="6"/>
      <c r="D445" s="6"/>
      <c r="E445" s="6"/>
    </row>
    <row r="446" ht="15.75" customHeight="1">
      <c r="A446" s="6"/>
      <c r="B446" s="6"/>
      <c r="C446" s="6"/>
      <c r="D446" s="6"/>
      <c r="E446" s="6"/>
    </row>
    <row r="447" ht="15.75" customHeight="1">
      <c r="A447" s="6"/>
      <c r="B447" s="6"/>
      <c r="C447" s="6"/>
      <c r="D447" s="6"/>
      <c r="E447" s="6"/>
    </row>
    <row r="448" ht="15.75" customHeight="1">
      <c r="A448" s="6"/>
      <c r="B448" s="6"/>
      <c r="C448" s="6"/>
      <c r="D448" s="6"/>
      <c r="E448" s="6"/>
    </row>
    <row r="449" ht="15.75" customHeight="1">
      <c r="A449" s="6"/>
      <c r="B449" s="6"/>
      <c r="C449" s="6"/>
      <c r="D449" s="6"/>
      <c r="E449" s="6"/>
    </row>
    <row r="450" ht="15.75" customHeight="1">
      <c r="A450" s="6"/>
      <c r="B450" s="6"/>
      <c r="C450" s="6"/>
      <c r="D450" s="6"/>
      <c r="E450" s="6"/>
    </row>
    <row r="451" ht="15.75" customHeight="1">
      <c r="A451" s="6"/>
      <c r="B451" s="6"/>
      <c r="C451" s="6"/>
      <c r="D451" s="6"/>
      <c r="E451" s="6"/>
    </row>
    <row r="452" ht="15.75" customHeight="1">
      <c r="A452" s="6"/>
      <c r="B452" s="6"/>
      <c r="C452" s="6"/>
      <c r="D452" s="6"/>
      <c r="E452" s="6"/>
    </row>
    <row r="453" ht="15.75" customHeight="1">
      <c r="A453" s="6"/>
      <c r="B453" s="6"/>
      <c r="C453" s="6"/>
      <c r="D453" s="6"/>
      <c r="E453" s="6"/>
    </row>
    <row r="454" ht="15.75" customHeight="1">
      <c r="A454" s="6"/>
      <c r="B454" s="6"/>
      <c r="C454" s="6"/>
      <c r="D454" s="6"/>
      <c r="E454" s="6"/>
    </row>
    <row r="455" ht="15.75" customHeight="1">
      <c r="A455" s="6"/>
      <c r="B455" s="6"/>
      <c r="C455" s="6"/>
      <c r="D455" s="6"/>
      <c r="E455" s="6"/>
    </row>
    <row r="456" ht="15.75" customHeight="1">
      <c r="A456" s="6"/>
      <c r="B456" s="6"/>
      <c r="C456" s="6"/>
      <c r="D456" s="6"/>
      <c r="E456" s="6"/>
    </row>
    <row r="457" ht="15.75" customHeight="1">
      <c r="A457" s="6"/>
      <c r="B457" s="6"/>
      <c r="C457" s="6"/>
      <c r="D457" s="6"/>
      <c r="E457" s="6"/>
    </row>
    <row r="458" ht="15.75" customHeight="1">
      <c r="A458" s="6"/>
      <c r="B458" s="6"/>
      <c r="C458" s="6"/>
      <c r="D458" s="6"/>
      <c r="E458" s="6"/>
    </row>
    <row r="459" ht="15.75" customHeight="1">
      <c r="A459" s="6"/>
      <c r="B459" s="6"/>
      <c r="C459" s="6"/>
      <c r="D459" s="6"/>
      <c r="E459" s="6"/>
    </row>
    <row r="460" ht="15.75" customHeight="1">
      <c r="A460" s="6"/>
      <c r="B460" s="6"/>
      <c r="C460" s="6"/>
      <c r="D460" s="6"/>
      <c r="E460" s="6"/>
    </row>
    <row r="461" ht="15.75" customHeight="1">
      <c r="A461" s="6"/>
      <c r="B461" s="6"/>
      <c r="C461" s="6"/>
      <c r="D461" s="6"/>
      <c r="E461" s="6"/>
    </row>
    <row r="462" ht="15.75" customHeight="1">
      <c r="A462" s="6"/>
      <c r="B462" s="6"/>
      <c r="C462" s="6"/>
      <c r="D462" s="6"/>
      <c r="E462" s="6"/>
    </row>
    <row r="463" ht="15.75" customHeight="1">
      <c r="A463" s="6"/>
      <c r="B463" s="6"/>
      <c r="C463" s="6"/>
      <c r="D463" s="6"/>
      <c r="E463" s="6"/>
    </row>
    <row r="464" ht="15.75" customHeight="1">
      <c r="A464" s="6"/>
      <c r="B464" s="6"/>
      <c r="C464" s="6"/>
      <c r="D464" s="6"/>
      <c r="E464" s="6"/>
    </row>
    <row r="465" ht="15.75" customHeight="1">
      <c r="A465" s="6"/>
      <c r="B465" s="6"/>
      <c r="C465" s="6"/>
      <c r="D465" s="6"/>
      <c r="E465" s="6"/>
    </row>
    <row r="466" ht="15.75" customHeight="1">
      <c r="A466" s="6"/>
      <c r="B466" s="6"/>
      <c r="C466" s="6"/>
      <c r="D466" s="6"/>
      <c r="E466" s="6"/>
    </row>
    <row r="467" ht="15.75" customHeight="1">
      <c r="A467" s="6"/>
      <c r="B467" s="6"/>
      <c r="C467" s="6"/>
      <c r="D467" s="6"/>
      <c r="E467" s="6"/>
    </row>
    <row r="468" ht="15.75" customHeight="1">
      <c r="A468" s="6"/>
      <c r="B468" s="6"/>
      <c r="C468" s="6"/>
      <c r="D468" s="6"/>
      <c r="E468" s="6"/>
    </row>
    <row r="469" ht="15.75" customHeight="1">
      <c r="A469" s="6"/>
      <c r="B469" s="6"/>
      <c r="C469" s="6"/>
      <c r="D469" s="6"/>
      <c r="E469" s="6"/>
    </row>
    <row r="470" ht="15.75" customHeight="1">
      <c r="A470" s="6"/>
      <c r="B470" s="6"/>
      <c r="C470" s="6"/>
      <c r="D470" s="6"/>
      <c r="E470" s="6"/>
    </row>
    <row r="471" ht="15.75" customHeight="1">
      <c r="A471" s="6"/>
      <c r="B471" s="6"/>
      <c r="C471" s="6"/>
      <c r="D471" s="6"/>
      <c r="E471" s="6"/>
    </row>
    <row r="472" ht="15.75" customHeight="1">
      <c r="A472" s="6"/>
      <c r="B472" s="6"/>
      <c r="C472" s="6"/>
      <c r="D472" s="6"/>
      <c r="E472" s="6"/>
    </row>
    <row r="473" ht="15.75" customHeight="1">
      <c r="A473" s="6"/>
      <c r="B473" s="6"/>
      <c r="C473" s="6"/>
      <c r="D473" s="6"/>
      <c r="E473" s="6"/>
    </row>
    <row r="474" ht="15.75" customHeight="1">
      <c r="A474" s="6"/>
      <c r="B474" s="6"/>
      <c r="C474" s="6"/>
      <c r="D474" s="6"/>
      <c r="E474" s="6"/>
    </row>
    <row r="475" ht="15.75" customHeight="1">
      <c r="A475" s="6"/>
      <c r="B475" s="6"/>
      <c r="C475" s="6"/>
      <c r="D475" s="6"/>
      <c r="E475" s="6"/>
    </row>
    <row r="476" ht="15.75" customHeight="1">
      <c r="A476" s="6"/>
      <c r="B476" s="6"/>
      <c r="C476" s="6"/>
      <c r="D476" s="6"/>
      <c r="E476" s="6"/>
    </row>
    <row r="477" ht="15.75" customHeight="1">
      <c r="A477" s="6"/>
      <c r="B477" s="6"/>
      <c r="C477" s="6"/>
      <c r="D477" s="6"/>
      <c r="E477" s="6"/>
    </row>
    <row r="478" ht="15.75" customHeight="1">
      <c r="A478" s="6"/>
      <c r="B478" s="6"/>
      <c r="C478" s="6"/>
      <c r="D478" s="6"/>
      <c r="E478" s="6"/>
    </row>
    <row r="479" ht="15.75" customHeight="1">
      <c r="A479" s="6"/>
      <c r="B479" s="6"/>
      <c r="C479" s="6"/>
      <c r="D479" s="6"/>
      <c r="E479" s="6"/>
    </row>
    <row r="480" ht="15.75" customHeight="1">
      <c r="A480" s="6"/>
      <c r="B480" s="6"/>
      <c r="C480" s="6"/>
      <c r="D480" s="6"/>
      <c r="E480" s="6"/>
    </row>
    <row r="481" ht="15.75" customHeight="1">
      <c r="A481" s="6"/>
      <c r="B481" s="6"/>
      <c r="C481" s="6"/>
      <c r="D481" s="6"/>
      <c r="E481" s="6"/>
    </row>
    <row r="482" ht="15.75" customHeight="1">
      <c r="A482" s="6"/>
      <c r="B482" s="6"/>
      <c r="C482" s="6"/>
      <c r="D482" s="6"/>
      <c r="E482" s="6"/>
    </row>
    <row r="483" ht="15.75" customHeight="1">
      <c r="A483" s="6"/>
      <c r="B483" s="6"/>
      <c r="C483" s="6"/>
      <c r="D483" s="6"/>
      <c r="E483" s="6"/>
    </row>
    <row r="484" ht="15.75" customHeight="1">
      <c r="A484" s="6"/>
      <c r="B484" s="6"/>
      <c r="C484" s="6"/>
      <c r="D484" s="6"/>
      <c r="E484" s="6"/>
    </row>
    <row r="485" ht="15.75" customHeight="1">
      <c r="A485" s="6"/>
      <c r="B485" s="6"/>
      <c r="C485" s="6"/>
      <c r="D485" s="6"/>
      <c r="E485" s="6"/>
    </row>
    <row r="486" ht="15.75" customHeight="1">
      <c r="A486" s="6"/>
      <c r="B486" s="6"/>
      <c r="C486" s="6"/>
      <c r="D486" s="6"/>
      <c r="E486" s="6"/>
    </row>
    <row r="487" ht="15.75" customHeight="1">
      <c r="A487" s="6"/>
      <c r="B487" s="6"/>
      <c r="C487" s="6"/>
      <c r="D487" s="6"/>
      <c r="E487" s="6"/>
    </row>
    <row r="488" ht="15.75" customHeight="1">
      <c r="A488" s="6"/>
      <c r="B488" s="6"/>
      <c r="C488" s="6"/>
      <c r="D488" s="6"/>
      <c r="E488" s="6"/>
    </row>
    <row r="489" ht="15.75" customHeight="1">
      <c r="A489" s="6"/>
      <c r="B489" s="6"/>
      <c r="C489" s="6"/>
      <c r="D489" s="6"/>
      <c r="E489" s="6"/>
    </row>
    <row r="490" ht="15.75" customHeight="1">
      <c r="A490" s="6"/>
      <c r="B490" s="6"/>
      <c r="C490" s="6"/>
      <c r="D490" s="6"/>
      <c r="E490" s="6"/>
    </row>
    <row r="491" ht="15.75" customHeight="1">
      <c r="A491" s="6"/>
      <c r="B491" s="6"/>
      <c r="C491" s="6"/>
      <c r="D491" s="6"/>
      <c r="E491" s="6"/>
    </row>
    <row r="492" ht="15.75" customHeight="1">
      <c r="A492" s="6"/>
      <c r="B492" s="6"/>
      <c r="C492" s="6"/>
      <c r="D492" s="6"/>
      <c r="E492" s="6"/>
    </row>
    <row r="493" ht="15.75" customHeight="1">
      <c r="A493" s="6"/>
      <c r="B493" s="6"/>
      <c r="C493" s="6"/>
      <c r="D493" s="6"/>
      <c r="E493" s="6"/>
    </row>
    <row r="494" ht="15.75" customHeight="1">
      <c r="A494" s="6"/>
      <c r="B494" s="6"/>
      <c r="C494" s="6"/>
      <c r="D494" s="6"/>
      <c r="E494" s="6"/>
    </row>
    <row r="495" ht="15.75" customHeight="1">
      <c r="A495" s="6"/>
      <c r="B495" s="6"/>
      <c r="C495" s="6"/>
      <c r="D495" s="6"/>
      <c r="E495" s="6"/>
    </row>
    <row r="496" ht="15.75" customHeight="1">
      <c r="A496" s="6"/>
      <c r="B496" s="6"/>
      <c r="C496" s="6"/>
      <c r="D496" s="6"/>
      <c r="E496" s="6"/>
    </row>
    <row r="497" ht="15.75" customHeight="1">
      <c r="A497" s="6"/>
      <c r="B497" s="6"/>
      <c r="C497" s="6"/>
      <c r="D497" s="6"/>
      <c r="E497" s="6"/>
    </row>
    <row r="498" ht="15.75" customHeight="1">
      <c r="A498" s="6"/>
      <c r="B498" s="6"/>
      <c r="C498" s="6"/>
      <c r="D498" s="6"/>
      <c r="E498" s="6"/>
    </row>
    <row r="499" ht="15.75" customHeight="1">
      <c r="A499" s="6"/>
      <c r="B499" s="6"/>
      <c r="C499" s="6"/>
      <c r="D499" s="6"/>
      <c r="E499" s="6"/>
    </row>
    <row r="500" ht="15.75" customHeight="1">
      <c r="A500" s="6"/>
      <c r="B500" s="6"/>
      <c r="C500" s="6"/>
      <c r="D500" s="6"/>
      <c r="E500" s="6"/>
    </row>
    <row r="501" ht="15.75" customHeight="1">
      <c r="A501" s="6"/>
      <c r="B501" s="6"/>
      <c r="C501" s="6"/>
      <c r="D501" s="6"/>
      <c r="E501" s="6"/>
    </row>
    <row r="502" ht="15.75" customHeight="1">
      <c r="A502" s="6"/>
      <c r="B502" s="6"/>
      <c r="C502" s="6"/>
      <c r="D502" s="6"/>
      <c r="E502" s="6"/>
    </row>
    <row r="503" ht="15.75" customHeight="1">
      <c r="A503" s="6"/>
      <c r="B503" s="6"/>
      <c r="C503" s="6"/>
      <c r="D503" s="6"/>
      <c r="E503" s="6"/>
    </row>
    <row r="504" ht="15.75" customHeight="1">
      <c r="A504" s="6"/>
      <c r="B504" s="6"/>
      <c r="C504" s="6"/>
      <c r="D504" s="6"/>
      <c r="E504" s="6"/>
    </row>
    <row r="505" ht="15.75" customHeight="1">
      <c r="A505" s="6"/>
      <c r="B505" s="6"/>
      <c r="C505" s="6"/>
      <c r="D505" s="6"/>
      <c r="E505" s="6"/>
    </row>
    <row r="506" ht="15.75" customHeight="1">
      <c r="A506" s="6"/>
      <c r="B506" s="6"/>
      <c r="C506" s="6"/>
      <c r="D506" s="6"/>
      <c r="E506" s="6"/>
    </row>
    <row r="507" ht="15.75" customHeight="1">
      <c r="A507" s="6"/>
      <c r="B507" s="6"/>
      <c r="C507" s="6"/>
      <c r="D507" s="6"/>
      <c r="E507" s="6"/>
    </row>
    <row r="508" ht="15.75" customHeight="1">
      <c r="A508" s="6"/>
      <c r="B508" s="6"/>
      <c r="C508" s="6"/>
      <c r="D508" s="6"/>
      <c r="E508" s="6"/>
    </row>
    <row r="509" ht="15.75" customHeight="1">
      <c r="A509" s="6"/>
      <c r="B509" s="6"/>
      <c r="C509" s="6"/>
      <c r="D509" s="6"/>
      <c r="E509" s="6"/>
    </row>
    <row r="510" ht="15.75" customHeight="1">
      <c r="A510" s="6"/>
      <c r="B510" s="6"/>
      <c r="C510" s="6"/>
      <c r="D510" s="6"/>
      <c r="E510" s="6"/>
    </row>
    <row r="511" ht="15.75" customHeight="1">
      <c r="A511" s="6"/>
      <c r="B511" s="6"/>
      <c r="C511" s="6"/>
      <c r="D511" s="6"/>
      <c r="E511" s="6"/>
    </row>
    <row r="512" ht="15.75" customHeight="1">
      <c r="A512" s="6"/>
      <c r="B512" s="6"/>
      <c r="C512" s="6"/>
      <c r="D512" s="6"/>
      <c r="E512" s="6"/>
    </row>
    <row r="513" ht="15.75" customHeight="1">
      <c r="A513" s="6"/>
      <c r="B513" s="6"/>
      <c r="C513" s="6"/>
      <c r="D513" s="6"/>
      <c r="E513" s="6"/>
    </row>
    <row r="514" ht="15.75" customHeight="1">
      <c r="A514" s="6"/>
      <c r="B514" s="6"/>
      <c r="C514" s="6"/>
      <c r="D514" s="6"/>
      <c r="E514" s="6"/>
    </row>
    <row r="515" ht="15.75" customHeight="1">
      <c r="A515" s="6"/>
      <c r="B515" s="6"/>
      <c r="C515" s="6"/>
      <c r="D515" s="6"/>
      <c r="E515" s="6"/>
    </row>
    <row r="516" ht="15.75" customHeight="1">
      <c r="A516" s="6"/>
      <c r="B516" s="6"/>
      <c r="C516" s="6"/>
      <c r="D516" s="6"/>
      <c r="E516" s="6"/>
    </row>
    <row r="517" ht="15.75" customHeight="1">
      <c r="A517" s="6"/>
      <c r="B517" s="6"/>
      <c r="C517" s="6"/>
      <c r="D517" s="6"/>
      <c r="E517" s="6"/>
    </row>
    <row r="518" ht="15.75" customHeight="1">
      <c r="A518" s="6"/>
      <c r="B518" s="6"/>
      <c r="C518" s="6"/>
      <c r="D518" s="6"/>
      <c r="E518" s="6"/>
    </row>
    <row r="519" ht="15.75" customHeight="1">
      <c r="A519" s="6"/>
      <c r="B519" s="6"/>
      <c r="C519" s="6"/>
      <c r="D519" s="6"/>
      <c r="E519" s="6"/>
    </row>
    <row r="520" ht="15.75" customHeight="1">
      <c r="A520" s="6"/>
      <c r="B520" s="6"/>
      <c r="C520" s="6"/>
      <c r="D520" s="6"/>
      <c r="E520" s="6"/>
    </row>
    <row r="521" ht="15.75" customHeight="1">
      <c r="A521" s="6"/>
      <c r="B521" s="6"/>
      <c r="C521" s="6"/>
      <c r="D521" s="6"/>
      <c r="E521" s="6"/>
    </row>
    <row r="522" ht="15.75" customHeight="1">
      <c r="A522" s="6"/>
      <c r="B522" s="6"/>
      <c r="C522" s="6"/>
      <c r="D522" s="6"/>
      <c r="E522" s="6"/>
    </row>
    <row r="523" ht="15.75" customHeight="1">
      <c r="A523" s="6"/>
      <c r="B523" s="6"/>
      <c r="C523" s="6"/>
      <c r="D523" s="6"/>
      <c r="E523" s="6"/>
    </row>
    <row r="524" ht="15.75" customHeight="1">
      <c r="A524" s="6"/>
      <c r="B524" s="6"/>
      <c r="C524" s="6"/>
      <c r="D524" s="6"/>
      <c r="E524" s="6"/>
    </row>
    <row r="525" ht="15.75" customHeight="1">
      <c r="A525" s="6"/>
      <c r="B525" s="6"/>
      <c r="C525" s="6"/>
      <c r="D525" s="6"/>
      <c r="E525" s="6"/>
    </row>
    <row r="526" ht="15.75" customHeight="1">
      <c r="A526" s="6"/>
      <c r="B526" s="6"/>
      <c r="C526" s="6"/>
      <c r="D526" s="6"/>
      <c r="E526" s="6"/>
    </row>
    <row r="527" ht="15.75" customHeight="1">
      <c r="A527" s="6"/>
      <c r="B527" s="6"/>
      <c r="C527" s="6"/>
      <c r="D527" s="6"/>
      <c r="E527" s="6"/>
    </row>
    <row r="528" ht="15.75" customHeight="1">
      <c r="A528" s="6"/>
      <c r="B528" s="6"/>
      <c r="C528" s="6"/>
      <c r="D528" s="6"/>
      <c r="E528" s="6"/>
    </row>
    <row r="529" ht="15.75" customHeight="1">
      <c r="A529" s="6"/>
      <c r="B529" s="6"/>
      <c r="C529" s="6"/>
      <c r="D529" s="6"/>
      <c r="E529" s="6"/>
    </row>
    <row r="530" ht="15.75" customHeight="1">
      <c r="A530" s="6"/>
      <c r="B530" s="6"/>
      <c r="C530" s="6"/>
      <c r="D530" s="6"/>
      <c r="E530" s="6"/>
    </row>
    <row r="531" ht="15.75" customHeight="1">
      <c r="A531" s="6"/>
      <c r="B531" s="6"/>
      <c r="C531" s="6"/>
      <c r="D531" s="6"/>
      <c r="E531" s="6"/>
    </row>
    <row r="532" ht="15.75" customHeight="1">
      <c r="A532" s="6"/>
      <c r="B532" s="6"/>
      <c r="C532" s="6"/>
      <c r="D532" s="6"/>
      <c r="E532" s="6"/>
    </row>
    <row r="533" ht="15.75" customHeight="1">
      <c r="A533" s="6"/>
      <c r="B533" s="6"/>
      <c r="C533" s="6"/>
      <c r="D533" s="6"/>
      <c r="E533" s="6"/>
    </row>
    <row r="534" ht="15.75" customHeight="1">
      <c r="A534" s="6"/>
      <c r="B534" s="6"/>
      <c r="C534" s="6"/>
      <c r="D534" s="6"/>
      <c r="E534" s="6"/>
    </row>
    <row r="535" ht="15.75" customHeight="1">
      <c r="A535" s="6"/>
      <c r="B535" s="6"/>
      <c r="C535" s="6"/>
      <c r="D535" s="6"/>
      <c r="E535" s="6"/>
    </row>
    <row r="536" ht="15.75" customHeight="1">
      <c r="A536" s="6"/>
      <c r="B536" s="6"/>
      <c r="C536" s="6"/>
      <c r="D536" s="6"/>
      <c r="E536" s="6"/>
    </row>
    <row r="537" ht="15.75" customHeight="1">
      <c r="A537" s="6"/>
      <c r="B537" s="6"/>
      <c r="C537" s="6"/>
      <c r="D537" s="6"/>
      <c r="E537" s="6"/>
    </row>
    <row r="538" ht="15.75" customHeight="1">
      <c r="A538" s="6"/>
      <c r="B538" s="6"/>
      <c r="C538" s="6"/>
      <c r="D538" s="6"/>
      <c r="E538" s="6"/>
    </row>
    <row r="539" ht="15.75" customHeight="1">
      <c r="A539" s="6"/>
      <c r="B539" s="6"/>
      <c r="C539" s="6"/>
      <c r="D539" s="6"/>
      <c r="E539" s="6"/>
    </row>
    <row r="540" ht="15.75" customHeight="1">
      <c r="A540" s="6"/>
      <c r="B540" s="6"/>
      <c r="C540" s="6"/>
      <c r="D540" s="6"/>
      <c r="E540" s="6"/>
    </row>
    <row r="541" ht="15.75" customHeight="1">
      <c r="A541" s="6"/>
      <c r="B541" s="6"/>
      <c r="C541" s="6"/>
      <c r="D541" s="6"/>
      <c r="E541" s="6"/>
    </row>
    <row r="542" ht="15.75" customHeight="1">
      <c r="A542" s="6"/>
      <c r="B542" s="6"/>
      <c r="C542" s="6"/>
      <c r="D542" s="6"/>
      <c r="E542" s="6"/>
    </row>
    <row r="543" ht="15.75" customHeight="1">
      <c r="A543" s="6"/>
      <c r="B543" s="6"/>
      <c r="C543" s="6"/>
      <c r="D543" s="6"/>
      <c r="E543" s="6"/>
    </row>
    <row r="544" ht="15.75" customHeight="1">
      <c r="A544" s="6"/>
      <c r="B544" s="6"/>
      <c r="C544" s="6"/>
      <c r="D544" s="6"/>
      <c r="E544" s="6"/>
    </row>
    <row r="545" ht="15.75" customHeight="1">
      <c r="A545" s="6"/>
      <c r="B545" s="6"/>
      <c r="C545" s="6"/>
      <c r="D545" s="6"/>
      <c r="E545" s="6"/>
    </row>
    <row r="546" ht="15.75" customHeight="1">
      <c r="A546" s="6"/>
      <c r="B546" s="6"/>
      <c r="C546" s="6"/>
      <c r="D546" s="6"/>
      <c r="E546" s="6"/>
    </row>
    <row r="547" ht="15.75" customHeight="1">
      <c r="A547" s="6"/>
      <c r="B547" s="6"/>
      <c r="C547" s="6"/>
      <c r="D547" s="6"/>
      <c r="E547" s="6"/>
    </row>
    <row r="548" ht="15.75" customHeight="1">
      <c r="A548" s="6"/>
      <c r="B548" s="6"/>
      <c r="C548" s="6"/>
      <c r="D548" s="6"/>
      <c r="E548" s="6"/>
    </row>
    <row r="549" ht="15.75" customHeight="1">
      <c r="A549" s="6"/>
      <c r="B549" s="6"/>
      <c r="C549" s="6"/>
      <c r="D549" s="6"/>
      <c r="E549" s="6"/>
    </row>
    <row r="550" ht="15.75" customHeight="1">
      <c r="A550" s="6"/>
      <c r="B550" s="6"/>
      <c r="C550" s="6"/>
      <c r="D550" s="6"/>
      <c r="E550" s="6"/>
    </row>
    <row r="551" ht="15.75" customHeight="1">
      <c r="A551" s="6"/>
      <c r="B551" s="6"/>
      <c r="C551" s="6"/>
      <c r="D551" s="6"/>
      <c r="E551" s="6"/>
    </row>
    <row r="552" ht="15.75" customHeight="1">
      <c r="A552" s="6"/>
      <c r="B552" s="6"/>
      <c r="C552" s="6"/>
      <c r="D552" s="6"/>
      <c r="E552" s="6"/>
    </row>
    <row r="553" ht="15.75" customHeight="1">
      <c r="A553" s="6"/>
      <c r="B553" s="6"/>
      <c r="C553" s="6"/>
      <c r="D553" s="6"/>
      <c r="E553" s="6"/>
    </row>
    <row r="554" ht="15.75" customHeight="1">
      <c r="A554" s="6"/>
      <c r="B554" s="6"/>
      <c r="C554" s="6"/>
      <c r="D554" s="6"/>
      <c r="E554" s="6"/>
    </row>
    <row r="555" ht="15.75" customHeight="1">
      <c r="A555" s="6"/>
      <c r="B555" s="6"/>
      <c r="C555" s="6"/>
      <c r="D555" s="6"/>
      <c r="E555" s="6"/>
    </row>
    <row r="556" ht="15.75" customHeight="1">
      <c r="A556" s="6"/>
      <c r="B556" s="6"/>
      <c r="C556" s="6"/>
      <c r="D556" s="6"/>
      <c r="E556" s="6"/>
    </row>
    <row r="557" ht="15.75" customHeight="1">
      <c r="A557" s="6"/>
      <c r="B557" s="6"/>
      <c r="C557" s="6"/>
      <c r="D557" s="6"/>
      <c r="E557" s="6"/>
    </row>
    <row r="558" ht="15.75" customHeight="1">
      <c r="A558" s="6"/>
      <c r="B558" s="6"/>
      <c r="C558" s="6"/>
      <c r="D558" s="6"/>
      <c r="E558" s="6"/>
    </row>
    <row r="559" ht="15.75" customHeight="1">
      <c r="A559" s="6"/>
      <c r="B559" s="6"/>
      <c r="C559" s="6"/>
      <c r="D559" s="6"/>
      <c r="E559" s="6"/>
    </row>
    <row r="560" ht="15.75" customHeight="1">
      <c r="A560" s="6"/>
      <c r="B560" s="6"/>
      <c r="C560" s="6"/>
      <c r="D560" s="6"/>
      <c r="E560" s="6"/>
    </row>
    <row r="561" ht="15.75" customHeight="1">
      <c r="A561" s="6"/>
      <c r="B561" s="6"/>
      <c r="C561" s="6"/>
      <c r="D561" s="6"/>
      <c r="E561" s="6"/>
    </row>
    <row r="562" ht="15.75" customHeight="1">
      <c r="A562" s="6"/>
      <c r="B562" s="6"/>
      <c r="C562" s="6"/>
      <c r="D562" s="6"/>
      <c r="E562" s="6"/>
    </row>
    <row r="563" ht="15.75" customHeight="1">
      <c r="A563" s="6"/>
      <c r="B563" s="6"/>
      <c r="C563" s="6"/>
      <c r="D563" s="6"/>
      <c r="E563" s="6"/>
    </row>
    <row r="564" ht="15.75" customHeight="1">
      <c r="A564" s="6"/>
      <c r="B564" s="6"/>
      <c r="C564" s="6"/>
      <c r="D564" s="6"/>
      <c r="E564" s="6"/>
    </row>
    <row r="565" ht="15.75" customHeight="1">
      <c r="A565" s="6"/>
      <c r="B565" s="6"/>
      <c r="C565" s="6"/>
      <c r="D565" s="6"/>
      <c r="E565" s="6"/>
    </row>
    <row r="566" ht="15.75" customHeight="1">
      <c r="A566" s="6"/>
      <c r="B566" s="6"/>
      <c r="C566" s="6"/>
      <c r="D566" s="6"/>
      <c r="E566" s="6"/>
    </row>
    <row r="567" ht="15.75" customHeight="1">
      <c r="A567" s="6"/>
      <c r="B567" s="6"/>
      <c r="C567" s="6"/>
      <c r="D567" s="6"/>
      <c r="E567" s="6"/>
    </row>
    <row r="568" ht="15.75" customHeight="1">
      <c r="A568" s="6"/>
      <c r="B568" s="6"/>
      <c r="C568" s="6"/>
      <c r="D568" s="6"/>
      <c r="E568" s="6"/>
    </row>
    <row r="569" ht="15.75" customHeight="1">
      <c r="A569" s="6"/>
      <c r="B569" s="6"/>
      <c r="C569" s="6"/>
      <c r="D569" s="6"/>
      <c r="E569" s="6"/>
    </row>
    <row r="570" ht="15.75" customHeight="1">
      <c r="A570" s="6"/>
      <c r="B570" s="6"/>
      <c r="C570" s="6"/>
      <c r="D570" s="6"/>
      <c r="E570" s="6"/>
    </row>
    <row r="571" ht="15.75" customHeight="1">
      <c r="A571" s="6"/>
      <c r="B571" s="6"/>
      <c r="C571" s="6"/>
      <c r="D571" s="6"/>
      <c r="E571" s="6"/>
    </row>
    <row r="572" ht="15.75" customHeight="1">
      <c r="A572" s="6"/>
      <c r="B572" s="6"/>
      <c r="C572" s="6"/>
      <c r="D572" s="6"/>
      <c r="E572" s="6"/>
    </row>
    <row r="573" ht="15.75" customHeight="1">
      <c r="A573" s="6"/>
      <c r="B573" s="6"/>
      <c r="C573" s="6"/>
      <c r="D573" s="6"/>
      <c r="E573" s="6"/>
    </row>
    <row r="574" ht="15.75" customHeight="1">
      <c r="A574" s="6"/>
      <c r="B574" s="6"/>
      <c r="C574" s="6"/>
      <c r="D574" s="6"/>
      <c r="E574" s="6"/>
    </row>
    <row r="575" ht="15.75" customHeight="1">
      <c r="A575" s="6"/>
      <c r="B575" s="6"/>
      <c r="C575" s="6"/>
      <c r="D575" s="6"/>
      <c r="E575" s="6"/>
    </row>
    <row r="576" ht="15.75" customHeight="1">
      <c r="A576" s="6"/>
      <c r="B576" s="6"/>
      <c r="C576" s="6"/>
      <c r="D576" s="6"/>
      <c r="E576" s="6"/>
    </row>
    <row r="577" ht="15.75" customHeight="1">
      <c r="A577" s="6"/>
      <c r="B577" s="6"/>
      <c r="C577" s="6"/>
      <c r="D577" s="6"/>
      <c r="E577" s="6"/>
    </row>
    <row r="578" ht="15.75" customHeight="1">
      <c r="A578" s="6"/>
      <c r="B578" s="6"/>
      <c r="C578" s="6"/>
      <c r="D578" s="6"/>
      <c r="E578" s="6"/>
    </row>
    <row r="579" ht="15.75" customHeight="1">
      <c r="A579" s="6"/>
      <c r="B579" s="6"/>
      <c r="C579" s="6"/>
      <c r="D579" s="6"/>
      <c r="E579" s="6"/>
    </row>
    <row r="580" ht="15.75" customHeight="1">
      <c r="A580" s="6"/>
      <c r="B580" s="6"/>
      <c r="C580" s="6"/>
      <c r="D580" s="6"/>
      <c r="E580" s="6"/>
    </row>
    <row r="581" ht="15.75" customHeight="1">
      <c r="A581" s="6"/>
      <c r="B581" s="6"/>
      <c r="C581" s="6"/>
      <c r="D581" s="6"/>
      <c r="E581" s="6"/>
    </row>
    <row r="582" ht="15.75" customHeight="1">
      <c r="A582" s="6"/>
      <c r="B582" s="6"/>
      <c r="C582" s="6"/>
      <c r="D582" s="6"/>
      <c r="E582" s="6"/>
    </row>
    <row r="583" ht="15.75" customHeight="1">
      <c r="A583" s="6"/>
      <c r="B583" s="6"/>
      <c r="C583" s="6"/>
      <c r="D583" s="6"/>
      <c r="E583" s="6"/>
    </row>
    <row r="584" ht="15.75" customHeight="1">
      <c r="A584" s="6"/>
      <c r="B584" s="6"/>
      <c r="C584" s="6"/>
      <c r="D584" s="6"/>
      <c r="E584" s="6"/>
    </row>
    <row r="585" ht="15.75" customHeight="1">
      <c r="A585" s="6"/>
      <c r="B585" s="6"/>
      <c r="C585" s="6"/>
      <c r="D585" s="6"/>
      <c r="E585" s="6"/>
    </row>
    <row r="586" ht="15.75" customHeight="1">
      <c r="A586" s="6"/>
      <c r="B586" s="6"/>
      <c r="C586" s="6"/>
      <c r="D586" s="6"/>
      <c r="E586" s="6"/>
    </row>
    <row r="587" ht="15.75" customHeight="1">
      <c r="A587" s="6"/>
      <c r="B587" s="6"/>
      <c r="C587" s="6"/>
      <c r="D587" s="6"/>
      <c r="E587" s="6"/>
    </row>
    <row r="588" ht="15.75" customHeight="1">
      <c r="A588" s="6"/>
      <c r="B588" s="6"/>
      <c r="C588" s="6"/>
      <c r="D588" s="6"/>
      <c r="E588" s="6"/>
    </row>
    <row r="589" ht="15.75" customHeight="1">
      <c r="A589" s="6"/>
      <c r="B589" s="6"/>
      <c r="C589" s="6"/>
      <c r="D589" s="6"/>
      <c r="E589" s="6"/>
    </row>
    <row r="590" ht="15.75" customHeight="1">
      <c r="A590" s="6"/>
      <c r="B590" s="6"/>
      <c r="C590" s="6"/>
      <c r="D590" s="6"/>
      <c r="E590" s="6"/>
    </row>
    <row r="591" ht="15.75" customHeight="1">
      <c r="A591" s="6"/>
      <c r="B591" s="6"/>
      <c r="C591" s="6"/>
      <c r="D591" s="6"/>
      <c r="E591" s="6"/>
    </row>
    <row r="592" ht="15.75" customHeight="1">
      <c r="A592" s="6"/>
      <c r="B592" s="6"/>
      <c r="C592" s="6"/>
      <c r="D592" s="6"/>
      <c r="E592" s="6"/>
    </row>
    <row r="593" ht="15.75" customHeight="1">
      <c r="A593" s="6"/>
      <c r="B593" s="6"/>
      <c r="C593" s="6"/>
      <c r="D593" s="6"/>
      <c r="E593" s="6"/>
    </row>
    <row r="594" ht="15.75" customHeight="1">
      <c r="A594" s="6"/>
      <c r="B594" s="6"/>
      <c r="C594" s="6"/>
      <c r="D594" s="6"/>
      <c r="E594" s="6"/>
    </row>
    <row r="595" ht="15.75" customHeight="1">
      <c r="A595" s="6"/>
      <c r="B595" s="6"/>
      <c r="C595" s="6"/>
      <c r="D595" s="6"/>
      <c r="E595" s="6"/>
    </row>
    <row r="596" ht="15.75" customHeight="1">
      <c r="A596" s="6"/>
      <c r="B596" s="6"/>
      <c r="C596" s="6"/>
      <c r="D596" s="6"/>
      <c r="E596" s="6"/>
    </row>
    <row r="597" ht="15.75" customHeight="1">
      <c r="A597" s="6"/>
      <c r="B597" s="6"/>
      <c r="C597" s="6"/>
      <c r="D597" s="6"/>
      <c r="E597" s="6"/>
    </row>
    <row r="598" ht="15.75" customHeight="1">
      <c r="A598" s="6"/>
      <c r="B598" s="6"/>
      <c r="C598" s="6"/>
      <c r="D598" s="6"/>
      <c r="E598" s="6"/>
    </row>
    <row r="599" ht="15.75" customHeight="1">
      <c r="A599" s="6"/>
      <c r="B599" s="6"/>
      <c r="C599" s="6"/>
      <c r="D599" s="6"/>
      <c r="E599" s="6"/>
    </row>
    <row r="600" ht="15.75" customHeight="1">
      <c r="A600" s="6"/>
      <c r="B600" s="6"/>
      <c r="C600" s="6"/>
      <c r="D600" s="6"/>
      <c r="E600" s="6"/>
    </row>
    <row r="601" ht="15.75" customHeight="1">
      <c r="A601" s="6"/>
      <c r="B601" s="6"/>
      <c r="C601" s="6"/>
      <c r="D601" s="6"/>
      <c r="E601" s="6"/>
    </row>
    <row r="602" ht="15.75" customHeight="1">
      <c r="A602" s="6"/>
      <c r="B602" s="6"/>
      <c r="C602" s="6"/>
      <c r="D602" s="6"/>
      <c r="E602" s="6"/>
    </row>
    <row r="603" ht="15.75" customHeight="1">
      <c r="A603" s="6"/>
      <c r="B603" s="6"/>
      <c r="C603" s="6"/>
      <c r="D603" s="6"/>
      <c r="E603" s="6"/>
    </row>
    <row r="604" ht="15.75" customHeight="1">
      <c r="A604" s="6"/>
      <c r="B604" s="6"/>
      <c r="C604" s="6"/>
      <c r="D604" s="6"/>
      <c r="E604" s="6"/>
    </row>
    <row r="605" ht="15.75" customHeight="1">
      <c r="A605" s="6"/>
      <c r="B605" s="6"/>
      <c r="C605" s="6"/>
      <c r="D605" s="6"/>
      <c r="E605" s="6"/>
    </row>
    <row r="606" ht="15.75" customHeight="1">
      <c r="A606" s="6"/>
      <c r="B606" s="6"/>
      <c r="C606" s="6"/>
      <c r="D606" s="6"/>
      <c r="E606" s="6"/>
    </row>
    <row r="607" ht="15.75" customHeight="1">
      <c r="A607" s="6"/>
      <c r="B607" s="6"/>
      <c r="C607" s="6"/>
      <c r="D607" s="6"/>
      <c r="E607" s="6"/>
    </row>
    <row r="608" ht="15.75" customHeight="1">
      <c r="A608" s="6"/>
      <c r="B608" s="6"/>
      <c r="C608" s="6"/>
      <c r="D608" s="6"/>
      <c r="E608" s="6"/>
    </row>
    <row r="609" ht="15.75" customHeight="1">
      <c r="A609" s="6"/>
      <c r="B609" s="6"/>
      <c r="C609" s="6"/>
      <c r="D609" s="6"/>
      <c r="E609" s="6"/>
    </row>
    <row r="610" ht="15.75" customHeight="1">
      <c r="A610" s="6"/>
      <c r="B610" s="6"/>
      <c r="C610" s="6"/>
      <c r="D610" s="6"/>
      <c r="E610" s="6"/>
    </row>
    <row r="611" ht="15.75" customHeight="1">
      <c r="A611" s="6"/>
      <c r="B611" s="6"/>
      <c r="C611" s="6"/>
      <c r="D611" s="6"/>
      <c r="E611" s="6"/>
    </row>
    <row r="612" ht="15.75" customHeight="1">
      <c r="A612" s="6"/>
      <c r="B612" s="6"/>
      <c r="C612" s="6"/>
      <c r="D612" s="6"/>
      <c r="E612" s="6"/>
    </row>
    <row r="613" ht="15.75" customHeight="1">
      <c r="A613" s="6"/>
      <c r="B613" s="6"/>
      <c r="C613" s="6"/>
      <c r="D613" s="6"/>
      <c r="E613" s="6"/>
    </row>
    <row r="614" ht="15.75" customHeight="1">
      <c r="A614" s="6"/>
      <c r="B614" s="6"/>
      <c r="C614" s="6"/>
      <c r="D614" s="6"/>
      <c r="E614" s="6"/>
    </row>
    <row r="615" ht="15.75" customHeight="1">
      <c r="A615" s="6"/>
      <c r="B615" s="6"/>
      <c r="C615" s="6"/>
      <c r="D615" s="6"/>
      <c r="E615" s="6"/>
    </row>
    <row r="616" ht="15.75" customHeight="1">
      <c r="A616" s="6"/>
      <c r="B616" s="6"/>
      <c r="C616" s="6"/>
      <c r="D616" s="6"/>
      <c r="E616" s="6"/>
    </row>
    <row r="617" ht="15.75" customHeight="1">
      <c r="A617" s="6"/>
      <c r="B617" s="6"/>
      <c r="C617" s="6"/>
      <c r="D617" s="6"/>
      <c r="E617" s="6"/>
    </row>
    <row r="618" ht="15.75" customHeight="1">
      <c r="A618" s="6"/>
      <c r="B618" s="6"/>
      <c r="C618" s="6"/>
      <c r="D618" s="6"/>
      <c r="E618" s="6"/>
    </row>
    <row r="619" ht="15.75" customHeight="1">
      <c r="A619" s="6"/>
      <c r="B619" s="6"/>
      <c r="C619" s="6"/>
      <c r="D619" s="6"/>
      <c r="E619" s="6"/>
    </row>
    <row r="620" ht="15.75" customHeight="1">
      <c r="A620" s="6"/>
      <c r="B620" s="6"/>
      <c r="C620" s="6"/>
      <c r="D620" s="6"/>
      <c r="E620" s="6"/>
    </row>
    <row r="621" ht="15.75" customHeight="1">
      <c r="A621" s="6"/>
      <c r="B621" s="6"/>
      <c r="C621" s="6"/>
      <c r="D621" s="6"/>
      <c r="E621" s="6"/>
    </row>
    <row r="622" ht="15.75" customHeight="1">
      <c r="A622" s="6"/>
      <c r="B622" s="6"/>
      <c r="C622" s="6"/>
      <c r="D622" s="6"/>
      <c r="E622" s="6"/>
    </row>
    <row r="623" ht="15.75" customHeight="1">
      <c r="A623" s="6"/>
      <c r="B623" s="6"/>
      <c r="C623" s="6"/>
      <c r="D623" s="6"/>
      <c r="E623" s="6"/>
    </row>
    <row r="624" ht="15.75" customHeight="1">
      <c r="A624" s="6"/>
      <c r="B624" s="6"/>
      <c r="C624" s="6"/>
      <c r="D624" s="6"/>
      <c r="E624" s="6"/>
    </row>
    <row r="625" ht="15.75" customHeight="1">
      <c r="A625" s="6"/>
      <c r="B625" s="6"/>
      <c r="C625" s="6"/>
      <c r="D625" s="6"/>
      <c r="E625" s="6"/>
    </row>
    <row r="626" ht="15.75" customHeight="1">
      <c r="A626" s="6"/>
      <c r="B626" s="6"/>
      <c r="C626" s="6"/>
      <c r="D626" s="6"/>
      <c r="E626" s="6"/>
    </row>
    <row r="627" ht="15.75" customHeight="1">
      <c r="A627" s="6"/>
      <c r="B627" s="6"/>
      <c r="C627" s="6"/>
      <c r="D627" s="6"/>
      <c r="E627" s="6"/>
    </row>
    <row r="628" ht="15.75" customHeight="1">
      <c r="A628" s="6"/>
      <c r="B628" s="6"/>
      <c r="C628" s="6"/>
      <c r="D628" s="6"/>
      <c r="E628" s="6"/>
    </row>
    <row r="629" ht="15.75" customHeight="1">
      <c r="A629" s="6"/>
      <c r="B629" s="6"/>
      <c r="C629" s="6"/>
      <c r="D629" s="6"/>
      <c r="E629" s="6"/>
    </row>
    <row r="630" ht="15.75" customHeight="1">
      <c r="A630" s="6"/>
      <c r="B630" s="6"/>
      <c r="C630" s="6"/>
      <c r="D630" s="6"/>
      <c r="E630" s="6"/>
    </row>
    <row r="631" ht="15.75" customHeight="1">
      <c r="A631" s="6"/>
      <c r="B631" s="6"/>
      <c r="C631" s="6"/>
      <c r="D631" s="6"/>
      <c r="E631" s="6"/>
    </row>
    <row r="632" ht="15.75" customHeight="1">
      <c r="A632" s="6"/>
      <c r="B632" s="6"/>
      <c r="C632" s="6"/>
      <c r="D632" s="6"/>
      <c r="E632" s="6"/>
    </row>
    <row r="633" ht="15.75" customHeight="1">
      <c r="A633" s="6"/>
      <c r="B633" s="6"/>
      <c r="C633" s="6"/>
      <c r="D633" s="6"/>
      <c r="E633" s="6"/>
    </row>
    <row r="634" ht="15.75" customHeight="1">
      <c r="A634" s="6"/>
      <c r="B634" s="6"/>
      <c r="C634" s="6"/>
      <c r="D634" s="6"/>
      <c r="E634" s="6"/>
    </row>
    <row r="635" ht="15.75" customHeight="1">
      <c r="A635" s="6"/>
      <c r="B635" s="6"/>
      <c r="C635" s="6"/>
      <c r="D635" s="6"/>
      <c r="E635" s="6"/>
    </row>
    <row r="636" ht="15.75" customHeight="1">
      <c r="A636" s="6"/>
      <c r="B636" s="6"/>
      <c r="C636" s="6"/>
      <c r="D636" s="6"/>
      <c r="E636" s="6"/>
    </row>
    <row r="637" ht="15.75" customHeight="1">
      <c r="A637" s="6"/>
      <c r="B637" s="6"/>
      <c r="C637" s="6"/>
      <c r="D637" s="6"/>
      <c r="E637" s="6"/>
    </row>
    <row r="638" ht="15.75" customHeight="1">
      <c r="A638" s="6"/>
      <c r="B638" s="6"/>
      <c r="C638" s="6"/>
      <c r="D638" s="6"/>
      <c r="E638" s="6"/>
    </row>
    <row r="639" ht="15.75" customHeight="1">
      <c r="A639" s="6"/>
      <c r="B639" s="6"/>
      <c r="C639" s="6"/>
      <c r="D639" s="6"/>
      <c r="E639" s="6"/>
    </row>
    <row r="640" ht="15.75" customHeight="1">
      <c r="A640" s="6"/>
      <c r="B640" s="6"/>
      <c r="C640" s="6"/>
      <c r="D640" s="6"/>
      <c r="E640" s="6"/>
    </row>
    <row r="641" ht="15.75" customHeight="1">
      <c r="A641" s="6"/>
      <c r="B641" s="6"/>
      <c r="C641" s="6"/>
      <c r="D641" s="6"/>
      <c r="E641" s="6"/>
    </row>
    <row r="642" ht="15.75" customHeight="1">
      <c r="A642" s="6"/>
      <c r="B642" s="6"/>
      <c r="C642" s="6"/>
      <c r="D642" s="6"/>
      <c r="E642" s="6"/>
    </row>
    <row r="643" ht="15.75" customHeight="1">
      <c r="A643" s="6"/>
      <c r="B643" s="6"/>
      <c r="C643" s="6"/>
      <c r="D643" s="6"/>
      <c r="E643" s="6"/>
    </row>
    <row r="644" ht="15.75" customHeight="1">
      <c r="A644" s="6"/>
      <c r="B644" s="6"/>
      <c r="C644" s="6"/>
      <c r="D644" s="6"/>
      <c r="E644" s="6"/>
    </row>
    <row r="645" ht="15.75" customHeight="1">
      <c r="A645" s="6"/>
      <c r="B645" s="6"/>
      <c r="C645" s="6"/>
      <c r="D645" s="6"/>
      <c r="E645" s="6"/>
    </row>
    <row r="646" ht="15.75" customHeight="1">
      <c r="A646" s="6"/>
      <c r="B646" s="6"/>
      <c r="C646" s="6"/>
      <c r="D646" s="6"/>
      <c r="E646" s="6"/>
    </row>
    <row r="647" ht="15.75" customHeight="1">
      <c r="A647" s="6"/>
      <c r="B647" s="6"/>
      <c r="C647" s="6"/>
      <c r="D647" s="6"/>
      <c r="E647" s="6"/>
    </row>
    <row r="648" ht="15.75" customHeight="1">
      <c r="A648" s="6"/>
      <c r="B648" s="6"/>
      <c r="C648" s="6"/>
      <c r="D648" s="6"/>
      <c r="E648" s="6"/>
    </row>
    <row r="649" ht="15.75" customHeight="1">
      <c r="A649" s="6"/>
      <c r="B649" s="6"/>
      <c r="C649" s="6"/>
      <c r="D649" s="6"/>
      <c r="E649" s="6"/>
    </row>
    <row r="650" ht="15.75" customHeight="1">
      <c r="A650" s="6"/>
      <c r="B650" s="6"/>
      <c r="C650" s="6"/>
      <c r="D650" s="6"/>
      <c r="E650" s="6"/>
    </row>
    <row r="651" ht="15.75" customHeight="1">
      <c r="A651" s="6"/>
      <c r="B651" s="6"/>
      <c r="C651" s="6"/>
      <c r="D651" s="6"/>
      <c r="E651" s="6"/>
    </row>
    <row r="652" ht="15.75" customHeight="1">
      <c r="A652" s="6"/>
      <c r="B652" s="6"/>
      <c r="C652" s="6"/>
      <c r="D652" s="6"/>
      <c r="E652" s="6"/>
    </row>
    <row r="653" ht="15.75" customHeight="1">
      <c r="A653" s="6"/>
      <c r="B653" s="6"/>
      <c r="C653" s="6"/>
      <c r="D653" s="6"/>
      <c r="E653" s="6"/>
    </row>
    <row r="654" ht="15.75" customHeight="1">
      <c r="A654" s="6"/>
      <c r="B654" s="6"/>
      <c r="C654" s="6"/>
      <c r="D654" s="6"/>
      <c r="E654" s="6"/>
    </row>
    <row r="655" ht="15.75" customHeight="1">
      <c r="A655" s="6"/>
      <c r="B655" s="6"/>
      <c r="C655" s="6"/>
      <c r="D655" s="6"/>
      <c r="E655" s="6"/>
    </row>
    <row r="656" ht="15.75" customHeight="1">
      <c r="A656" s="6"/>
      <c r="B656" s="6"/>
      <c r="C656" s="6"/>
      <c r="D656" s="6"/>
      <c r="E656" s="6"/>
    </row>
    <row r="657" ht="15.75" customHeight="1">
      <c r="A657" s="6"/>
      <c r="B657" s="6"/>
      <c r="C657" s="6"/>
      <c r="D657" s="6"/>
      <c r="E657" s="6"/>
    </row>
    <row r="658" ht="15.75" customHeight="1">
      <c r="A658" s="6"/>
      <c r="B658" s="6"/>
      <c r="C658" s="6"/>
      <c r="D658" s="6"/>
      <c r="E658" s="6"/>
    </row>
    <row r="659" ht="15.75" customHeight="1">
      <c r="A659" s="6"/>
      <c r="B659" s="6"/>
      <c r="C659" s="6"/>
      <c r="D659" s="6"/>
      <c r="E659" s="6"/>
    </row>
    <row r="660" ht="15.75" customHeight="1">
      <c r="A660" s="6"/>
      <c r="B660" s="6"/>
      <c r="C660" s="6"/>
      <c r="D660" s="6"/>
      <c r="E660" s="6"/>
    </row>
    <row r="661" ht="15.75" customHeight="1">
      <c r="A661" s="6"/>
      <c r="B661" s="6"/>
      <c r="C661" s="6"/>
      <c r="D661" s="6"/>
      <c r="E661" s="6"/>
    </row>
    <row r="662" ht="15.75" customHeight="1">
      <c r="A662" s="6"/>
      <c r="B662" s="6"/>
      <c r="C662" s="6"/>
      <c r="D662" s="6"/>
      <c r="E662" s="6"/>
    </row>
    <row r="663" ht="15.75" customHeight="1">
      <c r="A663" s="6"/>
      <c r="B663" s="6"/>
      <c r="C663" s="6"/>
      <c r="D663" s="6"/>
      <c r="E663" s="6"/>
    </row>
    <row r="664" ht="15.75" customHeight="1">
      <c r="A664" s="6"/>
      <c r="B664" s="6"/>
      <c r="C664" s="6"/>
      <c r="D664" s="6"/>
      <c r="E664" s="6"/>
    </row>
    <row r="665" ht="15.75" customHeight="1">
      <c r="A665" s="6"/>
      <c r="B665" s="6"/>
      <c r="C665" s="6"/>
      <c r="D665" s="6"/>
      <c r="E665" s="6"/>
    </row>
    <row r="666" ht="15.75" customHeight="1">
      <c r="A666" s="6"/>
      <c r="B666" s="6"/>
      <c r="C666" s="6"/>
      <c r="D666" s="6"/>
      <c r="E666" s="6"/>
    </row>
    <row r="667" ht="15.75" customHeight="1">
      <c r="A667" s="6"/>
      <c r="B667" s="6"/>
      <c r="C667" s="6"/>
      <c r="D667" s="6"/>
      <c r="E667" s="6"/>
    </row>
    <row r="668" ht="15.75" customHeight="1">
      <c r="A668" s="6"/>
      <c r="B668" s="6"/>
      <c r="C668" s="6"/>
      <c r="D668" s="6"/>
      <c r="E668" s="6"/>
    </row>
    <row r="669" ht="15.75" customHeight="1">
      <c r="A669" s="6"/>
      <c r="B669" s="6"/>
      <c r="C669" s="6"/>
      <c r="D669" s="6"/>
      <c r="E669" s="6"/>
    </row>
    <row r="670" ht="15.75" customHeight="1">
      <c r="A670" s="6"/>
      <c r="B670" s="6"/>
      <c r="C670" s="6"/>
      <c r="D670" s="6"/>
      <c r="E670" s="6"/>
    </row>
    <row r="671" ht="15.75" customHeight="1">
      <c r="A671" s="6"/>
      <c r="B671" s="6"/>
      <c r="C671" s="6"/>
      <c r="D671" s="6"/>
      <c r="E671" s="6"/>
    </row>
    <row r="672" ht="15.75" customHeight="1">
      <c r="A672" s="6"/>
      <c r="B672" s="6"/>
      <c r="C672" s="6"/>
      <c r="D672" s="6"/>
      <c r="E672" s="6"/>
    </row>
    <row r="673" ht="15.75" customHeight="1">
      <c r="A673" s="6"/>
      <c r="B673" s="6"/>
      <c r="C673" s="6"/>
      <c r="D673" s="6"/>
      <c r="E673" s="6"/>
    </row>
    <row r="674" ht="15.75" customHeight="1">
      <c r="A674" s="6"/>
      <c r="B674" s="6"/>
      <c r="C674" s="6"/>
      <c r="D674" s="6"/>
      <c r="E674" s="6"/>
    </row>
    <row r="675" ht="15.75" customHeight="1">
      <c r="A675" s="6"/>
      <c r="B675" s="6"/>
      <c r="C675" s="6"/>
      <c r="D675" s="6"/>
      <c r="E675" s="6"/>
    </row>
    <row r="676" ht="15.75" customHeight="1">
      <c r="A676" s="6"/>
      <c r="B676" s="6"/>
      <c r="C676" s="6"/>
      <c r="D676" s="6"/>
      <c r="E676" s="6"/>
    </row>
    <row r="677" ht="15.75" customHeight="1">
      <c r="A677" s="6"/>
      <c r="B677" s="6"/>
      <c r="C677" s="6"/>
      <c r="D677" s="6"/>
      <c r="E677" s="6"/>
    </row>
    <row r="678" ht="15.75" customHeight="1">
      <c r="A678" s="6"/>
      <c r="B678" s="6"/>
      <c r="C678" s="6"/>
      <c r="D678" s="6"/>
      <c r="E678" s="6"/>
    </row>
    <row r="679" ht="15.75" customHeight="1">
      <c r="A679" s="6"/>
      <c r="B679" s="6"/>
      <c r="C679" s="6"/>
      <c r="D679" s="6"/>
      <c r="E679" s="6"/>
    </row>
    <row r="680" ht="15.75" customHeight="1">
      <c r="A680" s="6"/>
      <c r="B680" s="6"/>
      <c r="C680" s="6"/>
      <c r="D680" s="6"/>
      <c r="E680" s="6"/>
    </row>
    <row r="681" ht="15.75" customHeight="1">
      <c r="A681" s="6"/>
      <c r="B681" s="6"/>
      <c r="C681" s="6"/>
      <c r="D681" s="6"/>
      <c r="E681" s="6"/>
    </row>
    <row r="682" ht="15.75" customHeight="1">
      <c r="A682" s="6"/>
      <c r="B682" s="6"/>
      <c r="C682" s="6"/>
      <c r="D682" s="6"/>
      <c r="E682" s="6"/>
    </row>
    <row r="683" ht="15.75" customHeight="1">
      <c r="A683" s="6"/>
      <c r="B683" s="6"/>
      <c r="C683" s="6"/>
      <c r="D683" s="6"/>
      <c r="E683" s="6"/>
    </row>
    <row r="684" ht="15.75" customHeight="1">
      <c r="A684" s="6"/>
      <c r="B684" s="6"/>
      <c r="C684" s="6"/>
      <c r="D684" s="6"/>
      <c r="E684" s="6"/>
    </row>
    <row r="685" ht="15.75" customHeight="1">
      <c r="A685" s="6"/>
      <c r="B685" s="6"/>
      <c r="C685" s="6"/>
      <c r="D685" s="6"/>
      <c r="E685" s="6"/>
    </row>
    <row r="686" ht="15.75" customHeight="1">
      <c r="A686" s="6"/>
      <c r="B686" s="6"/>
      <c r="C686" s="6"/>
      <c r="D686" s="6"/>
      <c r="E686" s="6"/>
    </row>
    <row r="687" ht="15.75" customHeight="1">
      <c r="A687" s="6"/>
      <c r="B687" s="6"/>
      <c r="C687" s="6"/>
      <c r="D687" s="6"/>
      <c r="E687" s="6"/>
    </row>
    <row r="688" ht="15.75" customHeight="1">
      <c r="A688" s="6"/>
      <c r="B688" s="6"/>
      <c r="C688" s="6"/>
      <c r="D688" s="6"/>
      <c r="E688" s="6"/>
    </row>
    <row r="689" ht="15.75" customHeight="1">
      <c r="A689" s="6"/>
      <c r="B689" s="6"/>
      <c r="C689" s="6"/>
      <c r="D689" s="6"/>
      <c r="E689" s="6"/>
    </row>
    <row r="690" ht="15.75" customHeight="1">
      <c r="A690" s="6"/>
      <c r="B690" s="6"/>
      <c r="C690" s="6"/>
      <c r="D690" s="6"/>
      <c r="E690" s="6"/>
    </row>
    <row r="691" ht="15.75" customHeight="1">
      <c r="A691" s="6"/>
      <c r="B691" s="6"/>
      <c r="C691" s="6"/>
      <c r="D691" s="6"/>
      <c r="E691" s="6"/>
    </row>
    <row r="692" ht="15.75" customHeight="1">
      <c r="A692" s="6"/>
      <c r="B692" s="6"/>
      <c r="C692" s="6"/>
      <c r="D692" s="6"/>
      <c r="E692" s="6"/>
    </row>
    <row r="693" ht="15.75" customHeight="1">
      <c r="A693" s="6"/>
      <c r="B693" s="6"/>
      <c r="C693" s="6"/>
      <c r="D693" s="6"/>
      <c r="E693" s="6"/>
    </row>
    <row r="694" ht="15.75" customHeight="1">
      <c r="A694" s="6"/>
      <c r="B694" s="6"/>
      <c r="C694" s="6"/>
      <c r="D694" s="6"/>
      <c r="E694" s="6"/>
    </row>
    <row r="695" ht="15.75" customHeight="1">
      <c r="A695" s="6"/>
      <c r="B695" s="6"/>
      <c r="C695" s="6"/>
      <c r="D695" s="6"/>
      <c r="E695" s="6"/>
    </row>
    <row r="696" ht="15.75" customHeight="1">
      <c r="A696" s="6"/>
      <c r="B696" s="6"/>
      <c r="C696" s="6"/>
      <c r="D696" s="6"/>
      <c r="E696" s="6"/>
    </row>
    <row r="697" ht="15.75" customHeight="1">
      <c r="A697" s="6"/>
      <c r="B697" s="6"/>
      <c r="C697" s="6"/>
      <c r="D697" s="6"/>
      <c r="E697" s="6"/>
    </row>
    <row r="698" ht="15.75" customHeight="1">
      <c r="A698" s="6"/>
      <c r="B698" s="6"/>
      <c r="C698" s="6"/>
      <c r="D698" s="6"/>
      <c r="E698" s="6"/>
    </row>
    <row r="699" ht="15.75" customHeight="1">
      <c r="A699" s="6"/>
      <c r="B699" s="6"/>
      <c r="C699" s="6"/>
      <c r="D699" s="6"/>
      <c r="E699" s="6"/>
    </row>
    <row r="700" ht="15.75" customHeight="1">
      <c r="A700" s="6"/>
      <c r="B700" s="6"/>
      <c r="C700" s="6"/>
      <c r="D700" s="6"/>
      <c r="E700" s="6"/>
    </row>
    <row r="701" ht="15.75" customHeight="1">
      <c r="A701" s="6"/>
      <c r="B701" s="6"/>
      <c r="C701" s="6"/>
      <c r="D701" s="6"/>
      <c r="E701" s="6"/>
    </row>
    <row r="702" ht="15.75" customHeight="1">
      <c r="A702" s="6"/>
      <c r="B702" s="6"/>
      <c r="C702" s="6"/>
      <c r="D702" s="6"/>
      <c r="E702" s="6"/>
    </row>
    <row r="703" ht="15.75" customHeight="1">
      <c r="A703" s="6"/>
      <c r="B703" s="6"/>
      <c r="C703" s="6"/>
      <c r="D703" s="6"/>
      <c r="E703" s="6"/>
    </row>
    <row r="704" ht="15.75" customHeight="1">
      <c r="A704" s="6"/>
      <c r="B704" s="6"/>
      <c r="C704" s="6"/>
      <c r="D704" s="6"/>
      <c r="E704" s="6"/>
    </row>
    <row r="705" ht="15.75" customHeight="1">
      <c r="A705" s="6"/>
      <c r="B705" s="6"/>
      <c r="C705" s="6"/>
      <c r="D705" s="6"/>
      <c r="E705" s="6"/>
    </row>
    <row r="706" ht="15.75" customHeight="1">
      <c r="A706" s="6"/>
      <c r="B706" s="6"/>
      <c r="C706" s="6"/>
      <c r="D706" s="6"/>
      <c r="E706" s="6"/>
    </row>
    <row r="707" ht="15.75" customHeight="1">
      <c r="A707" s="6"/>
      <c r="B707" s="6"/>
      <c r="C707" s="6"/>
      <c r="D707" s="6"/>
      <c r="E707" s="6"/>
    </row>
    <row r="708" ht="15.75" customHeight="1">
      <c r="A708" s="6"/>
      <c r="B708" s="6"/>
      <c r="C708" s="6"/>
      <c r="D708" s="6"/>
      <c r="E708" s="6"/>
    </row>
    <row r="709" ht="15.75" customHeight="1">
      <c r="A709" s="6"/>
      <c r="B709" s="6"/>
      <c r="C709" s="6"/>
      <c r="D709" s="6"/>
      <c r="E709" s="6"/>
    </row>
    <row r="710" ht="15.75" customHeight="1">
      <c r="A710" s="6"/>
      <c r="B710" s="6"/>
      <c r="C710" s="6"/>
      <c r="D710" s="6"/>
      <c r="E710" s="6"/>
    </row>
    <row r="711" ht="15.75" customHeight="1">
      <c r="A711" s="6"/>
      <c r="B711" s="6"/>
      <c r="C711" s="6"/>
      <c r="D711" s="6"/>
      <c r="E711" s="6"/>
    </row>
    <row r="712" ht="15.75" customHeight="1">
      <c r="A712" s="6"/>
      <c r="B712" s="6"/>
      <c r="C712" s="6"/>
      <c r="D712" s="6"/>
      <c r="E712" s="6"/>
    </row>
    <row r="713" ht="15.75" customHeight="1">
      <c r="A713" s="6"/>
      <c r="B713" s="6"/>
      <c r="C713" s="6"/>
      <c r="D713" s="6"/>
      <c r="E713" s="6"/>
    </row>
    <row r="714" ht="15.75" customHeight="1">
      <c r="A714" s="6"/>
      <c r="B714" s="6"/>
      <c r="C714" s="6"/>
      <c r="D714" s="6"/>
      <c r="E714" s="6"/>
    </row>
    <row r="715" ht="15.75" customHeight="1">
      <c r="A715" s="6"/>
      <c r="B715" s="6"/>
      <c r="C715" s="6"/>
      <c r="D715" s="6"/>
      <c r="E715" s="6"/>
    </row>
    <row r="716" ht="15.75" customHeight="1">
      <c r="A716" s="6"/>
      <c r="B716" s="6"/>
      <c r="C716" s="6"/>
      <c r="D716" s="6"/>
      <c r="E716" s="6"/>
    </row>
    <row r="717" ht="15.75" customHeight="1">
      <c r="A717" s="6"/>
      <c r="B717" s="6"/>
      <c r="C717" s="6"/>
      <c r="D717" s="6"/>
      <c r="E717" s="6"/>
    </row>
    <row r="718" ht="15.75" customHeight="1">
      <c r="A718" s="6"/>
      <c r="B718" s="6"/>
      <c r="C718" s="6"/>
      <c r="D718" s="6"/>
      <c r="E718" s="6"/>
    </row>
    <row r="719" ht="15.75" customHeight="1">
      <c r="A719" s="6"/>
      <c r="B719" s="6"/>
      <c r="C719" s="6"/>
      <c r="D719" s="6"/>
      <c r="E719" s="6"/>
    </row>
    <row r="720" ht="15.75" customHeight="1">
      <c r="A720" s="6"/>
      <c r="B720" s="6"/>
      <c r="C720" s="6"/>
      <c r="D720" s="6"/>
      <c r="E720" s="6"/>
    </row>
    <row r="721" ht="15.75" customHeight="1">
      <c r="A721" s="6"/>
      <c r="B721" s="6"/>
      <c r="C721" s="6"/>
      <c r="D721" s="6"/>
      <c r="E721" s="6"/>
    </row>
    <row r="722" ht="15.75" customHeight="1">
      <c r="A722" s="6"/>
      <c r="B722" s="6"/>
      <c r="C722" s="6"/>
      <c r="D722" s="6"/>
      <c r="E722" s="6"/>
    </row>
    <row r="723" ht="15.75" customHeight="1">
      <c r="A723" s="6"/>
      <c r="B723" s="6"/>
      <c r="C723" s="6"/>
      <c r="D723" s="6"/>
      <c r="E723" s="6"/>
    </row>
    <row r="724" ht="15.75" customHeight="1">
      <c r="A724" s="6"/>
      <c r="B724" s="6"/>
      <c r="C724" s="6"/>
      <c r="D724" s="6"/>
      <c r="E724" s="6"/>
    </row>
    <row r="725" ht="15.75" customHeight="1">
      <c r="A725" s="6"/>
      <c r="B725" s="6"/>
      <c r="C725" s="6"/>
      <c r="D725" s="6"/>
      <c r="E725" s="6"/>
    </row>
    <row r="726" ht="15.75" customHeight="1">
      <c r="A726" s="6"/>
      <c r="B726" s="6"/>
      <c r="C726" s="6"/>
      <c r="D726" s="6"/>
      <c r="E726" s="6"/>
    </row>
    <row r="727" ht="15.75" customHeight="1">
      <c r="A727" s="6"/>
      <c r="B727" s="6"/>
      <c r="C727" s="6"/>
      <c r="D727" s="6"/>
      <c r="E727" s="6"/>
    </row>
    <row r="728" ht="15.75" customHeight="1">
      <c r="A728" s="6"/>
      <c r="B728" s="6"/>
      <c r="C728" s="6"/>
      <c r="D728" s="6"/>
      <c r="E728" s="6"/>
    </row>
    <row r="729" ht="15.75" customHeight="1">
      <c r="A729" s="6"/>
      <c r="B729" s="6"/>
      <c r="C729" s="6"/>
      <c r="D729" s="6"/>
      <c r="E729" s="6"/>
    </row>
    <row r="730" ht="15.75" customHeight="1">
      <c r="A730" s="6"/>
      <c r="B730" s="6"/>
      <c r="C730" s="6"/>
      <c r="D730" s="6"/>
      <c r="E730" s="6"/>
    </row>
    <row r="731" ht="15.75" customHeight="1">
      <c r="A731" s="6"/>
      <c r="B731" s="6"/>
      <c r="C731" s="6"/>
      <c r="D731" s="6"/>
      <c r="E731" s="6"/>
    </row>
    <row r="732" ht="15.75" customHeight="1">
      <c r="A732" s="6"/>
      <c r="B732" s="6"/>
      <c r="C732" s="6"/>
      <c r="D732" s="6"/>
      <c r="E732" s="6"/>
    </row>
    <row r="733" ht="15.75" customHeight="1">
      <c r="A733" s="6"/>
      <c r="B733" s="6"/>
      <c r="C733" s="6"/>
      <c r="D733" s="6"/>
      <c r="E733" s="6"/>
    </row>
    <row r="734" ht="15.75" customHeight="1">
      <c r="A734" s="6"/>
      <c r="B734" s="6"/>
      <c r="C734" s="6"/>
      <c r="D734" s="6"/>
      <c r="E734" s="6"/>
    </row>
    <row r="735" ht="15.75" customHeight="1">
      <c r="A735" s="6"/>
      <c r="B735" s="6"/>
      <c r="C735" s="6"/>
      <c r="D735" s="6"/>
      <c r="E735" s="6"/>
    </row>
    <row r="736" ht="15.75" customHeight="1">
      <c r="A736" s="6"/>
      <c r="B736" s="6"/>
      <c r="C736" s="6"/>
      <c r="D736" s="6"/>
      <c r="E736" s="6"/>
    </row>
    <row r="737" ht="15.75" customHeight="1">
      <c r="A737" s="6"/>
      <c r="B737" s="6"/>
      <c r="C737" s="6"/>
      <c r="D737" s="6"/>
      <c r="E737" s="6"/>
    </row>
    <row r="738" ht="15.75" customHeight="1">
      <c r="A738" s="6"/>
      <c r="B738" s="6"/>
      <c r="C738" s="6"/>
      <c r="D738" s="6"/>
      <c r="E738" s="6"/>
    </row>
    <row r="739" ht="15.75" customHeight="1">
      <c r="A739" s="6"/>
      <c r="B739" s="6"/>
      <c r="C739" s="6"/>
      <c r="D739" s="6"/>
      <c r="E739" s="6"/>
    </row>
    <row r="740" ht="15.75" customHeight="1">
      <c r="A740" s="6"/>
      <c r="B740" s="6"/>
      <c r="C740" s="6"/>
      <c r="D740" s="6"/>
      <c r="E740" s="6"/>
    </row>
    <row r="741" ht="15.75" customHeight="1">
      <c r="A741" s="6"/>
      <c r="B741" s="6"/>
      <c r="C741" s="6"/>
      <c r="D741" s="6"/>
      <c r="E741" s="6"/>
    </row>
    <row r="742" ht="15.75" customHeight="1">
      <c r="A742" s="6"/>
      <c r="B742" s="6"/>
      <c r="C742" s="6"/>
      <c r="D742" s="6"/>
      <c r="E742" s="6"/>
    </row>
    <row r="743" ht="15.75" customHeight="1">
      <c r="A743" s="6"/>
      <c r="B743" s="6"/>
      <c r="C743" s="6"/>
      <c r="D743" s="6"/>
      <c r="E743" s="6"/>
    </row>
    <row r="744" ht="15.75" customHeight="1">
      <c r="A744" s="6"/>
      <c r="B744" s="6"/>
      <c r="C744" s="6"/>
      <c r="D744" s="6"/>
      <c r="E744" s="6"/>
    </row>
    <row r="745" ht="15.75" customHeight="1">
      <c r="A745" s="6"/>
      <c r="B745" s="6"/>
      <c r="C745" s="6"/>
      <c r="D745" s="6"/>
      <c r="E745" s="6"/>
    </row>
    <row r="746" ht="15.75" customHeight="1">
      <c r="A746" s="6"/>
      <c r="B746" s="6"/>
      <c r="C746" s="6"/>
      <c r="D746" s="6"/>
      <c r="E746" s="6"/>
    </row>
    <row r="747" ht="15.75" customHeight="1">
      <c r="A747" s="6"/>
      <c r="B747" s="6"/>
      <c r="C747" s="6"/>
      <c r="D747" s="6"/>
      <c r="E747" s="6"/>
    </row>
    <row r="748" ht="15.75" customHeight="1">
      <c r="A748" s="6"/>
      <c r="B748" s="6"/>
      <c r="C748" s="6"/>
      <c r="D748" s="6"/>
      <c r="E748" s="6"/>
    </row>
    <row r="749" ht="15.75" customHeight="1">
      <c r="A749" s="6"/>
      <c r="B749" s="6"/>
      <c r="C749" s="6"/>
      <c r="D749" s="6"/>
      <c r="E749" s="6"/>
    </row>
    <row r="750" ht="15.75" customHeight="1">
      <c r="A750" s="6"/>
      <c r="B750" s="6"/>
      <c r="C750" s="6"/>
      <c r="D750" s="6"/>
      <c r="E750" s="6"/>
    </row>
    <row r="751" ht="15.75" customHeight="1">
      <c r="A751" s="6"/>
      <c r="B751" s="6"/>
      <c r="C751" s="6"/>
      <c r="D751" s="6"/>
      <c r="E751" s="6"/>
    </row>
    <row r="752" ht="15.75" customHeight="1">
      <c r="A752" s="6"/>
      <c r="B752" s="6"/>
      <c r="C752" s="6"/>
      <c r="D752" s="6"/>
      <c r="E752" s="6"/>
    </row>
    <row r="753" ht="15.75" customHeight="1">
      <c r="A753" s="6"/>
      <c r="B753" s="6"/>
      <c r="C753" s="6"/>
      <c r="D753" s="6"/>
      <c r="E753" s="6"/>
    </row>
    <row r="754" ht="15.75" customHeight="1">
      <c r="A754" s="6"/>
      <c r="B754" s="6"/>
      <c r="C754" s="6"/>
      <c r="D754" s="6"/>
      <c r="E754" s="6"/>
    </row>
    <row r="755" ht="15.75" customHeight="1">
      <c r="A755" s="6"/>
      <c r="B755" s="6"/>
      <c r="C755" s="6"/>
      <c r="D755" s="6"/>
      <c r="E755" s="6"/>
    </row>
    <row r="756" ht="15.75" customHeight="1">
      <c r="A756" s="6"/>
      <c r="B756" s="6"/>
      <c r="C756" s="6"/>
      <c r="D756" s="6"/>
      <c r="E756" s="6"/>
    </row>
    <row r="757" ht="15.75" customHeight="1">
      <c r="A757" s="6"/>
      <c r="B757" s="6"/>
      <c r="C757" s="6"/>
      <c r="D757" s="6"/>
      <c r="E757" s="6"/>
    </row>
    <row r="758" ht="15.75" customHeight="1">
      <c r="A758" s="6"/>
      <c r="B758" s="6"/>
      <c r="C758" s="6"/>
      <c r="D758" s="6"/>
      <c r="E758" s="6"/>
    </row>
    <row r="759" ht="15.75" customHeight="1">
      <c r="A759" s="6"/>
      <c r="B759" s="6"/>
      <c r="C759" s="6"/>
      <c r="D759" s="6"/>
      <c r="E759" s="6"/>
    </row>
    <row r="760" ht="15.75" customHeight="1">
      <c r="A760" s="6"/>
      <c r="B760" s="6"/>
      <c r="C760" s="6"/>
      <c r="D760" s="6"/>
      <c r="E760" s="6"/>
    </row>
    <row r="761" ht="15.75" customHeight="1">
      <c r="A761" s="6"/>
      <c r="B761" s="6"/>
      <c r="C761" s="6"/>
      <c r="D761" s="6"/>
      <c r="E761" s="6"/>
    </row>
    <row r="762" ht="15.75" customHeight="1">
      <c r="A762" s="6"/>
      <c r="B762" s="6"/>
      <c r="C762" s="6"/>
      <c r="D762" s="6"/>
      <c r="E762" s="6"/>
    </row>
    <row r="763" ht="15.75" customHeight="1">
      <c r="A763" s="6"/>
      <c r="B763" s="6"/>
      <c r="C763" s="6"/>
      <c r="D763" s="6"/>
      <c r="E763" s="6"/>
    </row>
    <row r="764" ht="15.75" customHeight="1">
      <c r="A764" s="6"/>
      <c r="B764" s="6"/>
      <c r="C764" s="6"/>
      <c r="D764" s="6"/>
      <c r="E764" s="6"/>
    </row>
    <row r="765" ht="15.75" customHeight="1">
      <c r="A765" s="6"/>
      <c r="B765" s="6"/>
      <c r="C765" s="6"/>
      <c r="D765" s="6"/>
      <c r="E765" s="6"/>
    </row>
    <row r="766" ht="15.75" customHeight="1">
      <c r="A766" s="6"/>
      <c r="B766" s="6"/>
      <c r="C766" s="6"/>
      <c r="D766" s="6"/>
      <c r="E766" s="6"/>
    </row>
    <row r="767" ht="15.75" customHeight="1">
      <c r="A767" s="6"/>
      <c r="B767" s="6"/>
      <c r="C767" s="6"/>
      <c r="D767" s="6"/>
      <c r="E767" s="6"/>
    </row>
    <row r="768" ht="15.75" customHeight="1">
      <c r="A768" s="6"/>
      <c r="B768" s="6"/>
      <c r="C768" s="6"/>
      <c r="D768" s="6"/>
      <c r="E768" s="6"/>
    </row>
    <row r="769" ht="15.75" customHeight="1">
      <c r="A769" s="6"/>
      <c r="B769" s="6"/>
      <c r="C769" s="6"/>
      <c r="D769" s="6"/>
      <c r="E769" s="6"/>
    </row>
    <row r="770" ht="15.75" customHeight="1">
      <c r="A770" s="6"/>
      <c r="B770" s="6"/>
      <c r="C770" s="6"/>
      <c r="D770" s="6"/>
      <c r="E770" s="6"/>
    </row>
    <row r="771" ht="15.75" customHeight="1">
      <c r="A771" s="6"/>
      <c r="B771" s="6"/>
      <c r="C771" s="6"/>
      <c r="D771" s="6"/>
      <c r="E771" s="6"/>
    </row>
    <row r="772" ht="15.75" customHeight="1">
      <c r="A772" s="6"/>
      <c r="B772" s="6"/>
      <c r="C772" s="6"/>
      <c r="D772" s="6"/>
      <c r="E772" s="6"/>
    </row>
    <row r="773" ht="15.75" customHeight="1">
      <c r="A773" s="6"/>
      <c r="B773" s="6"/>
      <c r="C773" s="6"/>
      <c r="D773" s="6"/>
      <c r="E773" s="6"/>
    </row>
    <row r="774" ht="15.75" customHeight="1">
      <c r="A774" s="6"/>
      <c r="B774" s="6"/>
      <c r="C774" s="6"/>
      <c r="D774" s="6"/>
      <c r="E774" s="6"/>
    </row>
    <row r="775" ht="15.75" customHeight="1">
      <c r="A775" s="6"/>
      <c r="B775" s="6"/>
      <c r="C775" s="6"/>
      <c r="D775" s="6"/>
      <c r="E775" s="6"/>
    </row>
    <row r="776" ht="15.75" customHeight="1">
      <c r="A776" s="6"/>
      <c r="B776" s="6"/>
      <c r="C776" s="6"/>
      <c r="D776" s="6"/>
      <c r="E776" s="6"/>
    </row>
    <row r="777" ht="15.75" customHeight="1">
      <c r="A777" s="6"/>
      <c r="B777" s="6"/>
      <c r="C777" s="6"/>
      <c r="D777" s="6"/>
      <c r="E777" s="6"/>
    </row>
    <row r="778" ht="15.75" customHeight="1">
      <c r="A778" s="6"/>
      <c r="B778" s="6"/>
      <c r="C778" s="6"/>
      <c r="D778" s="6"/>
      <c r="E778" s="6"/>
    </row>
    <row r="779" ht="15.75" customHeight="1">
      <c r="A779" s="6"/>
      <c r="B779" s="6"/>
      <c r="C779" s="6"/>
      <c r="D779" s="6"/>
      <c r="E779" s="6"/>
    </row>
    <row r="780" ht="15.75" customHeight="1">
      <c r="A780" s="6"/>
      <c r="B780" s="6"/>
      <c r="C780" s="6"/>
      <c r="D780" s="6"/>
      <c r="E780" s="6"/>
    </row>
    <row r="781" ht="15.75" customHeight="1">
      <c r="A781" s="6"/>
      <c r="B781" s="6"/>
      <c r="C781" s="6"/>
      <c r="D781" s="6"/>
      <c r="E781" s="6"/>
    </row>
    <row r="782" ht="15.75" customHeight="1">
      <c r="A782" s="6"/>
      <c r="B782" s="6"/>
      <c r="C782" s="6"/>
      <c r="D782" s="6"/>
      <c r="E782" s="6"/>
    </row>
    <row r="783" ht="15.75" customHeight="1">
      <c r="A783" s="6"/>
      <c r="B783" s="6"/>
      <c r="C783" s="6"/>
      <c r="D783" s="6"/>
      <c r="E783" s="6"/>
    </row>
    <row r="784" ht="15.75" customHeight="1">
      <c r="A784" s="6"/>
      <c r="B784" s="6"/>
      <c r="C784" s="6"/>
      <c r="D784" s="6"/>
      <c r="E784" s="6"/>
    </row>
    <row r="785" ht="15.75" customHeight="1">
      <c r="A785" s="6"/>
      <c r="B785" s="6"/>
      <c r="C785" s="6"/>
      <c r="D785" s="6"/>
      <c r="E785" s="6"/>
    </row>
    <row r="786" ht="15.75" customHeight="1">
      <c r="A786" s="6"/>
      <c r="B786" s="6"/>
      <c r="C786" s="6"/>
      <c r="D786" s="6"/>
      <c r="E786" s="6"/>
    </row>
    <row r="787" ht="15.75" customHeight="1">
      <c r="A787" s="6"/>
      <c r="B787" s="6"/>
      <c r="C787" s="6"/>
      <c r="D787" s="6"/>
      <c r="E787" s="6"/>
    </row>
    <row r="788" ht="15.75" customHeight="1">
      <c r="A788" s="6"/>
      <c r="B788" s="6"/>
      <c r="C788" s="6"/>
      <c r="D788" s="6"/>
      <c r="E788" s="6"/>
    </row>
    <row r="789" ht="15.75" customHeight="1">
      <c r="A789" s="6"/>
      <c r="B789" s="6"/>
      <c r="C789" s="6"/>
      <c r="D789" s="6"/>
      <c r="E789" s="6"/>
    </row>
    <row r="790" ht="15.75" customHeight="1">
      <c r="A790" s="6"/>
      <c r="B790" s="6"/>
      <c r="C790" s="6"/>
      <c r="D790" s="6"/>
      <c r="E790" s="6"/>
    </row>
    <row r="791" ht="15.75" customHeight="1">
      <c r="A791" s="6"/>
      <c r="B791" s="6"/>
      <c r="C791" s="6"/>
      <c r="D791" s="6"/>
      <c r="E791" s="6"/>
    </row>
    <row r="792" ht="15.75" customHeight="1">
      <c r="A792" s="6"/>
      <c r="B792" s="6"/>
      <c r="C792" s="6"/>
      <c r="D792" s="6"/>
      <c r="E792" s="6"/>
    </row>
    <row r="793" ht="15.75" customHeight="1">
      <c r="A793" s="6"/>
      <c r="B793" s="6"/>
      <c r="C793" s="6"/>
      <c r="D793" s="6"/>
      <c r="E793" s="6"/>
    </row>
    <row r="794" ht="15.75" customHeight="1">
      <c r="A794" s="6"/>
      <c r="B794" s="6"/>
      <c r="C794" s="6"/>
      <c r="D794" s="6"/>
      <c r="E794" s="6"/>
    </row>
    <row r="795" ht="15.75" customHeight="1">
      <c r="A795" s="6"/>
      <c r="B795" s="6"/>
      <c r="C795" s="6"/>
      <c r="D795" s="6"/>
      <c r="E795" s="6"/>
    </row>
    <row r="796" ht="15.75" customHeight="1">
      <c r="A796" s="6"/>
      <c r="B796" s="6"/>
      <c r="C796" s="6"/>
      <c r="D796" s="6"/>
      <c r="E796" s="6"/>
    </row>
    <row r="797" ht="15.75" customHeight="1">
      <c r="A797" s="6"/>
      <c r="B797" s="6"/>
      <c r="C797" s="6"/>
      <c r="D797" s="6"/>
      <c r="E797" s="6"/>
    </row>
    <row r="798" ht="15.75" customHeight="1">
      <c r="A798" s="6"/>
      <c r="B798" s="6"/>
      <c r="C798" s="6"/>
      <c r="D798" s="6"/>
      <c r="E798" s="6"/>
    </row>
    <row r="799" ht="15.75" customHeight="1">
      <c r="A799" s="6"/>
      <c r="B799" s="6"/>
      <c r="C799" s="6"/>
      <c r="D799" s="6"/>
      <c r="E799" s="6"/>
    </row>
    <row r="800" ht="15.75" customHeight="1">
      <c r="A800" s="6"/>
      <c r="B800" s="6"/>
      <c r="C800" s="6"/>
      <c r="D800" s="6"/>
      <c r="E800" s="6"/>
    </row>
    <row r="801" ht="15.75" customHeight="1">
      <c r="A801" s="6"/>
      <c r="B801" s="6"/>
      <c r="C801" s="6"/>
      <c r="D801" s="6"/>
      <c r="E801" s="6"/>
    </row>
    <row r="802" ht="15.75" customHeight="1">
      <c r="A802" s="6"/>
      <c r="B802" s="6"/>
      <c r="C802" s="6"/>
      <c r="D802" s="6"/>
      <c r="E802" s="6"/>
    </row>
    <row r="803" ht="15.75" customHeight="1">
      <c r="A803" s="6"/>
      <c r="B803" s="6"/>
      <c r="C803" s="6"/>
      <c r="D803" s="6"/>
      <c r="E803" s="6"/>
    </row>
    <row r="804" ht="15.75" customHeight="1">
      <c r="A804" s="6"/>
      <c r="B804" s="6"/>
      <c r="C804" s="6"/>
      <c r="D804" s="6"/>
      <c r="E804" s="6"/>
    </row>
    <row r="805" ht="15.75" customHeight="1">
      <c r="A805" s="6"/>
      <c r="B805" s="6"/>
      <c r="C805" s="6"/>
      <c r="D805" s="6"/>
      <c r="E805" s="6"/>
    </row>
    <row r="806" ht="15.75" customHeight="1">
      <c r="A806" s="6"/>
      <c r="B806" s="6"/>
      <c r="C806" s="6"/>
      <c r="D806" s="6"/>
      <c r="E806" s="6"/>
    </row>
    <row r="807" ht="15.75" customHeight="1">
      <c r="A807" s="6"/>
      <c r="B807" s="6"/>
      <c r="C807" s="6"/>
      <c r="D807" s="6"/>
      <c r="E807" s="6"/>
    </row>
    <row r="808" ht="15.75" customHeight="1">
      <c r="A808" s="6"/>
      <c r="B808" s="6"/>
      <c r="C808" s="6"/>
      <c r="D808" s="6"/>
      <c r="E808" s="6"/>
    </row>
    <row r="809" ht="15.75" customHeight="1">
      <c r="A809" s="6"/>
      <c r="B809" s="6"/>
      <c r="C809" s="6"/>
      <c r="D809" s="6"/>
      <c r="E809" s="6"/>
    </row>
    <row r="810" ht="15.75" customHeight="1">
      <c r="A810" s="6"/>
      <c r="B810" s="6"/>
      <c r="C810" s="6"/>
      <c r="D810" s="6"/>
      <c r="E810" s="6"/>
    </row>
    <row r="811" ht="15.75" customHeight="1">
      <c r="A811" s="6"/>
      <c r="B811" s="6"/>
      <c r="C811" s="6"/>
      <c r="D811" s="6"/>
      <c r="E811" s="6"/>
    </row>
    <row r="812" ht="15.75" customHeight="1">
      <c r="A812" s="6"/>
      <c r="B812" s="6"/>
      <c r="C812" s="6"/>
      <c r="D812" s="6"/>
      <c r="E812" s="6"/>
    </row>
    <row r="813" ht="15.75" customHeight="1">
      <c r="A813" s="6"/>
      <c r="B813" s="6"/>
      <c r="C813" s="6"/>
      <c r="D813" s="6"/>
      <c r="E813" s="6"/>
    </row>
    <row r="814" ht="15.75" customHeight="1">
      <c r="A814" s="6"/>
      <c r="B814" s="6"/>
      <c r="C814" s="6"/>
      <c r="D814" s="6"/>
      <c r="E814" s="6"/>
    </row>
    <row r="815" ht="15.75" customHeight="1">
      <c r="A815" s="6"/>
      <c r="B815" s="6"/>
      <c r="C815" s="6"/>
      <c r="D815" s="6"/>
      <c r="E815" s="6"/>
    </row>
    <row r="816" ht="15.75" customHeight="1">
      <c r="A816" s="6"/>
      <c r="B816" s="6"/>
      <c r="C816" s="6"/>
      <c r="D816" s="6"/>
      <c r="E816" s="6"/>
    </row>
    <row r="817" ht="15.75" customHeight="1">
      <c r="A817" s="6"/>
      <c r="B817" s="6"/>
      <c r="C817" s="6"/>
      <c r="D817" s="6"/>
      <c r="E817" s="6"/>
    </row>
    <row r="818" ht="15.75" customHeight="1">
      <c r="A818" s="6"/>
      <c r="B818" s="6"/>
      <c r="C818" s="6"/>
      <c r="D818" s="6"/>
      <c r="E818" s="6"/>
    </row>
    <row r="819" ht="15.75" customHeight="1">
      <c r="A819" s="6"/>
      <c r="B819" s="6"/>
      <c r="C819" s="6"/>
      <c r="D819" s="6"/>
      <c r="E819" s="6"/>
    </row>
    <row r="820" ht="15.75" customHeight="1">
      <c r="A820" s="6"/>
      <c r="B820" s="6"/>
      <c r="C820" s="6"/>
      <c r="D820" s="6"/>
      <c r="E820" s="6"/>
    </row>
    <row r="821" ht="15.75" customHeight="1">
      <c r="A821" s="6"/>
      <c r="B821" s="6"/>
      <c r="C821" s="6"/>
      <c r="D821" s="6"/>
      <c r="E821" s="6"/>
    </row>
    <row r="822" ht="15.75" customHeight="1">
      <c r="A822" s="6"/>
      <c r="B822" s="6"/>
      <c r="C822" s="6"/>
      <c r="D822" s="6"/>
      <c r="E822" s="6"/>
    </row>
    <row r="823" ht="15.75" customHeight="1">
      <c r="A823" s="6"/>
      <c r="B823" s="6"/>
      <c r="C823" s="6"/>
      <c r="D823" s="6"/>
      <c r="E823" s="6"/>
    </row>
    <row r="824" ht="15.75" customHeight="1">
      <c r="A824" s="6"/>
      <c r="B824" s="6"/>
      <c r="C824" s="6"/>
      <c r="D824" s="6"/>
      <c r="E824" s="6"/>
    </row>
    <row r="825" ht="15.75" customHeight="1">
      <c r="A825" s="6"/>
      <c r="B825" s="6"/>
      <c r="C825" s="6"/>
      <c r="D825" s="6"/>
      <c r="E825" s="6"/>
    </row>
    <row r="826" ht="15.75" customHeight="1">
      <c r="A826" s="6"/>
      <c r="B826" s="6"/>
      <c r="C826" s="6"/>
      <c r="D826" s="6"/>
      <c r="E826" s="6"/>
    </row>
    <row r="827" ht="15.75" customHeight="1">
      <c r="A827" s="6"/>
      <c r="B827" s="6"/>
      <c r="C827" s="6"/>
      <c r="D827" s="6"/>
      <c r="E827" s="6"/>
    </row>
    <row r="828" ht="15.75" customHeight="1">
      <c r="A828" s="6"/>
      <c r="B828" s="6"/>
      <c r="C828" s="6"/>
      <c r="D828" s="6"/>
      <c r="E828" s="6"/>
    </row>
    <row r="829" ht="15.75" customHeight="1">
      <c r="A829" s="6"/>
      <c r="B829" s="6"/>
      <c r="C829" s="6"/>
      <c r="D829" s="6"/>
      <c r="E829" s="6"/>
    </row>
    <row r="830" ht="15.75" customHeight="1">
      <c r="A830" s="6"/>
      <c r="B830" s="6"/>
      <c r="C830" s="6"/>
      <c r="D830" s="6"/>
      <c r="E830" s="6"/>
    </row>
    <row r="831" ht="15.75" customHeight="1">
      <c r="A831" s="6"/>
      <c r="B831" s="6"/>
      <c r="C831" s="6"/>
      <c r="D831" s="6"/>
      <c r="E831" s="6"/>
    </row>
    <row r="832" ht="15.75" customHeight="1">
      <c r="A832" s="6"/>
      <c r="B832" s="6"/>
      <c r="C832" s="6"/>
      <c r="D832" s="6"/>
      <c r="E832" s="6"/>
    </row>
    <row r="833" ht="15.75" customHeight="1">
      <c r="A833" s="6"/>
      <c r="B833" s="6"/>
      <c r="C833" s="6"/>
      <c r="D833" s="6"/>
      <c r="E833" s="6"/>
    </row>
    <row r="834" ht="15.75" customHeight="1">
      <c r="A834" s="6"/>
      <c r="B834" s="6"/>
      <c r="C834" s="6"/>
      <c r="D834" s="6"/>
      <c r="E834" s="6"/>
    </row>
    <row r="835" ht="15.75" customHeight="1">
      <c r="A835" s="6"/>
      <c r="B835" s="6"/>
      <c r="C835" s="6"/>
      <c r="D835" s="6"/>
      <c r="E835" s="6"/>
    </row>
    <row r="836" ht="15.75" customHeight="1">
      <c r="A836" s="6"/>
      <c r="B836" s="6"/>
      <c r="C836" s="6"/>
      <c r="D836" s="6"/>
      <c r="E836" s="6"/>
    </row>
    <row r="837" ht="15.75" customHeight="1">
      <c r="A837" s="6"/>
      <c r="B837" s="6"/>
      <c r="C837" s="6"/>
      <c r="D837" s="6"/>
      <c r="E837" s="6"/>
    </row>
    <row r="838" ht="15.75" customHeight="1">
      <c r="A838" s="6"/>
      <c r="B838" s="6"/>
      <c r="C838" s="6"/>
      <c r="D838" s="6"/>
      <c r="E838" s="6"/>
    </row>
    <row r="839" ht="15.75" customHeight="1">
      <c r="A839" s="6"/>
      <c r="B839" s="6"/>
      <c r="C839" s="6"/>
      <c r="D839" s="6"/>
      <c r="E839" s="6"/>
    </row>
    <row r="840" ht="15.75" customHeight="1">
      <c r="A840" s="6"/>
      <c r="B840" s="6"/>
      <c r="C840" s="6"/>
      <c r="D840" s="6"/>
      <c r="E840" s="6"/>
    </row>
    <row r="841" ht="15.75" customHeight="1">
      <c r="A841" s="6"/>
      <c r="B841" s="6"/>
      <c r="C841" s="6"/>
      <c r="D841" s="6"/>
      <c r="E841" s="6"/>
    </row>
    <row r="842" ht="15.75" customHeight="1">
      <c r="A842" s="6"/>
      <c r="B842" s="6"/>
      <c r="C842" s="6"/>
      <c r="D842" s="6"/>
      <c r="E842" s="6"/>
    </row>
    <row r="843" ht="15.75" customHeight="1">
      <c r="A843" s="6"/>
      <c r="B843" s="6"/>
      <c r="C843" s="6"/>
      <c r="D843" s="6"/>
      <c r="E843" s="6"/>
    </row>
    <row r="844" ht="15.75" customHeight="1">
      <c r="A844" s="6"/>
      <c r="B844" s="6"/>
      <c r="C844" s="6"/>
      <c r="D844" s="6"/>
      <c r="E844" s="6"/>
    </row>
    <row r="845" ht="15.75" customHeight="1">
      <c r="A845" s="6"/>
      <c r="B845" s="6"/>
      <c r="C845" s="6"/>
      <c r="D845" s="6"/>
      <c r="E845" s="6"/>
    </row>
    <row r="846" ht="15.75" customHeight="1">
      <c r="A846" s="6"/>
      <c r="B846" s="6"/>
      <c r="C846" s="6"/>
      <c r="D846" s="6"/>
      <c r="E846" s="6"/>
    </row>
    <row r="847" ht="15.75" customHeight="1">
      <c r="A847" s="6"/>
      <c r="B847" s="6"/>
      <c r="C847" s="6"/>
      <c r="D847" s="6"/>
      <c r="E847" s="6"/>
    </row>
    <row r="848" ht="15.75" customHeight="1">
      <c r="A848" s="6"/>
      <c r="B848" s="6"/>
      <c r="C848" s="6"/>
      <c r="D848" s="6"/>
      <c r="E848" s="6"/>
    </row>
    <row r="849" ht="15.75" customHeight="1">
      <c r="A849" s="6"/>
      <c r="B849" s="6"/>
      <c r="C849" s="6"/>
      <c r="D849" s="6"/>
      <c r="E849" s="6"/>
    </row>
    <row r="850" ht="15.75" customHeight="1">
      <c r="A850" s="6"/>
      <c r="B850" s="6"/>
      <c r="C850" s="6"/>
      <c r="D850" s="6"/>
      <c r="E850" s="6"/>
    </row>
    <row r="851" ht="15.75" customHeight="1">
      <c r="A851" s="6"/>
      <c r="B851" s="6"/>
      <c r="C851" s="6"/>
      <c r="D851" s="6"/>
      <c r="E851" s="6"/>
    </row>
    <row r="852" ht="15.75" customHeight="1">
      <c r="A852" s="6"/>
      <c r="B852" s="6"/>
      <c r="C852" s="6"/>
      <c r="D852" s="6"/>
      <c r="E852" s="6"/>
    </row>
    <row r="853" ht="15.75" customHeight="1">
      <c r="A853" s="6"/>
      <c r="B853" s="6"/>
      <c r="C853" s="6"/>
      <c r="D853" s="6"/>
      <c r="E853" s="6"/>
    </row>
    <row r="854" ht="15.75" customHeight="1">
      <c r="A854" s="6"/>
      <c r="B854" s="6"/>
      <c r="C854" s="6"/>
      <c r="D854" s="6"/>
      <c r="E854" s="6"/>
    </row>
    <row r="855" ht="15.75" customHeight="1">
      <c r="A855" s="6"/>
      <c r="B855" s="6"/>
      <c r="C855" s="6"/>
      <c r="D855" s="6"/>
      <c r="E855" s="6"/>
    </row>
    <row r="856" ht="15.75" customHeight="1">
      <c r="A856" s="6"/>
      <c r="B856" s="6"/>
      <c r="C856" s="6"/>
      <c r="D856" s="6"/>
      <c r="E856" s="6"/>
    </row>
    <row r="857" ht="15.75" customHeight="1">
      <c r="A857" s="6"/>
      <c r="B857" s="6"/>
      <c r="C857" s="6"/>
      <c r="D857" s="6"/>
      <c r="E857" s="6"/>
    </row>
    <row r="858" ht="15.75" customHeight="1">
      <c r="A858" s="6"/>
      <c r="B858" s="6"/>
      <c r="C858" s="6"/>
      <c r="D858" s="6"/>
      <c r="E858" s="6"/>
    </row>
    <row r="859" ht="15.75" customHeight="1">
      <c r="A859" s="6"/>
      <c r="B859" s="6"/>
      <c r="C859" s="6"/>
      <c r="D859" s="6"/>
      <c r="E859" s="6"/>
    </row>
    <row r="860" ht="15.75" customHeight="1">
      <c r="A860" s="6"/>
      <c r="B860" s="6"/>
      <c r="C860" s="6"/>
      <c r="D860" s="6"/>
      <c r="E860" s="6"/>
    </row>
    <row r="861" ht="15.75" customHeight="1">
      <c r="A861" s="6"/>
      <c r="B861" s="6"/>
      <c r="C861" s="6"/>
      <c r="D861" s="6"/>
      <c r="E861" s="6"/>
    </row>
    <row r="862" ht="15.75" customHeight="1">
      <c r="A862" s="6"/>
      <c r="B862" s="6"/>
      <c r="C862" s="6"/>
      <c r="D862" s="6"/>
      <c r="E862" s="6"/>
    </row>
    <row r="863" ht="15.75" customHeight="1">
      <c r="A863" s="6"/>
      <c r="B863" s="6"/>
      <c r="C863" s="6"/>
      <c r="D863" s="6"/>
      <c r="E863" s="6"/>
    </row>
    <row r="864" ht="15.75" customHeight="1">
      <c r="A864" s="6"/>
      <c r="B864" s="6"/>
      <c r="C864" s="6"/>
      <c r="D864" s="6"/>
      <c r="E864" s="6"/>
    </row>
    <row r="865" ht="15.75" customHeight="1">
      <c r="A865" s="6"/>
      <c r="B865" s="6"/>
      <c r="C865" s="6"/>
      <c r="D865" s="6"/>
      <c r="E865" s="6"/>
    </row>
    <row r="866" ht="15.75" customHeight="1">
      <c r="A866" s="6"/>
      <c r="B866" s="6"/>
      <c r="C866" s="6"/>
      <c r="D866" s="6"/>
      <c r="E866" s="6"/>
    </row>
    <row r="867" ht="15.75" customHeight="1">
      <c r="A867" s="6"/>
      <c r="B867" s="6"/>
      <c r="C867" s="6"/>
      <c r="D867" s="6"/>
      <c r="E867" s="6"/>
    </row>
    <row r="868" ht="15.75" customHeight="1">
      <c r="A868" s="6"/>
      <c r="B868" s="6"/>
      <c r="C868" s="6"/>
      <c r="D868" s="6"/>
      <c r="E868" s="6"/>
    </row>
    <row r="869" ht="15.75" customHeight="1">
      <c r="A869" s="6"/>
      <c r="B869" s="6"/>
      <c r="C869" s="6"/>
      <c r="D869" s="6"/>
      <c r="E869" s="6"/>
    </row>
    <row r="870" ht="15.75" customHeight="1">
      <c r="A870" s="6"/>
      <c r="B870" s="6"/>
      <c r="C870" s="6"/>
      <c r="D870" s="6"/>
      <c r="E870" s="6"/>
    </row>
    <row r="871" ht="15.75" customHeight="1">
      <c r="A871" s="6"/>
      <c r="B871" s="6"/>
      <c r="C871" s="6"/>
      <c r="D871" s="6"/>
      <c r="E871" s="6"/>
    </row>
    <row r="872" ht="15.75" customHeight="1">
      <c r="A872" s="6"/>
      <c r="B872" s="6"/>
      <c r="C872" s="6"/>
      <c r="D872" s="6"/>
      <c r="E872" s="6"/>
    </row>
    <row r="873" ht="15.75" customHeight="1">
      <c r="A873" s="6"/>
      <c r="B873" s="6"/>
      <c r="C873" s="6"/>
      <c r="D873" s="6"/>
      <c r="E873" s="6"/>
    </row>
    <row r="874" ht="15.75" customHeight="1">
      <c r="A874" s="6"/>
      <c r="B874" s="6"/>
      <c r="C874" s="6"/>
      <c r="D874" s="6"/>
      <c r="E874" s="6"/>
    </row>
    <row r="875" ht="15.75" customHeight="1">
      <c r="A875" s="6"/>
      <c r="B875" s="6"/>
      <c r="C875" s="6"/>
      <c r="D875" s="6"/>
      <c r="E875" s="6"/>
    </row>
    <row r="876" ht="15.75" customHeight="1">
      <c r="A876" s="6"/>
      <c r="B876" s="6"/>
      <c r="C876" s="6"/>
      <c r="D876" s="6"/>
      <c r="E876" s="6"/>
    </row>
    <row r="877" ht="15.75" customHeight="1">
      <c r="A877" s="6"/>
      <c r="B877" s="6"/>
      <c r="C877" s="6"/>
      <c r="D877" s="6"/>
      <c r="E877" s="6"/>
    </row>
    <row r="878" ht="15.75" customHeight="1">
      <c r="A878" s="6"/>
      <c r="B878" s="6"/>
      <c r="C878" s="6"/>
      <c r="D878" s="6"/>
      <c r="E878" s="6"/>
    </row>
    <row r="879" ht="15.75" customHeight="1">
      <c r="A879" s="6"/>
      <c r="B879" s="6"/>
      <c r="C879" s="6"/>
      <c r="D879" s="6"/>
      <c r="E879" s="6"/>
    </row>
    <row r="880" ht="15.75" customHeight="1">
      <c r="A880" s="6"/>
      <c r="B880" s="6"/>
      <c r="C880" s="6"/>
      <c r="D880" s="6"/>
      <c r="E880" s="6"/>
    </row>
    <row r="881" ht="15.75" customHeight="1">
      <c r="A881" s="6"/>
      <c r="B881" s="6"/>
      <c r="C881" s="6"/>
      <c r="D881" s="6"/>
      <c r="E881" s="6"/>
    </row>
    <row r="882" ht="15.75" customHeight="1">
      <c r="A882" s="6"/>
      <c r="B882" s="6"/>
      <c r="C882" s="6"/>
      <c r="D882" s="6"/>
      <c r="E882" s="6"/>
    </row>
    <row r="883" ht="15.75" customHeight="1">
      <c r="A883" s="6"/>
      <c r="B883" s="6"/>
      <c r="C883" s="6"/>
      <c r="D883" s="6"/>
      <c r="E883" s="6"/>
    </row>
    <row r="884" ht="15.75" customHeight="1">
      <c r="A884" s="6"/>
      <c r="B884" s="6"/>
      <c r="C884" s="6"/>
      <c r="D884" s="6"/>
      <c r="E884" s="6"/>
    </row>
    <row r="885" ht="15.75" customHeight="1">
      <c r="A885" s="6"/>
      <c r="B885" s="6"/>
      <c r="C885" s="6"/>
      <c r="D885" s="6"/>
      <c r="E885" s="6"/>
    </row>
    <row r="886" ht="15.75" customHeight="1">
      <c r="A886" s="6"/>
      <c r="B886" s="6"/>
      <c r="C886" s="6"/>
      <c r="D886" s="6"/>
      <c r="E886" s="6"/>
    </row>
    <row r="887" ht="15.75" customHeight="1">
      <c r="A887" s="6"/>
      <c r="B887" s="6"/>
      <c r="C887" s="6"/>
      <c r="D887" s="6"/>
      <c r="E887" s="6"/>
    </row>
    <row r="888" ht="15.75" customHeight="1">
      <c r="A888" s="6"/>
      <c r="B888" s="6"/>
      <c r="C888" s="6"/>
      <c r="D888" s="6"/>
      <c r="E888" s="6"/>
    </row>
    <row r="889" ht="15.75" customHeight="1">
      <c r="A889" s="6"/>
      <c r="B889" s="6"/>
      <c r="C889" s="6"/>
      <c r="D889" s="6"/>
      <c r="E889" s="6"/>
    </row>
    <row r="890" ht="15.75" customHeight="1">
      <c r="A890" s="6"/>
      <c r="B890" s="6"/>
      <c r="C890" s="6"/>
      <c r="D890" s="6"/>
      <c r="E890" s="6"/>
    </row>
    <row r="891" ht="15.75" customHeight="1">
      <c r="A891" s="6"/>
      <c r="B891" s="6"/>
      <c r="C891" s="6"/>
      <c r="D891" s="6"/>
      <c r="E891" s="6"/>
    </row>
    <row r="892" ht="15.75" customHeight="1">
      <c r="A892" s="6"/>
      <c r="B892" s="6"/>
      <c r="C892" s="6"/>
      <c r="D892" s="6"/>
      <c r="E892" s="6"/>
    </row>
    <row r="893" ht="15.75" customHeight="1">
      <c r="A893" s="6"/>
      <c r="B893" s="6"/>
      <c r="C893" s="6"/>
      <c r="D893" s="6"/>
      <c r="E893" s="6"/>
    </row>
    <row r="894" ht="15.75" customHeight="1">
      <c r="A894" s="6"/>
      <c r="B894" s="6"/>
      <c r="C894" s="6"/>
      <c r="D894" s="6"/>
      <c r="E894" s="6"/>
    </row>
    <row r="895" ht="15.75" customHeight="1">
      <c r="A895" s="6"/>
      <c r="B895" s="6"/>
      <c r="C895" s="6"/>
      <c r="D895" s="6"/>
      <c r="E895" s="6"/>
    </row>
    <row r="896" ht="15.75" customHeight="1">
      <c r="A896" s="6"/>
      <c r="B896" s="6"/>
      <c r="C896" s="6"/>
      <c r="D896" s="6"/>
      <c r="E896" s="6"/>
    </row>
    <row r="897" ht="15.75" customHeight="1">
      <c r="A897" s="6"/>
      <c r="B897" s="6"/>
      <c r="C897" s="6"/>
      <c r="D897" s="6"/>
      <c r="E897" s="6"/>
    </row>
    <row r="898" ht="15.75" customHeight="1">
      <c r="A898" s="6"/>
      <c r="B898" s="6"/>
      <c r="C898" s="6"/>
      <c r="D898" s="6"/>
      <c r="E898" s="6"/>
    </row>
    <row r="899" ht="15.75" customHeight="1">
      <c r="A899" s="6"/>
      <c r="B899" s="6"/>
      <c r="C899" s="6"/>
      <c r="D899" s="6"/>
      <c r="E899" s="6"/>
    </row>
    <row r="900" ht="15.75" customHeight="1">
      <c r="A900" s="6"/>
      <c r="B900" s="6"/>
      <c r="C900" s="6"/>
      <c r="D900" s="6"/>
      <c r="E900" s="6"/>
    </row>
    <row r="901" ht="15.75" customHeight="1">
      <c r="A901" s="6"/>
      <c r="B901" s="6"/>
      <c r="C901" s="6"/>
      <c r="D901" s="6"/>
      <c r="E901" s="6"/>
    </row>
    <row r="902" ht="15.75" customHeight="1">
      <c r="A902" s="6"/>
      <c r="B902" s="6"/>
      <c r="C902" s="6"/>
      <c r="D902" s="6"/>
      <c r="E902" s="6"/>
    </row>
    <row r="903" ht="15.75" customHeight="1">
      <c r="A903" s="6"/>
      <c r="B903" s="6"/>
      <c r="C903" s="6"/>
      <c r="D903" s="6"/>
      <c r="E903" s="6"/>
    </row>
    <row r="904" ht="15.75" customHeight="1">
      <c r="A904" s="6"/>
      <c r="B904" s="6"/>
      <c r="C904" s="6"/>
      <c r="D904" s="6"/>
      <c r="E904" s="6"/>
    </row>
    <row r="905" ht="15.75" customHeight="1">
      <c r="A905" s="6"/>
      <c r="B905" s="6"/>
      <c r="C905" s="6"/>
      <c r="D905" s="6"/>
      <c r="E905" s="6"/>
    </row>
    <row r="906" ht="15.75" customHeight="1">
      <c r="A906" s="6"/>
      <c r="B906" s="6"/>
      <c r="C906" s="6"/>
      <c r="D906" s="6"/>
      <c r="E906" s="6"/>
    </row>
    <row r="907" ht="15.75" customHeight="1">
      <c r="A907" s="6"/>
      <c r="B907" s="6"/>
      <c r="C907" s="6"/>
      <c r="D907" s="6"/>
      <c r="E907" s="6"/>
    </row>
    <row r="908" ht="15.75" customHeight="1">
      <c r="A908" s="6"/>
      <c r="B908" s="6"/>
      <c r="C908" s="6"/>
      <c r="D908" s="6"/>
      <c r="E908" s="6"/>
    </row>
    <row r="909" ht="15.75" customHeight="1">
      <c r="A909" s="6"/>
      <c r="B909" s="6"/>
      <c r="C909" s="6"/>
      <c r="D909" s="6"/>
      <c r="E909" s="6"/>
    </row>
    <row r="910" ht="15.75" customHeight="1">
      <c r="A910" s="6"/>
      <c r="B910" s="6"/>
      <c r="C910" s="6"/>
      <c r="D910" s="6"/>
      <c r="E910" s="6"/>
    </row>
    <row r="911" ht="15.75" customHeight="1">
      <c r="A911" s="6"/>
      <c r="B911" s="6"/>
      <c r="C911" s="6"/>
      <c r="D911" s="6"/>
      <c r="E911" s="6"/>
    </row>
    <row r="912" ht="15.75" customHeight="1">
      <c r="A912" s="6"/>
      <c r="B912" s="6"/>
      <c r="C912" s="6"/>
      <c r="D912" s="6"/>
      <c r="E912" s="6"/>
    </row>
    <row r="913" ht="15.75" customHeight="1">
      <c r="A913" s="6"/>
      <c r="B913" s="6"/>
      <c r="C913" s="6"/>
      <c r="D913" s="6"/>
      <c r="E913" s="6"/>
    </row>
    <row r="914" ht="15.75" customHeight="1">
      <c r="A914" s="6"/>
      <c r="B914" s="6"/>
      <c r="C914" s="6"/>
      <c r="D914" s="6"/>
      <c r="E914" s="6"/>
    </row>
    <row r="915" ht="15.75" customHeight="1">
      <c r="A915" s="6"/>
      <c r="B915" s="6"/>
      <c r="C915" s="6"/>
      <c r="D915" s="6"/>
      <c r="E915" s="6"/>
    </row>
    <row r="916" ht="15.75" customHeight="1">
      <c r="A916" s="6"/>
      <c r="B916" s="6"/>
      <c r="C916" s="6"/>
      <c r="D916" s="6"/>
      <c r="E916" s="6"/>
    </row>
    <row r="917" ht="15.75" customHeight="1">
      <c r="A917" s="6"/>
      <c r="B917" s="6"/>
      <c r="C917" s="6"/>
      <c r="D917" s="6"/>
      <c r="E917" s="6"/>
    </row>
    <row r="918" ht="15.75" customHeight="1">
      <c r="A918" s="6"/>
      <c r="B918" s="6"/>
      <c r="C918" s="6"/>
      <c r="D918" s="6"/>
      <c r="E918" s="6"/>
    </row>
    <row r="919" ht="15.75" customHeight="1">
      <c r="A919" s="6"/>
      <c r="B919" s="6"/>
      <c r="C919" s="6"/>
      <c r="D919" s="6"/>
      <c r="E919" s="6"/>
    </row>
    <row r="920" ht="15.75" customHeight="1">
      <c r="A920" s="6"/>
      <c r="B920" s="6"/>
      <c r="C920" s="6"/>
      <c r="D920" s="6"/>
      <c r="E920" s="6"/>
    </row>
    <row r="921" ht="15.75" customHeight="1">
      <c r="A921" s="6"/>
      <c r="B921" s="6"/>
      <c r="C921" s="6"/>
      <c r="D921" s="6"/>
      <c r="E921" s="6"/>
    </row>
    <row r="922" ht="15.75" customHeight="1">
      <c r="A922" s="6"/>
      <c r="B922" s="6"/>
      <c r="C922" s="6"/>
      <c r="D922" s="6"/>
      <c r="E922" s="6"/>
    </row>
    <row r="923" ht="15.75" customHeight="1">
      <c r="A923" s="6"/>
      <c r="B923" s="6"/>
      <c r="C923" s="6"/>
      <c r="D923" s="6"/>
      <c r="E923" s="6"/>
    </row>
    <row r="924" ht="15.75" customHeight="1">
      <c r="A924" s="6"/>
      <c r="B924" s="6"/>
      <c r="C924" s="6"/>
      <c r="D924" s="6"/>
      <c r="E924" s="6"/>
    </row>
    <row r="925" ht="15.75" customHeight="1">
      <c r="A925" s="6"/>
      <c r="B925" s="6"/>
      <c r="C925" s="6"/>
      <c r="D925" s="6"/>
      <c r="E925" s="6"/>
    </row>
    <row r="926" ht="15.75" customHeight="1">
      <c r="A926" s="6"/>
      <c r="B926" s="6"/>
      <c r="C926" s="6"/>
      <c r="D926" s="6"/>
      <c r="E926" s="6"/>
    </row>
    <row r="927" ht="15.75" customHeight="1">
      <c r="A927" s="6"/>
      <c r="B927" s="6"/>
      <c r="C927" s="6"/>
      <c r="D927" s="6"/>
      <c r="E927" s="6"/>
    </row>
    <row r="928" ht="15.75" customHeight="1">
      <c r="A928" s="6"/>
      <c r="B928" s="6"/>
      <c r="C928" s="6"/>
      <c r="D928" s="6"/>
      <c r="E928" s="6"/>
    </row>
    <row r="929" ht="15.75" customHeight="1">
      <c r="A929" s="6"/>
      <c r="B929" s="6"/>
      <c r="C929" s="6"/>
      <c r="D929" s="6"/>
      <c r="E929" s="6"/>
    </row>
    <row r="930" ht="15.75" customHeight="1">
      <c r="A930" s="6"/>
      <c r="B930" s="6"/>
      <c r="C930" s="6"/>
      <c r="D930" s="6"/>
      <c r="E930" s="6"/>
    </row>
    <row r="931" ht="15.75" customHeight="1">
      <c r="A931" s="6"/>
      <c r="B931" s="6"/>
      <c r="C931" s="6"/>
      <c r="D931" s="6"/>
      <c r="E931" s="6"/>
    </row>
    <row r="932" ht="15.75" customHeight="1">
      <c r="A932" s="6"/>
      <c r="B932" s="6"/>
      <c r="C932" s="6"/>
      <c r="D932" s="6"/>
      <c r="E932" s="6"/>
    </row>
    <row r="933" ht="15.75" customHeight="1">
      <c r="A933" s="6"/>
      <c r="B933" s="6"/>
      <c r="C933" s="6"/>
      <c r="D933" s="6"/>
      <c r="E933" s="6"/>
    </row>
    <row r="934" ht="15.75" customHeight="1">
      <c r="A934" s="6"/>
      <c r="B934" s="6"/>
      <c r="C934" s="6"/>
      <c r="D934" s="6"/>
      <c r="E934" s="6"/>
    </row>
    <row r="935" ht="15.75" customHeight="1">
      <c r="A935" s="6"/>
      <c r="B935" s="6"/>
      <c r="C935" s="6"/>
      <c r="D935" s="6"/>
      <c r="E935" s="6"/>
    </row>
    <row r="936" ht="15.75" customHeight="1">
      <c r="A936" s="6"/>
      <c r="B936" s="6"/>
      <c r="C936" s="6"/>
      <c r="D936" s="6"/>
      <c r="E936" s="6"/>
    </row>
    <row r="937" ht="15.75" customHeight="1">
      <c r="A937" s="6"/>
      <c r="B937" s="6"/>
      <c r="C937" s="6"/>
      <c r="D937" s="6"/>
      <c r="E937" s="6"/>
    </row>
    <row r="938" ht="15.75" customHeight="1">
      <c r="A938" s="6"/>
      <c r="B938" s="6"/>
      <c r="C938" s="6"/>
      <c r="D938" s="6"/>
      <c r="E938" s="6"/>
    </row>
    <row r="939" ht="15.75" customHeight="1">
      <c r="A939" s="6"/>
      <c r="B939" s="6"/>
      <c r="C939" s="6"/>
      <c r="D939" s="6"/>
      <c r="E939" s="6"/>
    </row>
    <row r="940" ht="15.75" customHeight="1">
      <c r="A940" s="6"/>
      <c r="B940" s="6"/>
      <c r="C940" s="6"/>
      <c r="D940" s="6"/>
      <c r="E940" s="6"/>
    </row>
    <row r="941" ht="15.75" customHeight="1">
      <c r="A941" s="6"/>
      <c r="B941" s="6"/>
      <c r="C941" s="6"/>
      <c r="D941" s="6"/>
      <c r="E941" s="6"/>
    </row>
    <row r="942" ht="15.75" customHeight="1">
      <c r="A942" s="6"/>
      <c r="B942" s="6"/>
      <c r="C942" s="6"/>
      <c r="D942" s="6"/>
      <c r="E942" s="6"/>
    </row>
    <row r="943" ht="15.75" customHeight="1">
      <c r="A943" s="6"/>
      <c r="B943" s="6"/>
      <c r="C943" s="6"/>
      <c r="D943" s="6"/>
      <c r="E943" s="6"/>
    </row>
    <row r="944" ht="15.75" customHeight="1">
      <c r="A944" s="6"/>
      <c r="B944" s="6"/>
      <c r="C944" s="6"/>
      <c r="D944" s="6"/>
      <c r="E944" s="6"/>
    </row>
    <row r="945" ht="15.75" customHeight="1">
      <c r="A945" s="6"/>
      <c r="B945" s="6"/>
      <c r="C945" s="6"/>
      <c r="D945" s="6"/>
      <c r="E945" s="6"/>
    </row>
    <row r="946" ht="15.75" customHeight="1">
      <c r="A946" s="6"/>
      <c r="B946" s="6"/>
      <c r="C946" s="6"/>
      <c r="D946" s="6"/>
      <c r="E946" s="6"/>
    </row>
    <row r="947" ht="15.75" customHeight="1">
      <c r="A947" s="6"/>
      <c r="B947" s="6"/>
      <c r="C947" s="6"/>
      <c r="D947" s="6"/>
      <c r="E947" s="6"/>
    </row>
    <row r="948" ht="15.75" customHeight="1">
      <c r="A948" s="6"/>
      <c r="B948" s="6"/>
      <c r="C948" s="6"/>
      <c r="D948" s="6"/>
      <c r="E948" s="6"/>
    </row>
    <row r="949" ht="15.75" customHeight="1">
      <c r="A949" s="6"/>
      <c r="B949" s="6"/>
      <c r="C949" s="6"/>
      <c r="D949" s="6"/>
      <c r="E949" s="6"/>
    </row>
    <row r="950" ht="15.75" customHeight="1">
      <c r="A950" s="6"/>
      <c r="B950" s="6"/>
      <c r="C950" s="6"/>
      <c r="D950" s="6"/>
      <c r="E950" s="6"/>
    </row>
    <row r="951" ht="15.75" customHeight="1">
      <c r="A951" s="6"/>
      <c r="B951" s="6"/>
      <c r="C951" s="6"/>
      <c r="D951" s="6"/>
      <c r="E951" s="6"/>
    </row>
    <row r="952" ht="15.75" customHeight="1">
      <c r="A952" s="6"/>
      <c r="B952" s="6"/>
      <c r="C952" s="6"/>
      <c r="D952" s="6"/>
      <c r="E952" s="6"/>
    </row>
    <row r="953" ht="15.75" customHeight="1">
      <c r="A953" s="6"/>
      <c r="B953" s="6"/>
      <c r="C953" s="6"/>
      <c r="D953" s="6"/>
      <c r="E953" s="6"/>
    </row>
    <row r="954" ht="15.75" customHeight="1">
      <c r="A954" s="6"/>
      <c r="B954" s="6"/>
      <c r="C954" s="6"/>
      <c r="D954" s="6"/>
      <c r="E954" s="6"/>
    </row>
    <row r="955" ht="15.75" customHeight="1">
      <c r="A955" s="6"/>
      <c r="B955" s="6"/>
      <c r="C955" s="6"/>
      <c r="D955" s="6"/>
      <c r="E955" s="6"/>
    </row>
    <row r="956" ht="15.75" customHeight="1">
      <c r="A956" s="6"/>
      <c r="B956" s="6"/>
      <c r="C956" s="6"/>
      <c r="D956" s="6"/>
      <c r="E956" s="6"/>
    </row>
    <row r="957" ht="15.75" customHeight="1">
      <c r="A957" s="6"/>
      <c r="B957" s="6"/>
      <c r="C957" s="6"/>
      <c r="D957" s="6"/>
      <c r="E957" s="6"/>
    </row>
    <row r="958" ht="15.75" customHeight="1">
      <c r="A958" s="6"/>
      <c r="B958" s="6"/>
      <c r="C958" s="6"/>
      <c r="D958" s="6"/>
      <c r="E958" s="6"/>
    </row>
    <row r="959" ht="15.75" customHeight="1">
      <c r="A959" s="6"/>
      <c r="B959" s="6"/>
      <c r="C959" s="6"/>
      <c r="D959" s="6"/>
      <c r="E959" s="6"/>
    </row>
    <row r="960" ht="15.75" customHeight="1">
      <c r="A960" s="6"/>
      <c r="B960" s="6"/>
      <c r="C960" s="6"/>
      <c r="D960" s="6"/>
      <c r="E960" s="6"/>
    </row>
    <row r="961" ht="15.75" customHeight="1">
      <c r="A961" s="6"/>
      <c r="B961" s="6"/>
      <c r="C961" s="6"/>
      <c r="D961" s="6"/>
      <c r="E961" s="6"/>
    </row>
    <row r="962" ht="15.75" customHeight="1">
      <c r="A962" s="6"/>
      <c r="B962" s="6"/>
      <c r="C962" s="6"/>
      <c r="D962" s="6"/>
      <c r="E962" s="6"/>
    </row>
    <row r="963" ht="15.75" customHeight="1">
      <c r="A963" s="6"/>
      <c r="B963" s="6"/>
      <c r="C963" s="6"/>
      <c r="D963" s="6"/>
      <c r="E963" s="6"/>
    </row>
    <row r="964" ht="15.75" customHeight="1">
      <c r="A964" s="6"/>
      <c r="B964" s="6"/>
      <c r="C964" s="6"/>
      <c r="D964" s="6"/>
      <c r="E964" s="6"/>
    </row>
    <row r="965" ht="15.75" customHeight="1">
      <c r="A965" s="6"/>
      <c r="B965" s="6"/>
      <c r="C965" s="6"/>
      <c r="D965" s="6"/>
      <c r="E965" s="6"/>
    </row>
    <row r="966" ht="15.75" customHeight="1">
      <c r="A966" s="6"/>
      <c r="B966" s="6"/>
      <c r="C966" s="6"/>
      <c r="D966" s="6"/>
      <c r="E966" s="6"/>
    </row>
    <row r="967" ht="15.75" customHeight="1">
      <c r="A967" s="6"/>
      <c r="B967" s="6"/>
      <c r="C967" s="6"/>
      <c r="D967" s="6"/>
      <c r="E967" s="6"/>
    </row>
    <row r="968" ht="15.75" customHeight="1">
      <c r="A968" s="6"/>
      <c r="B968" s="6"/>
      <c r="C968" s="6"/>
      <c r="D968" s="6"/>
      <c r="E968" s="6"/>
    </row>
    <row r="969" ht="15.75" customHeight="1">
      <c r="A969" s="6"/>
      <c r="B969" s="6"/>
      <c r="C969" s="6"/>
      <c r="D969" s="6"/>
      <c r="E969" s="6"/>
    </row>
    <row r="970" ht="15.75" customHeight="1">
      <c r="A970" s="6"/>
      <c r="B970" s="6"/>
      <c r="C970" s="6"/>
      <c r="D970" s="6"/>
      <c r="E970" s="6"/>
    </row>
    <row r="971" ht="15.75" customHeight="1">
      <c r="A971" s="6"/>
      <c r="B971" s="6"/>
      <c r="C971" s="6"/>
      <c r="D971" s="6"/>
      <c r="E971" s="6"/>
    </row>
    <row r="972" ht="15.75" customHeight="1">
      <c r="A972" s="6"/>
      <c r="B972" s="6"/>
      <c r="C972" s="6"/>
      <c r="D972" s="6"/>
      <c r="E972" s="6"/>
    </row>
    <row r="973" ht="15.75" customHeight="1">
      <c r="A973" s="6"/>
      <c r="B973" s="6"/>
      <c r="C973" s="6"/>
      <c r="D973" s="6"/>
      <c r="E973" s="6"/>
    </row>
    <row r="974" ht="15.75" customHeight="1">
      <c r="A974" s="6"/>
      <c r="B974" s="6"/>
      <c r="C974" s="6"/>
      <c r="D974" s="6"/>
      <c r="E974" s="6"/>
    </row>
    <row r="975" ht="15.75" customHeight="1">
      <c r="A975" s="6"/>
      <c r="B975" s="6"/>
      <c r="C975" s="6"/>
      <c r="D975" s="6"/>
      <c r="E975" s="6"/>
    </row>
    <row r="976" ht="15.75" customHeight="1">
      <c r="A976" s="6"/>
      <c r="B976" s="6"/>
      <c r="C976" s="6"/>
      <c r="D976" s="6"/>
      <c r="E976" s="6"/>
    </row>
    <row r="977" ht="15.75" customHeight="1">
      <c r="A977" s="6"/>
      <c r="B977" s="6"/>
      <c r="C977" s="6"/>
      <c r="D977" s="6"/>
      <c r="E977" s="6"/>
    </row>
    <row r="978" ht="15.75" customHeight="1">
      <c r="A978" s="6"/>
      <c r="B978" s="6"/>
      <c r="C978" s="6"/>
      <c r="D978" s="6"/>
      <c r="E978" s="6"/>
    </row>
    <row r="979" ht="15.75" customHeight="1">
      <c r="A979" s="6"/>
      <c r="B979" s="6"/>
      <c r="C979" s="6"/>
      <c r="D979" s="6"/>
      <c r="E979" s="6"/>
    </row>
    <row r="980" ht="15.75" customHeight="1">
      <c r="A980" s="6"/>
      <c r="B980" s="6"/>
      <c r="C980" s="6"/>
      <c r="D980" s="6"/>
      <c r="E980" s="6"/>
    </row>
    <row r="981" ht="15.75" customHeight="1">
      <c r="A981" s="6"/>
      <c r="B981" s="6"/>
      <c r="C981" s="6"/>
      <c r="D981" s="6"/>
      <c r="E981" s="6"/>
    </row>
    <row r="982" ht="15.75" customHeight="1">
      <c r="A982" s="6"/>
      <c r="B982" s="6"/>
      <c r="C982" s="6"/>
      <c r="D982" s="6"/>
      <c r="E982" s="6"/>
    </row>
    <row r="983" ht="15.75" customHeight="1">
      <c r="A983" s="6"/>
      <c r="B983" s="6"/>
      <c r="C983" s="6"/>
      <c r="D983" s="6"/>
      <c r="E983" s="6"/>
    </row>
    <row r="984" ht="15.75" customHeight="1">
      <c r="A984" s="6"/>
      <c r="B984" s="6"/>
      <c r="C984" s="6"/>
      <c r="D984" s="6"/>
      <c r="E984" s="6"/>
    </row>
    <row r="985" ht="15.75" customHeight="1">
      <c r="A985" s="6"/>
      <c r="B985" s="6"/>
      <c r="C985" s="6"/>
      <c r="D985" s="6"/>
      <c r="E985" s="6"/>
    </row>
    <row r="986" ht="15.75" customHeight="1">
      <c r="A986" s="6"/>
      <c r="B986" s="6"/>
      <c r="C986" s="6"/>
      <c r="D986" s="6"/>
      <c r="E986" s="6"/>
    </row>
    <row r="987" ht="15.75" customHeight="1">
      <c r="A987" s="6"/>
      <c r="B987" s="6"/>
      <c r="C987" s="6"/>
      <c r="D987" s="6"/>
      <c r="E987" s="6"/>
    </row>
    <row r="988" ht="15.75" customHeight="1">
      <c r="A988" s="6"/>
      <c r="B988" s="6"/>
      <c r="C988" s="6"/>
      <c r="D988" s="6"/>
      <c r="E988" s="6"/>
    </row>
    <row r="989" ht="15.75" customHeight="1">
      <c r="A989" s="6"/>
      <c r="B989" s="6"/>
      <c r="C989" s="6"/>
      <c r="D989" s="6"/>
      <c r="E989" s="6"/>
    </row>
    <row r="990" ht="15.75" customHeight="1">
      <c r="A990" s="6"/>
      <c r="B990" s="6"/>
      <c r="C990" s="6"/>
      <c r="D990" s="6"/>
      <c r="E990" s="6"/>
    </row>
    <row r="991" ht="15.75" customHeight="1">
      <c r="A991" s="6"/>
      <c r="B991" s="6"/>
      <c r="C991" s="6"/>
      <c r="D991" s="6"/>
      <c r="E991" s="6"/>
    </row>
    <row r="992" ht="15.75" customHeight="1">
      <c r="A992" s="6"/>
      <c r="B992" s="6"/>
      <c r="C992" s="6"/>
      <c r="D992" s="6"/>
      <c r="E992" s="6"/>
    </row>
    <row r="993" ht="15.75" customHeight="1">
      <c r="A993" s="6"/>
      <c r="B993" s="6"/>
      <c r="C993" s="6"/>
      <c r="D993" s="6"/>
      <c r="E993" s="6"/>
    </row>
    <row r="994" ht="15.75" customHeight="1">
      <c r="A994" s="6"/>
      <c r="B994" s="6"/>
      <c r="C994" s="6"/>
      <c r="D994" s="6"/>
      <c r="E994" s="6"/>
    </row>
    <row r="995" ht="15.75" customHeight="1">
      <c r="A995" s="6"/>
      <c r="B995" s="6"/>
      <c r="C995" s="6"/>
      <c r="D995" s="6"/>
      <c r="E995" s="6"/>
    </row>
    <row r="996" ht="15.75" customHeight="1">
      <c r="A996" s="6"/>
      <c r="B996" s="6"/>
      <c r="C996" s="6"/>
      <c r="D996" s="6"/>
      <c r="E996" s="6"/>
    </row>
    <row r="997" ht="15.75" customHeight="1">
      <c r="A997" s="6"/>
      <c r="B997" s="6"/>
      <c r="C997" s="6"/>
      <c r="D997" s="6"/>
      <c r="E997" s="6"/>
    </row>
    <row r="998" ht="15.75" customHeight="1">
      <c r="A998" s="6"/>
      <c r="B998" s="6"/>
      <c r="C998" s="6"/>
      <c r="D998" s="6"/>
      <c r="E998" s="6"/>
    </row>
    <row r="999" ht="15.75" customHeight="1">
      <c r="A999" s="6"/>
      <c r="B999" s="6"/>
      <c r="C999" s="6"/>
      <c r="D999" s="6"/>
      <c r="E999" s="6"/>
    </row>
    <row r="1000" ht="15.75" customHeight="1">
      <c r="A1000" s="6"/>
      <c r="B1000" s="6"/>
      <c r="C1000" s="6"/>
      <c r="D1000" s="6"/>
      <c r="E1000" s="6"/>
    </row>
  </sheetData>
  <drawing r:id="rId1"/>
</worksheet>
</file>