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4"/>
    <sheet state="visible" name="Semana Diagnostico" sheetId="2" r:id="rId5"/>
    <sheet state="visible" name="S.2" sheetId="3" r:id="rId6"/>
    <sheet state="visible" name="S.3" sheetId="4" r:id="rId7"/>
    <sheet state="visible" name="S.4" sheetId="5" r:id="rId8"/>
    <sheet state="visible" name="S.5" sheetId="6" r:id="rId9"/>
    <sheet state="visible" name="S.6" sheetId="7" r:id="rId10"/>
    <sheet state="visible" name="S.7" sheetId="8" r:id="rId11"/>
    <sheet state="visible" name="S.8" sheetId="9" r:id="rId12"/>
    <sheet state="visible" name="S.9" sheetId="10" r:id="rId13"/>
    <sheet state="visible" name="S.10" sheetId="11" r:id="rId14"/>
    <sheet state="visible" name="S.11" sheetId="12" r:id="rId15"/>
    <sheet state="visible" name="Proyectos" sheetId="13" r:id="rId16"/>
    <sheet state="visible" name="Practicas" sheetId="14" r:id="rId17"/>
    <sheet state="visible" name="Tareas" sheetId="15" r:id="rId18"/>
    <sheet state="visible" name="Resumen" sheetId="16" r:id="rId19"/>
    <sheet state="hidden" name="METADATA" sheetId="17" r:id="rId20"/>
  </sheets>
  <definedNames/>
  <calcPr/>
  <extLst>
    <ext uri="GoogleSheetsCustomDataVersion2">
      <go:sheetsCustomData xmlns:go="http://customooxmlschemas.google.com/" r:id="rId21" roundtripDataChecksum="ukn8rG3vGY++KhqR4Rhb2ERkOggl+i1rB/C0MWcb8n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<sst xmlns="http://schemas.openxmlformats.org/spreadsheetml/2006/main" count="1530" uniqueCount="334">
  <si>
    <t>Diseño de Contenido Curricular</t>
  </si>
  <si>
    <t>Curso</t>
  </si>
  <si>
    <t>975 - Redes de Computadoras 2</t>
  </si>
  <si>
    <t>Periodo al que aplica</t>
  </si>
  <si>
    <t>Primer Semestre 2026</t>
  </si>
  <si>
    <t>No.</t>
  </si>
  <si>
    <t>Competencia</t>
  </si>
  <si>
    <t>Nombre de la Unidad</t>
  </si>
  <si>
    <t>Tema</t>
  </si>
  <si>
    <t>Subtema</t>
  </si>
  <si>
    <t>Mes</t>
  </si>
  <si>
    <t>Semana</t>
  </si>
  <si>
    <t xml:space="preserve">El estudiante comprende los conceptos de los tipos de redes y la segmentación de las mismas mediante el análisis de sus diferencias, características y funciones para aplicar el conocimiento en el diseño y configuración de topologías. </t>
  </si>
  <si>
    <t xml:space="preserve">Unidad 1: Arquitectura de redes. </t>
  </si>
  <si>
    <t>Introducción a la arquitectura de redes y dispositivos principales</t>
  </si>
  <si>
    <t>Conceptos de redes LAN</t>
  </si>
  <si>
    <t>Enero</t>
  </si>
  <si>
    <t>Conceptos de redes MAN</t>
  </si>
  <si>
    <t>Conceptos de redes WAN</t>
  </si>
  <si>
    <t>Unidad 2: Tráfico en capa 2.</t>
  </si>
  <si>
    <t>VLANs y segmentación de redes</t>
  </si>
  <si>
    <t xml:space="preserve">Concepto y definición de VLAN </t>
  </si>
  <si>
    <t>Tipos de VLANs y clasificación</t>
  </si>
  <si>
    <t>Configuración básica de VLANs en switches</t>
  </si>
  <si>
    <t>VLAN Trunking Protocol</t>
  </si>
  <si>
    <t>PVID (Port VLAN ID) y asignación de puertos</t>
  </si>
  <si>
    <t>VLANs dinámicas y administración centralizada</t>
  </si>
  <si>
    <t>Problemas comunes y mejores prácticas en la implementación de VLANs</t>
  </si>
  <si>
    <t>Protocolos de puertos y conectividad</t>
  </si>
  <si>
    <t>Función de puertos de acceso en redes locales.</t>
  </si>
  <si>
    <t>Febrero</t>
  </si>
  <si>
    <t>Función de puertos troncales en redes inter-VLAN.</t>
  </si>
  <si>
    <t>Etiquetado de tráfico VLAN en puertos troncales (IEEE 802.1Q).</t>
  </si>
  <si>
    <t>Configuración de puertos de acceso en switches.</t>
  </si>
  <si>
    <t>Configuración de puertos de truncales en switches.</t>
  </si>
  <si>
    <t>Protocolo de Negociación de Trunking (DTP) y su funcionamiento.</t>
  </si>
  <si>
    <t>Casos de uso avanzados de trunking en redes corporativas.</t>
  </si>
  <si>
    <t xml:space="preserve">El estudiante administra  interfaces y configuraciones de seguridad en dispositivos de red mediante el uso de comandos, técnicas y buenas prácticas para asegurar el correcto funcionamiento y la seguridad de la red </t>
  </si>
  <si>
    <t>Seguridad en capa 2</t>
  </si>
  <si>
    <t>Definición y Funcionamiento de protocolo Port-Security</t>
  </si>
  <si>
    <t>Modos de violación en Port-Security</t>
  </si>
  <si>
    <t>Configuración de Port-Security en redes locales</t>
  </si>
  <si>
    <t>Protocolos de capa 2</t>
  </si>
  <si>
    <t>Funcionamiento del Spanning Tree Protocol (STP).</t>
  </si>
  <si>
    <t>Prevención de bucles de red con STP.</t>
  </si>
  <si>
    <t>Ventajas y mejoras de Rapid Spanning Tree Protocol (RSTP).</t>
  </si>
  <si>
    <t>Configuración básica de RSTP en switches.</t>
  </si>
  <si>
    <t>Escalabilidad y uso de Multiple Spanning Tree Protocol (MSTP).</t>
  </si>
  <si>
    <t>Implementación de STP/RSTP/MSTP en laboratorios con Cisco Packet Tracer.</t>
  </si>
  <si>
    <t xml:space="preserve">El estudiante identifica los principios de funcionamiento de los protocolos de enrutamiento dinámico mediante la comparación de sus caracteristicas, ventajas y desventajas para utilizarlos en la implementación de redes de forma eficiente y segura </t>
  </si>
  <si>
    <t>Unidad 3: Tráfico en capa 3.</t>
  </si>
  <si>
    <t>Protocolos de enrutamiento dinámico</t>
  </si>
  <si>
    <t>Introducción a OSPF y su funcionamiento.</t>
  </si>
  <si>
    <t>Concepto de áreas en OSPF y su estructura jerárquica.</t>
  </si>
  <si>
    <t>Configuración básica de OSPF en una red de área única.</t>
  </si>
  <si>
    <t>Configuración de OSPF en redes con múltiples áreas.</t>
  </si>
  <si>
    <t>Cálculo de métricas de costo en OSPF.</t>
  </si>
  <si>
    <t>Ventajas de OSPF frente a RIP y otros protocolos de enrutamiento.</t>
  </si>
  <si>
    <t>Solución de problemas comunes en la configuración de OSPF.</t>
  </si>
  <si>
    <t>Introducción a EIGRP y su funcionamiento.</t>
  </si>
  <si>
    <t>Estructura jerárquica de EIGRP.</t>
  </si>
  <si>
    <t>Configuración básica de EIGRP en una red de área única.</t>
  </si>
  <si>
    <t>Introducción al Routing Information Protocol (RIP).</t>
  </si>
  <si>
    <t>Ventajas y desventajas de RIP en redes pequeñas.</t>
  </si>
  <si>
    <t>Ventajas de EIGRP frente a OSPF y otros protocolos de enrutamiento.</t>
  </si>
  <si>
    <t>Segmentación de Redes</t>
  </si>
  <si>
    <t>Técnicas segmentación de redes más comunicas.</t>
  </si>
  <si>
    <t>Marzo</t>
  </si>
  <si>
    <t>Definición y Funcionamiento de técnica VLSM.</t>
  </si>
  <si>
    <t>Definición y Funcionamiento de técnica FLSM.</t>
  </si>
  <si>
    <t>Cálculo de segmentación de redes utilizando ambas técnicas.</t>
  </si>
  <si>
    <t>Unidad 4: Alta disponibilidad en redes.</t>
  </si>
  <si>
    <t>Alta disponibilidad en redes</t>
  </si>
  <si>
    <t>Concepto de alta disponibilidad en redes.</t>
  </si>
  <si>
    <t xml:space="preserve">El estudiante configura la agregación de enlaces utilizando los protocolos LACP o PAgP para mejorar el ancho de banda y la tolerancia a fallos en redes Ethernet. </t>
  </si>
  <si>
    <t>Funcionamiento y configuración de Link Aggregation Control Protocol (LACP).</t>
  </si>
  <si>
    <t>Beneficios de la agregación de enlaces con LACP.</t>
  </si>
  <si>
    <t>Funcionamiento y configuración de Port Aggregation Control Protocol (PAGP).</t>
  </si>
  <si>
    <t>Beneficios de la agregación de enlaces con PAGP</t>
  </si>
  <si>
    <t>Configuración de ambos protocolos en redes locales.</t>
  </si>
  <si>
    <t>Unidad 5: Direccionamietno IP dinámico.</t>
  </si>
  <si>
    <t>Direccionamiento IP dinámico.</t>
  </si>
  <si>
    <t>Definición y Funcionamiento de protocolo DHCP.</t>
  </si>
  <si>
    <t>Configuración DHCP.</t>
  </si>
  <si>
    <t>Proceso de asignación de direccionamiento DHCP.</t>
  </si>
  <si>
    <t>Configuración de protocolo DCHP en redes LAN y WAN.</t>
  </si>
  <si>
    <t>Arquitectura de redes</t>
  </si>
  <si>
    <t>Definición de modelo jerárquico de Cisco.</t>
  </si>
  <si>
    <t>Diferencias clave entre capas de modelo jerárquico.</t>
  </si>
  <si>
    <t>Diseño de redes implementando el modelo jerárquico.</t>
  </si>
  <si>
    <t>Seguridad en capa 3</t>
  </si>
  <si>
    <t>Definicion de Listas de Control de Acceso.</t>
  </si>
  <si>
    <t>Reglas de direccionamiento de tráfico de entrada y salida.</t>
  </si>
  <si>
    <t>Listas de Control de Acceso estándar</t>
  </si>
  <si>
    <t>Listas de control de acceso extendidas</t>
  </si>
  <si>
    <t xml:space="preserve">Reglas de tráfico entre puertos </t>
  </si>
  <si>
    <t>Configuración de ACL en prácticas de Cisco Packet Tracer.</t>
  </si>
  <si>
    <t>Unidad 6: Redes inalámbricas.</t>
  </si>
  <si>
    <t xml:space="preserve">Redes Inalámbricas </t>
  </si>
  <si>
    <t>Introducción a redes inalámbricas.</t>
  </si>
  <si>
    <t>Abril</t>
  </si>
  <si>
    <t>Diferencias clave entre redes cableadas e inalámrbicas.</t>
  </si>
  <si>
    <t>Definición y funcionamiento de redes Wifi</t>
  </si>
  <si>
    <t>Seguridad en routers inalámbricos</t>
  </si>
  <si>
    <t>Estándares de conexión de Wifi.</t>
  </si>
  <si>
    <t>Cifrado de contraseñas en redes Wifi.</t>
  </si>
  <si>
    <t xml:space="preserve">El estudiante diseña infraestructura de red inalámbrica  empleando puntos de acceso y estándares Wi-Fi bajo condiciones de cobertura y seguridad adecuadas </t>
  </si>
  <si>
    <t>Configuración de routers inalámbricos en Cisco Packet Tracer.</t>
  </si>
  <si>
    <t>Integración de redes inalámrbicas con redes cableadas en Cisco Packer Tracer.</t>
  </si>
  <si>
    <t xml:space="preserve">El estudiante implementa protocolos de redundancia de gateway mediante HSRP o VRRP para garantizar la alta disponibilidad en la conexión de redes locales. </t>
  </si>
  <si>
    <t>Introducción a la redundancia de capa 3.</t>
  </si>
  <si>
    <t>Diferencias clave entre VRRP y HSRP.</t>
  </si>
  <si>
    <t>Introducción al Virtual Router Redundancy Protocol (VRRP).</t>
  </si>
  <si>
    <t>Configuración de VRRP para la redundancia de routers.</t>
  </si>
  <si>
    <t>Introducción al Hot Standby Redundancy Protocol (HSRP).</t>
  </si>
  <si>
    <t>Configuración de HSRP para la redundancia de routers.</t>
  </si>
  <si>
    <t>Integración de protocolo HSRP en redes locales en Cisco Packer Tracer.</t>
  </si>
  <si>
    <t xml:space="preserve">El estudiante implementa el sistema de resolución de nombres utilizando servidores DNS para asegurar la correcta traducción de nombres de dominio en redes locales </t>
  </si>
  <si>
    <t>DNS y servicios de nombres de dominio</t>
  </si>
  <si>
    <t>Concepto y función del sistema de nombres de dominio (DNS).</t>
  </si>
  <si>
    <t>Unidad 7:Internet.</t>
  </si>
  <si>
    <t>Estructura jerárquica del DNS: dominios y subdominios.</t>
  </si>
  <si>
    <t>Funcionamiento básico del DNS: resolución de nombres y tipos de registros.</t>
  </si>
  <si>
    <t>Configuración de servidores DNS en redes locales.</t>
  </si>
  <si>
    <t>Tipos de servidores DNS: primario, secundario y caché.</t>
  </si>
  <si>
    <t>Fundamentos de Border Gateway Protocol (BGP).</t>
  </si>
  <si>
    <t>Mayo</t>
  </si>
  <si>
    <t>Tipos de BGP: Interno (iBGP) y Externo (eBGP).</t>
  </si>
  <si>
    <t>Configuración básica de BGP en routers.</t>
  </si>
  <si>
    <t>Políticas de enrutamiento y atributos en BGP.</t>
  </si>
  <si>
    <t>Comparación entre BGP y RIP en entornos de red.</t>
  </si>
  <si>
    <t>Seguridad en redes con certificados SSL/TLS</t>
  </si>
  <si>
    <t>Introducción a SSL/TLS: historia y evolución.</t>
  </si>
  <si>
    <t>Funcionamiento de SSL/TLS: capas de seguridad en las comunicaciones.</t>
  </si>
  <si>
    <t>Tipos de certificados SSL/TLS: estándar, wildcard y EV (Extended Validation).</t>
  </si>
  <si>
    <t>Validación de certificados: cómo funcionan las autoridades de certificación (CA).</t>
  </si>
  <si>
    <t>Importancia de HTTPS: beneficios de la seguridad en la web.</t>
  </si>
  <si>
    <t>Solución de problemas comunes relacionados con SSL/TLS en servidores web.</t>
  </si>
  <si>
    <t xml:space="preserve">El estudiante diseña e implementa redes de computadoras aplicando principios de enrutamiento, segmentación de redes, redundancia y gestión de servicios de red para garantizar la disponibilidad, eficiencia y seguridad de los servicios de red en entornos empresariales </t>
  </si>
  <si>
    <t>Introducción a redes en la nube</t>
  </si>
  <si>
    <t>Definición y características de redes en la nube: virtualización y escalabilidad.</t>
  </si>
  <si>
    <t>Diferencias entre redes públicas, privadas e híbridas en la nube.</t>
  </si>
  <si>
    <t>Funciones del Elastic Load Balancer (ELB) en AWS.</t>
  </si>
  <si>
    <t>Casos de uso de redes virtualizadas en la nube: ejemplos teóricos.</t>
  </si>
  <si>
    <t>Tiempo</t>
  </si>
  <si>
    <t xml:space="preserve">1. Bienvenida y Presentación                                   </t>
  </si>
  <si>
    <t>Tiempo Aproximado</t>
  </si>
  <si>
    <t>No puedes excederte mas de 15 minutos</t>
  </si>
  <si>
    <t xml:space="preserve">Nombre y Formacion Academica </t>
  </si>
  <si>
    <t>Estudiante de la facultad de ingenieria</t>
  </si>
  <si>
    <t xml:space="preserve">Experiencia docente y profecional </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</si>
  <si>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</si>
  <si>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Rol del auxiliar dentro del curso (funciones, actividades y apoyo a los estudiantes).</t>
  </si>
  <si>
    <t>Catedra de laboratorio, resolucion de dudas en los foros, etc.</t>
  </si>
  <si>
    <t>Expectativas sobre la dinámica del curso</t>
  </si>
  <si>
    <t xml:space="preserve">Tiempo que emplearas </t>
  </si>
  <si>
    <t xml:space="preserve">2. Evaluación de Conocimientos Previos                             </t>
  </si>
  <si>
    <t>No puedes excederte mas de 45 minutos</t>
  </si>
  <si>
    <t>Redactaras de 15 a 20 preguntas con sus respectivas respuestas , por lo que debes escoge los temas que evaluaras</t>
  </si>
  <si>
    <t>https://docs.google.com/forms/d/1C9E-0dZ28RfkALfoTw8kjn7ZNjLY6u0MusAbwyVzRPw/edit</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</si>
  <si>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</si>
  <si>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una parte practica</t>
  </si>
  <si>
    <t xml:space="preserve">3. Presentación de los Estudiantes                                </t>
  </si>
  <si>
    <t xml:space="preserve">No puedes excederte mas de 30 minutos </t>
  </si>
  <si>
    <t>Seleccion al Azar de 5 Estudiantes</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</si>
  <si>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</si>
  <si>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Preguntas que responderan los estudiantes afortunados</t>
  </si>
  <si>
    <t>Expectativas del curso? Interes en el curso anterior? Gustos e intereses en rede y ciberseguridad?</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</si>
  <si>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</si>
  <si>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</si>
  <si>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</si>
  <si>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</si>
  <si>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Se deben acordar horarios que se lleven a cabo durante el periodo de laboratorio (Sabado)</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</si>
  <si>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</si>
  <si>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</si>
  <si>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Sabado</t>
  </si>
  <si>
    <t xml:space="preserve">4.  Mostrar Programa del Curso                 </t>
  </si>
  <si>
    <t>No puedes excederte mas de 30 minutos</t>
  </si>
  <si>
    <t xml:space="preserve">2. Evaluación de Conocimientos del Curso Actual                                  </t>
  </si>
  <si>
    <t xml:space="preserve">Redactaras 20 preguntas con sus respectivas respuestas </t>
  </si>
  <si>
    <t>https://docs.google.com/forms/d/1wDLh134N9dFFa_1F2wQDIrxZm2PdnqE_AsxbkqQ7cnk/edit</t>
  </si>
  <si>
    <t>Diseño de la Sesión de Laboratorio</t>
  </si>
  <si>
    <t>Ponderación</t>
  </si>
  <si>
    <t>Validación de Tiempo</t>
  </si>
  <si>
    <t>1. Área Actitudinal (Saber Ser)</t>
  </si>
  <si>
    <t>Tiene que estar en un rango de 3 a 5 minutos</t>
  </si>
  <si>
    <t>Nombre del Valor</t>
  </si>
  <si>
    <t xml:space="preserve">Precisión </t>
  </si>
  <si>
    <t>Descripcion</t>
  </si>
  <si>
    <t xml:space="preserve">Detectar correctamente la palabra clave en un bloque de configuración.
</t>
  </si>
  <si>
    <t>Como se relaciona con los conocimientos de la sesion y se aplicaria</t>
  </si>
  <si>
    <t>Identificar la palabra exacta utilizada para nombrar la VLAN's</t>
  </si>
  <si>
    <t>2. Área Conocimiento (Saber)</t>
  </si>
  <si>
    <t>No puede exceder los 60 minutos</t>
  </si>
  <si>
    <t>Competencia a desarrollar</t>
  </si>
  <si>
    <t>2.1 Contenido</t>
  </si>
  <si>
    <t>Unidad</t>
  </si>
  <si>
    <t xml:space="preserve">Tema </t>
  </si>
  <si>
    <t>Sub Tema</t>
  </si>
  <si>
    <t>2.2 Recursos Educativos</t>
  </si>
  <si>
    <t>Tipo de Recurso a utilizar</t>
  </si>
  <si>
    <t>Tipo</t>
  </si>
  <si>
    <t>Rango Aproximando</t>
  </si>
  <si>
    <t>Presentacion</t>
  </si>
  <si>
    <t>Obligatorio</t>
  </si>
  <si>
    <t>Video</t>
  </si>
  <si>
    <t>3 a 6 minutos</t>
  </si>
  <si>
    <t>Lectura</t>
  </si>
  <si>
    <t>Optativo</t>
  </si>
  <si>
    <t>Ejercicio Demostrativo</t>
  </si>
  <si>
    <t>3. Área de Habilidades (Saber Hacer)</t>
  </si>
  <si>
    <t>Tiene que estar en un rango de 30 a 50 minutos</t>
  </si>
  <si>
    <t>Actividad 1 (Obligatoria)</t>
  </si>
  <si>
    <t>Competencia que predomina en la actividad</t>
  </si>
  <si>
    <t>Tipo de Actividad</t>
  </si>
  <si>
    <t>Cuestionario</t>
  </si>
  <si>
    <t>Coloca el tiempo que usar en la actividad, un tiempo sugerido 30 minutos</t>
  </si>
  <si>
    <t>Descripcion de la Actividad</t>
  </si>
  <si>
    <t>Cuestionario sobre la teoría de la clase</t>
  </si>
  <si>
    <t>Actividad 2 (Optativa puedes hacerla si lo consideras apropiado)</t>
  </si>
  <si>
    <t>Ejercicio Práctico</t>
  </si>
  <si>
    <t>Coloca el tiempo que usar en la actividad, un tiempo sugerido 20 minutos</t>
  </si>
  <si>
    <t>Indentificar la palabra clave para nombrar vlans en el enunciado.</t>
  </si>
  <si>
    <t>3. Cierre</t>
  </si>
  <si>
    <t>Tiene que estar en un rango de 10 a 15 minutos</t>
  </si>
  <si>
    <t>Asignacion de Actividades</t>
  </si>
  <si>
    <t>Resolucion de dudas</t>
  </si>
  <si>
    <t>Resuelve alguna duda, asigna las actividades que deben realizar, dudas de proyectos, etc</t>
  </si>
  <si>
    <t>Atención</t>
  </si>
  <si>
    <t xml:space="preserve">Detectar correctamente los comandos clave en un bloque de texto técnico.
</t>
  </si>
  <si>
    <t xml:space="preserve">No confundir access con trunk al identificarlos.
</t>
  </si>
  <si>
    <t>Indentificar la palabra clave para nombrar tipos de interfaces en el enunciado.</t>
  </si>
  <si>
    <t>Precisión</t>
  </si>
  <si>
    <t>Detectar palabras clave en configuraciones técnicas.</t>
  </si>
  <si>
    <t xml:space="preserve">Diferenciar entre términos similares (ej. "ip route" vs "router ospf").
</t>
  </si>
  <si>
    <t>Indentificar la palabra clave para configurar un protocolo de enrutamiento específico en el enunciado.</t>
  </si>
  <si>
    <t>Observación</t>
  </si>
  <si>
    <t>Detectar diferencias sutiles en terminología técnica.</t>
  </si>
  <si>
    <t>Aplicar correctamente el conocimiento teórico a casos prácticos.</t>
  </si>
  <si>
    <t>Responder si el enunciado presentado es verdadero o falso.</t>
  </si>
  <si>
    <t>Rigor</t>
  </si>
  <si>
    <t xml:space="preserve">Detectar diferencias sutiles en terminología técnica.
</t>
  </si>
  <si>
    <t xml:space="preserve">Responder si el enunciado presentado es verdadero o falso.							
							</t>
  </si>
  <si>
    <t>Análisis</t>
  </si>
  <si>
    <t xml:space="preserve"> Distinguir detalles técnicos en configuraciones.
</t>
  </si>
  <si>
    <t xml:space="preserve"> Usar correctamente ACLs según necesidades de red.
</t>
  </si>
  <si>
    <t>Indentificar la palabra clave para nombrar puertos en ACLs en el enunciado.</t>
  </si>
  <si>
    <t>Organización</t>
  </si>
  <si>
    <t>Distinguir claramente configuraciones internas/externas.</t>
  </si>
  <si>
    <t>Configuración de redes WLAN</t>
  </si>
  <si>
    <t>Realización de corto 1 de unidades 1, 2 y 3</t>
  </si>
  <si>
    <t xml:space="preserve">Identificar las diferencias entre redes LAN y redes WLAN. </t>
  </si>
  <si>
    <t>Flexibilidad</t>
  </si>
  <si>
    <t>Diferenciar correctamente sintaxis similar.</t>
  </si>
  <si>
    <t>Elegir el protocolo adecuado según el entorno.</t>
  </si>
  <si>
    <t>Identificar el protocolo de red aplicado según la palabra clave en el enunciado.</t>
  </si>
  <si>
    <t>Paciencia</t>
  </si>
  <si>
    <t>Correcta asignación de números AS.</t>
  </si>
  <si>
    <t>BGP requiere tiempo para converger.</t>
  </si>
  <si>
    <t>Realización de corto 2 de unidades 4, 5 y 6.</t>
  </si>
  <si>
    <t>Identificar el vecino de BGP dentro del enunciado.</t>
  </si>
  <si>
    <t>Creatividad</t>
  </si>
  <si>
    <t xml:space="preserve"> Diseñar diagramas claros.
</t>
  </si>
  <si>
    <t xml:space="preserve"> Diferenciar tipos de nube.
</t>
  </si>
  <si>
    <t>Realización de examen final</t>
  </si>
  <si>
    <t>Detectar las diferencias de tipos de nube según escenarios presentados.</t>
  </si>
  <si>
    <t>Proyectos</t>
  </si>
  <si>
    <t>La sumatoria de los puntos de los proyectos debe superar el  70% del total de la nota, no puede ser un 100%</t>
  </si>
  <si>
    <t>1. Primer Proyecto</t>
  </si>
  <si>
    <t>Horas para realizarlo</t>
  </si>
  <si>
    <t>Titulo</t>
  </si>
  <si>
    <t>Manos Solidarias</t>
  </si>
  <si>
    <t>Qué tecnologías, lenguajes de programación, plataformas, hardware o software se utilizaran</t>
  </si>
  <si>
    <t>Cisco Packet Tracer</t>
  </si>
  <si>
    <t>Descripción de lo que se realizara</t>
  </si>
  <si>
    <t xml:space="preserve">El estudiante de ser capaz de: 
● Realizar las configuraciones de switches multicapa y capa 2. 
● Implementar los protocolos de capa 3: RIP, OSPF, EIGRP y BGP. 
● Aplicar los conocimientos de redes MAN, LAN y WAN. 
● Aplicar los conocimientos de LACP.y PAGP 
● Implementar ACL’s. 
● Familiarizarse con las configuraciones de DHCP y sus conceptos. </t>
  </si>
  <si>
    <t>2. Segundo Proyecto</t>
  </si>
  <si>
    <t>Telecom Uno, Redes Nacionales y Link Global, conectando al país.</t>
  </si>
  <si>
    <t>El estudiante de ser capaz de: 
• Realizar configuraciones de switches de capa 2 y 3. 
• Aplicar conocimientos de protocolos de enrutamiento dinámico: RIP, 
OSPF, EIGRP y BGP. 
• Configuración de LACP. 
• Administración de direcciones IPv4 con DHCP. 
• Proponer e implementar una solución ideal para un problema para un 
problema de conectividad. 
• Implementación de Redes inalámbricas. 
• Implementación de DNS.</t>
  </si>
  <si>
    <t>3. Tercer Proyecto</t>
  </si>
  <si>
    <t>Optativa</t>
  </si>
  <si>
    <t>Practicas</t>
  </si>
  <si>
    <t>La sumatoria de los puntos de los practicas debe no debe super el  20%</t>
  </si>
  <si>
    <t>1. Primera Practica</t>
  </si>
  <si>
    <t>Obligatoria</t>
  </si>
  <si>
    <t>Alma Mater y la conectividad en su escuela.</t>
  </si>
  <si>
    <t xml:space="preserve">En esta practica el estudiante se familizariza o refresca sus concocimientos en la creacion de redes LAN asi como la segmentacion de la red en VLANs. </t>
  </si>
  <si>
    <t>2. Segunda Practica</t>
  </si>
  <si>
    <t>La facultad de Ingeniería y su problema de conectividad en la biblioteca.</t>
  </si>
  <si>
    <t>En esta practica el estudiante pone a prueba sus concimientos en la impelementacion de una red con ip dinamicas, agregacion de enlaces, y el uso de redes cableadas y wireless</t>
  </si>
  <si>
    <t>3. Tercera Practica</t>
  </si>
  <si>
    <t>4. Cuarta Practica</t>
  </si>
  <si>
    <t>5. Quinta Practica</t>
  </si>
  <si>
    <t>6. Sexta Practica</t>
  </si>
  <si>
    <t>7. Septima Practica</t>
  </si>
  <si>
    <t>T</t>
  </si>
  <si>
    <t>Tareas</t>
  </si>
  <si>
    <t>La sumatoria de los puntos de los practicas debe no debe super el  20% de la nota</t>
  </si>
  <si>
    <t>1. Primera Tarea</t>
  </si>
  <si>
    <t>Factores claves de conectividad en redes de área local.</t>
  </si>
  <si>
    <t xml:space="preserve">Investigación </t>
  </si>
  <si>
    <t>Investigar conceptos básicos de switching y routing.</t>
  </si>
  <si>
    <t>2. Segunda Tarea</t>
  </si>
  <si>
    <t>Dirreccionamiento IP automático y seguridad en capa 3.</t>
  </si>
  <si>
    <t>Investigación</t>
  </si>
  <si>
    <t>Investigar los conceptos de funcionamiento de DHCP, reglas de control de acceso y protocolos LACP y PAGP.</t>
  </si>
  <si>
    <t>3. Tercera Tarea</t>
  </si>
  <si>
    <t>Introducción a redes inalámbricas y redundancia de capa 3.</t>
  </si>
  <si>
    <t>Investigar redundancia de tráfico en capa 3 con HSRP y VRRP y conceptos básicos de redes inalámbricas.</t>
  </si>
  <si>
    <t>4. Cuarta Tarea</t>
  </si>
  <si>
    <t>Tipos de topología y su implementación.</t>
  </si>
  <si>
    <t>Investigación.</t>
  </si>
  <si>
    <t>Investigar el funcionamiento del protocolo de enrutamiento dinámico BGP  y el diseño de distintos tipos de topologías.</t>
  </si>
  <si>
    <t>5. Quinta Tarea</t>
  </si>
  <si>
    <t>6. Sexta Tarea</t>
  </si>
  <si>
    <t>7. Septima Tarea</t>
  </si>
  <si>
    <t>Resumen de Ponderacion y Horas para realizar las actividades</t>
  </si>
  <si>
    <t>Total de Puntos del Laboratorio</t>
  </si>
  <si>
    <t>Actividades Formativas</t>
  </si>
  <si>
    <t>Debe abarcar entre el 20% y 30% de la Nota</t>
  </si>
  <si>
    <t>Debe abarcar entre el 60% y 70% de la Nota</t>
  </si>
  <si>
    <t>Ponderacion</t>
  </si>
  <si>
    <t>Horas Aproximadas para realizarlo</t>
  </si>
  <si>
    <t>Observaciones</t>
  </si>
  <si>
    <t>Actividades durante el peridodo de laboratorio</t>
  </si>
  <si>
    <t>Examen Final = 10
Corto 1 = 5
Corto 2 = 5
Ejercicios de Asistencia = 10</t>
  </si>
  <si>
    <t>Sumatoria de todas las semas</t>
  </si>
  <si>
    <t>Total</t>
  </si>
  <si>
    <t>Especifica</t>
  </si>
  <si>
    <t>El estudiante comprende</t>
  </si>
  <si>
    <t>los conceptos de los tipos de redes y la segmentación de las mismas</t>
  </si>
  <si>
    <t>mediante el análisis de sus diferencias, características y funciones</t>
  </si>
  <si>
    <t>para aplicar el conocimiento en el diseño y configuración de topologías.</t>
  </si>
  <si>
    <t>Comprender</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</si>
</sst>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color rgb="FFFFFFFF"/>
      <name val="Arial"/>
    </font>
    <font>
      <b/>
      <sz val="12.0"/>
      <color theme="8"/>
      <name val="Arial"/>
    </font>
    <font>
      <b/>
      <color theme="1"/>
      <name val="Arial"/>
    </font>
    <font>
      <color theme="1"/>
      <name val="Arial"/>
    </font>
    <font>
      <color rgb="FFB7B7B7"/>
      <name val="Arial"/>
    </font>
    <font>
      <b/>
      <sz val="11.0"/>
      <color theme="1"/>
      <name val="Arial"/>
    </font>
    <font>
      <color theme="1"/>
      <name val="Arial"/>
      <scheme val="minor"/>
    </font>
    <font/>
    <font>
      <b/>
      <sz val="13.0"/>
      <color theme="4"/>
      <name val="Arial"/>
    </font>
    <font>
      <b/>
      <sz val="12.0"/>
      <color theme="4"/>
      <name val="Arial"/>
    </font>
    <font>
      <color rgb="FF999999"/>
      <name val="Arial"/>
    </font>
    <font>
      <b/>
      <sz val="13.0"/>
      <color rgb="FF4285F4"/>
      <name val="Arial"/>
    </font>
    <font>
      <u/>
      <color rgb="FF0000FF"/>
      <name val="Arial"/>
    </font>
    <font>
      <b/>
      <sz val="12.0"/>
      <color rgb="FF4285F4"/>
      <name val="Arial"/>
    </font>
    <font>
      <color rgb="FFCCCCCC"/>
      <name val="Arial"/>
    </font>
    <font>
      <b/>
      <sz val="12.0"/>
      <color rgb="FFFF6D01"/>
      <name val="Arial"/>
    </font>
    <font>
      <b/>
      <sz val="12.0"/>
      <color rgb="FFFFFFFF"/>
      <name val="Arial"/>
    </font>
    <font>
      <color rgb="FF000000"/>
      <name val="Arial"/>
    </font>
    <font>
      <color rgb="FFD9D9D9"/>
      <name val="Arial"/>
    </font>
    <font>
      <b/>
      <sz val="12.0"/>
      <color theme="1"/>
      <name val="Arial"/>
    </font>
    <font>
      <sz val="12.0"/>
      <color rgb="FFFFFFFF"/>
      <name val="Arial"/>
    </font>
    <font>
      <sz val="12.0"/>
      <color theme="4"/>
      <name val="Arial"/>
    </font>
    <font>
      <sz val="12.0"/>
      <color theme="1"/>
      <name val="Arial"/>
    </font>
  </fonts>
  <fills count="8">
    <fill>
      <patternFill patternType="none"/>
    </fill>
    <fill>
      <patternFill patternType="lightGray"/>
    </fill>
    <fill>
      <patternFill patternType="solid">
        <fgColor rgb="FFFFF2CC"/>
        <bgColor rgb="FFFFF2CC"/>
      </patternFill>
    </fill>
    <fill>
      <patternFill patternType="solid">
        <fgColor rgb="FF4285F4"/>
        <bgColor rgb="FF4285F4"/>
      </patternFill>
    </fill>
    <fill>
      <patternFill patternType="solid">
        <fgColor rgb="FFD9D9D9"/>
        <bgColor rgb="FFD9D9D9"/>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2" fontId="3" numFmtId="0" xfId="0" applyAlignment="1" applyFill="1" applyFont="1">
      <alignment readingOrder="0"/>
    </xf>
    <xf borderId="0" fillId="0" fontId="4" numFmtId="0" xfId="0" applyFont="1"/>
    <xf borderId="0" fillId="0" fontId="5" numFmtId="0" xfId="0" applyFont="1"/>
    <xf borderId="0" fillId="0" fontId="6" numFmtId="0" xfId="0" applyAlignment="1" applyFont="1">
      <alignment vertical="bottom"/>
    </xf>
    <xf borderId="1" fillId="0" fontId="6" numFmtId="0" xfId="0" applyAlignment="1" applyBorder="1" applyFont="1">
      <alignment vertical="bottom"/>
    </xf>
    <xf borderId="1" fillId="0" fontId="6" numFmtId="0" xfId="0" applyAlignment="1" applyBorder="1" applyFont="1">
      <alignment shrinkToFit="0" vertical="bottom" wrapText="1"/>
    </xf>
    <xf borderId="0" fillId="0" fontId="7" numFmtId="0" xfId="0" applyAlignment="1" applyFont="1">
      <alignment readingOrder="0"/>
    </xf>
    <xf borderId="0" fillId="0" fontId="4" numFmtId="0" xfId="0" applyAlignment="1" applyFont="1">
      <alignment readingOrder="0" shrinkToFit="0" wrapText="1"/>
    </xf>
    <xf borderId="1" fillId="0" fontId="4" numFmtId="0" xfId="0" applyAlignment="1" applyBorder="1" applyFont="1">
      <alignment shrinkToFit="0" vertical="bottom" wrapText="1"/>
    </xf>
    <xf borderId="1" fillId="0" fontId="4" numFmtId="0" xfId="0" applyAlignment="1" applyBorder="1" applyFont="1">
      <alignment shrinkToFit="0" vertical="bottom" wrapText="1"/>
    </xf>
    <xf borderId="0" fillId="0" fontId="4" numFmtId="0" xfId="0" applyAlignment="1" applyFont="1">
      <alignment readingOrder="0"/>
    </xf>
    <xf borderId="1" fillId="0" fontId="4" numFmtId="0" xfId="0" applyAlignment="1" applyBorder="1" applyFont="1">
      <alignment shrinkToFit="0" vertical="bottom" wrapText="1"/>
    </xf>
    <xf borderId="0" fillId="0" fontId="4" numFmtId="0" xfId="0" applyAlignment="1" applyFont="1">
      <alignment shrinkToFit="0" wrapText="1"/>
    </xf>
    <xf borderId="1" fillId="0" fontId="3" numFmtId="0" xfId="0" applyBorder="1" applyFont="1"/>
    <xf borderId="2" fillId="0" fontId="4" numFmtId="0" xfId="0" applyBorder="1" applyFont="1"/>
    <xf borderId="3" fillId="0" fontId="8" numFmtId="0" xfId="0" applyBorder="1" applyFont="1"/>
    <xf borderId="4" fillId="0" fontId="8" numFmtId="0" xfId="0" applyBorder="1" applyFont="1"/>
    <xf borderId="1" fillId="0" fontId="4" numFmtId="0" xfId="0" applyBorder="1" applyFont="1"/>
    <xf borderId="0" fillId="0" fontId="9" numFmtId="0" xfId="0" applyFont="1"/>
    <xf borderId="0" fillId="0" fontId="10" numFmtId="0" xfId="0" applyAlignment="1" applyFont="1">
      <alignment shrinkToFit="0" wrapText="1"/>
    </xf>
    <xf borderId="0" fillId="3" fontId="1" numFmtId="0" xfId="0" applyAlignment="1" applyFill="1" applyFont="1">
      <alignment readingOrder="0"/>
    </xf>
    <xf borderId="0" fillId="0" fontId="11" numFmtId="0" xfId="0" applyFont="1"/>
    <xf borderId="1" fillId="4" fontId="4" numFmtId="0" xfId="0" applyAlignment="1" applyBorder="1" applyFill="1" applyFont="1">
      <alignment shrinkToFit="0" vertical="bottom" wrapText="1"/>
    </xf>
    <xf borderId="2" fillId="0" fontId="4" numFmtId="0" xfId="0" applyAlignment="1" applyBorder="1" applyFont="1">
      <alignment readingOrder="0" vertical="bottom"/>
    </xf>
    <xf borderId="2" fillId="0" fontId="4" numFmtId="0" xfId="0" applyAlignment="1" applyBorder="1" applyFont="1">
      <alignment vertical="bottom"/>
    </xf>
    <xf borderId="0" fillId="0" fontId="4" numFmtId="0" xfId="0" applyAlignment="1" applyFont="1">
      <alignment horizontal="center" shrinkToFit="0" vertical="center" wrapText="1"/>
    </xf>
    <xf borderId="1" fillId="4" fontId="4" numFmtId="0" xfId="0" applyAlignment="1" applyBorder="1" applyFont="1">
      <alignment shrinkToFit="0" wrapText="1"/>
    </xf>
    <xf borderId="2" fillId="0" fontId="4" numFmtId="0" xfId="0" applyAlignment="1" applyBorder="1" applyFont="1">
      <alignment readingOrder="0"/>
    </xf>
    <xf borderId="1" fillId="4" fontId="4" numFmtId="0" xfId="0" applyBorder="1" applyFont="1"/>
    <xf borderId="0" fillId="0" fontId="12" numFmtId="0" xfId="0" applyFont="1"/>
    <xf borderId="2" fillId="0" fontId="13" numFmtId="0" xfId="0" applyAlignment="1" applyBorder="1" applyFont="1">
      <alignment readingOrder="0" vertical="bottom"/>
    </xf>
    <xf borderId="0" fillId="0" fontId="14" numFmtId="0" xfId="0" applyAlignment="1" applyFont="1">
      <alignment shrinkToFit="0" wrapText="1"/>
    </xf>
    <xf borderId="0" fillId="0" fontId="4" numFmtId="0" xfId="0" applyAlignment="1" applyFont="1">
      <alignment horizontal="left" shrinkToFit="0" vertical="center" wrapText="1"/>
    </xf>
    <xf borderId="0" fillId="0" fontId="15" numFmtId="0" xfId="0" applyFont="1"/>
    <xf borderId="0" fillId="0" fontId="4" numFmtId="0" xfId="0" applyAlignment="1" applyFont="1">
      <alignment shrinkToFit="0" vertical="center" wrapText="1"/>
    </xf>
    <xf borderId="0" fillId="0" fontId="16" numFmtId="0" xfId="0" applyFont="1"/>
    <xf borderId="1" fillId="0" fontId="4" numFmtId="0" xfId="0" applyAlignment="1" applyBorder="1" applyFont="1">
      <alignment shrinkToFit="0" wrapText="1"/>
    </xf>
    <xf borderId="0" fillId="0" fontId="14" numFmtId="0" xfId="0" applyFont="1"/>
    <xf borderId="0" fillId="5" fontId="17" numFmtId="0" xfId="0" applyAlignment="1" applyFill="1" applyFont="1">
      <alignment readingOrder="0"/>
    </xf>
    <xf borderId="2" fillId="4" fontId="4" numFmtId="0" xfId="0" applyBorder="1" applyFont="1"/>
    <xf borderId="5" fillId="0" fontId="4" numFmtId="0" xfId="0" applyAlignment="1" applyBorder="1" applyFont="1">
      <alignment readingOrder="0"/>
    </xf>
    <xf borderId="6" fillId="0" fontId="8" numFmtId="0" xfId="0" applyBorder="1" applyFont="1"/>
    <xf borderId="7" fillId="0" fontId="8" numFmtId="0" xfId="0" applyBorder="1" applyFont="1"/>
    <xf borderId="8" fillId="0" fontId="8" numFmtId="0" xfId="0" applyBorder="1" applyFont="1"/>
    <xf borderId="9" fillId="0" fontId="8" numFmtId="0" xfId="0" applyBorder="1" applyFont="1"/>
    <xf borderId="10" fillId="0" fontId="8" numFmtId="0" xfId="0" applyBorder="1" applyFont="1"/>
    <xf borderId="0" fillId="0" fontId="10" numFmtId="0" xfId="0" applyFont="1"/>
    <xf borderId="1" fillId="6" fontId="4" numFmtId="0" xfId="0" applyBorder="1" applyFill="1" applyFont="1"/>
    <xf borderId="2" fillId="6" fontId="4" numFmtId="0" xfId="0" applyBorder="1" applyFont="1"/>
    <xf borderId="1" fillId="0" fontId="7" numFmtId="0" xfId="0" applyBorder="1" applyFont="1"/>
    <xf borderId="2" fillId="0" fontId="7" numFmtId="0" xfId="0" applyBorder="1" applyFont="1"/>
    <xf borderId="1" fillId="7" fontId="4" numFmtId="0" xfId="0" applyBorder="1" applyFill="1" applyFont="1"/>
    <xf borderId="2" fillId="7" fontId="4" numFmtId="0" xfId="0" applyBorder="1" applyFont="1"/>
    <xf borderId="2" fillId="0" fontId="18" numFmtId="0" xfId="0" applyAlignment="1" applyBorder="1" applyFont="1">
      <alignment readingOrder="0"/>
    </xf>
    <xf borderId="11" fillId="0" fontId="8" numFmtId="0" xfId="0" applyBorder="1" applyFont="1"/>
    <xf borderId="12" fillId="0" fontId="8" numFmtId="0" xfId="0" applyBorder="1" applyFont="1"/>
    <xf borderId="2" fillId="0" fontId="15" numFmtId="0" xfId="0" applyBorder="1" applyFont="1"/>
    <xf borderId="0" fillId="0" fontId="19" numFmtId="0" xfId="0" applyFont="1"/>
    <xf borderId="0" fillId="5" fontId="17" numFmtId="0" xfId="0" applyFont="1"/>
    <xf borderId="2" fillId="0" fontId="4" numFmtId="0" xfId="0" applyAlignment="1" applyBorder="1" applyFont="1">
      <alignment horizontal="right" vertical="bottom"/>
    </xf>
    <xf borderId="5" fillId="0" fontId="4" numFmtId="0" xfId="0" applyAlignment="1" applyBorder="1" applyFont="1">
      <alignment vertical="bottom"/>
    </xf>
    <xf borderId="5" fillId="0" fontId="4" numFmtId="0" xfId="0" applyAlignment="1" applyBorder="1" applyFont="1">
      <alignment readingOrder="0" vertical="bottom"/>
    </xf>
    <xf borderId="2" fillId="0" fontId="15" numFmtId="0" xfId="0" applyAlignment="1" applyBorder="1" applyFont="1">
      <alignment readingOrder="0"/>
    </xf>
    <xf borderId="2" fillId="0" fontId="4" numFmtId="0" xfId="0" applyAlignment="1" applyBorder="1" applyFont="1">
      <alignment horizontal="right" vertical="bottom"/>
    </xf>
    <xf borderId="5" fillId="0" fontId="4" numFmtId="0" xfId="0" applyAlignment="1" applyBorder="1" applyFont="1">
      <alignment vertical="bottom"/>
    </xf>
    <xf borderId="2" fillId="0" fontId="4" numFmtId="0" xfId="0" applyAlignment="1" applyBorder="1" applyFont="1">
      <alignment horizontal="right" readingOrder="0" vertical="bottom"/>
    </xf>
    <xf borderId="5" fillId="0" fontId="4" numFmtId="0" xfId="0" applyBorder="1" applyFont="1"/>
    <xf borderId="5" fillId="0" fontId="4" numFmtId="0" xfId="0" applyAlignment="1" applyBorder="1" applyFont="1">
      <alignment readingOrder="0" shrinkToFit="0" wrapText="1"/>
    </xf>
    <xf borderId="0" fillId="0" fontId="20" numFmtId="0" xfId="0" applyFont="1"/>
    <xf borderId="0" fillId="3" fontId="21" numFmtId="0" xfId="0" applyAlignment="1" applyFont="1">
      <alignment readingOrder="0"/>
    </xf>
    <xf borderId="0" fillId="0" fontId="22" numFmtId="0" xfId="0" applyFont="1"/>
    <xf borderId="0" fillId="0" fontId="5" numFmtId="0" xfId="0" applyAlignment="1" applyFont="1">
      <alignment shrinkToFit="0" wrapText="1"/>
    </xf>
    <xf borderId="0" fillId="0" fontId="23" numFmtId="0" xfId="0" applyAlignment="1" applyFont="1">
      <alignment shrinkToFit="0" wrapText="1"/>
    </xf>
    <xf borderId="0" fillId="0" fontId="23" numFmtId="0" xfId="0" applyFont="1"/>
    <xf borderId="1" fillId="6" fontId="23" numFmtId="0" xfId="0" applyAlignment="1" applyBorder="1" applyFont="1">
      <alignment shrinkToFit="0" wrapText="1"/>
    </xf>
    <xf borderId="1" fillId="6" fontId="23" numFmtId="0" xfId="0" applyBorder="1" applyFont="1"/>
    <xf borderId="1" fillId="0" fontId="4" numFmtId="0" xfId="0" applyAlignment="1" applyBorder="1" applyFont="1">
      <alignment readingOrder="0"/>
    </xf>
    <xf borderId="1" fillId="0" fontId="4" numFmtId="0" xfId="0" applyAlignment="1" applyBorder="1" applyFont="1">
      <alignment readingOrder="0" shrinkToFit="0" wrapText="1"/>
    </xf>
    <xf borderId="1" fillId="0" fontId="3" numFmtId="0" xfId="0" applyAlignment="1" applyBorder="1" applyFont="1">
      <alignment horizontal="right" shrinkToFit="0" wrapText="1"/>
    </xf>
    <xf borderId="1" fillId="0" fontId="3" numFmtId="0" xfId="0" applyAlignment="1" applyBorder="1" applyFont="1">
      <alignment horizontal="right"/>
    </xf>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190500</xdr:colOff>
      <xdr:row>10</xdr:row>
      <xdr:rowOff>266700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19</xdr:row>
      <xdr:rowOff>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26</xdr:row>
      <xdr:rowOff>314325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190500</xdr:colOff>
      <xdr:row>32</xdr:row>
      <xdr:rowOff>142875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forms/d/1C9E-0dZ28RfkALfoTw8kjn7ZNjLY6u0MusAbwyVzRPw/edit" TargetMode="External"/><Relationship Id="rId3" Type="http://schemas.openxmlformats.org/officeDocument/2006/relationships/hyperlink" Target="https://docs.google.com/forms/d/1wDLh134N9dFFa_1F2wQDIrxZm2PdnqE_AsxbkqQ7cnk/edit" TargetMode="Externa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3.75"/>
    <col customWidth="1" min="2" max="2" width="21.88"/>
    <col customWidth="1" min="3" max="3" width="49.88"/>
    <col customWidth="1" min="4" max="4" width="72.75"/>
    <col customWidth="1" min="5" max="5" width="48.38"/>
    <col customWidth="1" min="6" max="6" width="45.88"/>
  </cols>
  <sheetData>
    <row r="1" ht="15.75" customHeight="1"/>
    <row r="2" ht="15.75" customHeight="1">
      <c r="A2" s="1">
        <f>VALUE(LEFT(C4,FIND(" - ",C4)-1))</f>
        <v>975</v>
      </c>
      <c r="B2" s="2" t="s">
        <v>0</v>
      </c>
    </row>
    <row r="3" ht="15.75" customHeight="1"/>
    <row r="4" ht="15.75" customHeight="1">
      <c r="B4" s="3" t="s">
        <v>1</v>
      </c>
      <c r="C4" s="4" t="s">
        <v>2</v>
      </c>
    </row>
    <row r="5" ht="15.75" customHeight="1">
      <c r="B5" s="5" t="s">
        <v>3</v>
      </c>
      <c r="C5" s="5" t="s">
        <v>4</v>
      </c>
    </row>
    <row r="6" ht="15.75" customHeight="1">
      <c r="H6" s="6"/>
    </row>
    <row r="7" ht="15.75" customHeight="1">
      <c r="H7" s="6"/>
    </row>
    <row r="8" ht="15.75" customHeight="1">
      <c r="A8" s="7"/>
      <c r="B8" s="8" t="s">
        <v>5</v>
      </c>
      <c r="C8" s="9" t="s">
        <v>6</v>
      </c>
      <c r="D8" s="8" t="s">
        <v>7</v>
      </c>
      <c r="E8" s="8" t="s">
        <v>8</v>
      </c>
      <c r="F8" s="8" t="s">
        <v>9</v>
      </c>
      <c r="G8" s="8" t="s">
        <v>10</v>
      </c>
      <c r="H8" s="8" t="s">
        <v>11</v>
      </c>
    </row>
    <row r="9">
      <c r="B9" s="10">
        <v>1.0</v>
      </c>
      <c r="C9" s="11" t="s">
        <v>12</v>
      </c>
      <c r="D9" s="12" t="s">
        <v>13</v>
      </c>
      <c r="E9" s="13" t="s">
        <v>14</v>
      </c>
      <c r="F9" s="13" t="s">
        <v>15</v>
      </c>
      <c r="G9" s="14" t="s">
        <v>16</v>
      </c>
      <c r="H9" s="14">
        <v>2.0</v>
      </c>
    </row>
    <row r="10">
      <c r="B10" s="10">
        <v>2.0</v>
      </c>
      <c r="C10" s="11" t="s">
        <v>12</v>
      </c>
      <c r="D10" s="15" t="s">
        <v>13</v>
      </c>
      <c r="E10" s="15" t="s">
        <v>14</v>
      </c>
      <c r="F10" s="15" t="s">
        <v>17</v>
      </c>
      <c r="G10" s="10" t="s">
        <v>16</v>
      </c>
      <c r="H10" s="14">
        <v>2.0</v>
      </c>
    </row>
    <row r="11">
      <c r="B11" s="10">
        <v>3.0</v>
      </c>
      <c r="C11" s="11" t="s">
        <v>12</v>
      </c>
      <c r="D11" s="15" t="s">
        <v>13</v>
      </c>
      <c r="E11" s="15" t="s">
        <v>14</v>
      </c>
      <c r="F11" s="15" t="s">
        <v>18</v>
      </c>
      <c r="G11" s="10" t="s">
        <v>16</v>
      </c>
      <c r="H11" s="14">
        <v>2.0</v>
      </c>
    </row>
    <row r="12">
      <c r="B12" s="10">
        <v>4.0</v>
      </c>
      <c r="C12" s="11" t="s">
        <v>12</v>
      </c>
      <c r="D12" s="15" t="s">
        <v>19</v>
      </c>
      <c r="E12" s="15" t="s">
        <v>20</v>
      </c>
      <c r="F12" s="15" t="s">
        <v>21</v>
      </c>
      <c r="G12" s="14" t="s">
        <v>16</v>
      </c>
      <c r="H12" s="14">
        <v>2.0</v>
      </c>
    </row>
    <row r="13">
      <c r="B13" s="10">
        <v>5.0</v>
      </c>
      <c r="C13" s="11" t="s">
        <v>12</v>
      </c>
      <c r="D13" s="15" t="s">
        <v>19</v>
      </c>
      <c r="E13" s="15" t="s">
        <v>20</v>
      </c>
      <c r="F13" s="15" t="s">
        <v>22</v>
      </c>
      <c r="G13" s="10" t="s">
        <v>16</v>
      </c>
      <c r="H13" s="14">
        <v>2.0</v>
      </c>
    </row>
    <row r="14">
      <c r="B14" s="10">
        <v>6.0</v>
      </c>
      <c r="C14" s="11" t="s">
        <v>12</v>
      </c>
      <c r="D14" s="15" t="s">
        <v>19</v>
      </c>
      <c r="E14" s="15" t="s">
        <v>20</v>
      </c>
      <c r="F14" s="15" t="s">
        <v>23</v>
      </c>
      <c r="G14" s="10" t="s">
        <v>16</v>
      </c>
      <c r="H14" s="14">
        <v>2.0</v>
      </c>
    </row>
    <row r="15">
      <c r="B15" s="10">
        <v>7.0</v>
      </c>
      <c r="C15" s="11" t="s">
        <v>12</v>
      </c>
      <c r="D15" s="15" t="s">
        <v>19</v>
      </c>
      <c r="E15" s="15" t="s">
        <v>20</v>
      </c>
      <c r="F15" s="15" t="s">
        <v>24</v>
      </c>
      <c r="G15" s="14" t="s">
        <v>16</v>
      </c>
      <c r="H15" s="14">
        <v>2.0</v>
      </c>
    </row>
    <row r="16">
      <c r="B16" s="10">
        <v>8.0</v>
      </c>
      <c r="C16" s="11" t="s">
        <v>12</v>
      </c>
      <c r="D16" s="15" t="s">
        <v>19</v>
      </c>
      <c r="E16" s="15" t="s">
        <v>20</v>
      </c>
      <c r="F16" s="15" t="s">
        <v>25</v>
      </c>
      <c r="G16" s="10" t="s">
        <v>16</v>
      </c>
      <c r="H16" s="14">
        <v>2.0</v>
      </c>
    </row>
    <row r="17">
      <c r="B17" s="10">
        <v>9.0</v>
      </c>
      <c r="C17" s="11" t="s">
        <v>12</v>
      </c>
      <c r="D17" s="15" t="s">
        <v>19</v>
      </c>
      <c r="E17" s="15" t="s">
        <v>20</v>
      </c>
      <c r="F17" s="15" t="s">
        <v>26</v>
      </c>
      <c r="G17" s="10" t="s">
        <v>16</v>
      </c>
      <c r="H17" s="14">
        <v>2.0</v>
      </c>
    </row>
    <row r="18">
      <c r="B18" s="10">
        <v>10.0</v>
      </c>
      <c r="C18" s="11" t="s">
        <v>12</v>
      </c>
      <c r="D18" s="15" t="s">
        <v>19</v>
      </c>
      <c r="E18" s="15" t="s">
        <v>20</v>
      </c>
      <c r="F18" s="15" t="s">
        <v>27</v>
      </c>
      <c r="G18" s="10" t="s">
        <v>16</v>
      </c>
      <c r="H18" s="14">
        <v>2.0</v>
      </c>
    </row>
    <row r="19">
      <c r="B19" s="10">
        <v>11.0</v>
      </c>
      <c r="C19" s="11" t="s">
        <v>12</v>
      </c>
      <c r="D19" s="15" t="s">
        <v>19</v>
      </c>
      <c r="E19" s="15" t="s">
        <v>28</v>
      </c>
      <c r="F19" s="15" t="s">
        <v>29</v>
      </c>
      <c r="G19" s="10" t="s">
        <v>30</v>
      </c>
      <c r="H19" s="14">
        <v>3.0</v>
      </c>
    </row>
    <row r="20">
      <c r="B20" s="10">
        <v>12.0</v>
      </c>
      <c r="C20" s="11" t="s">
        <v>12</v>
      </c>
      <c r="D20" s="15" t="s">
        <v>19</v>
      </c>
      <c r="E20" s="15" t="s">
        <v>28</v>
      </c>
      <c r="F20" s="15" t="s">
        <v>31</v>
      </c>
      <c r="G20" s="10" t="s">
        <v>30</v>
      </c>
      <c r="H20" s="14">
        <v>3.0</v>
      </c>
    </row>
    <row r="21">
      <c r="B21" s="10">
        <v>13.0</v>
      </c>
      <c r="C21" s="11" t="s">
        <v>12</v>
      </c>
      <c r="D21" s="15" t="s">
        <v>19</v>
      </c>
      <c r="E21" s="15" t="s">
        <v>28</v>
      </c>
      <c r="F21" s="15" t="s">
        <v>32</v>
      </c>
      <c r="G21" s="10" t="s">
        <v>30</v>
      </c>
      <c r="H21" s="14">
        <v>3.0</v>
      </c>
    </row>
    <row r="22">
      <c r="B22" s="10">
        <v>14.0</v>
      </c>
      <c r="C22" s="11" t="s">
        <v>12</v>
      </c>
      <c r="D22" s="15" t="s">
        <v>19</v>
      </c>
      <c r="E22" s="15" t="s">
        <v>28</v>
      </c>
      <c r="F22" s="15" t="s">
        <v>33</v>
      </c>
      <c r="G22" s="10" t="s">
        <v>30</v>
      </c>
      <c r="H22" s="14">
        <v>3.0</v>
      </c>
    </row>
    <row r="23">
      <c r="B23" s="10">
        <v>15.0</v>
      </c>
      <c r="C23" s="11" t="s">
        <v>12</v>
      </c>
      <c r="D23" s="15" t="s">
        <v>19</v>
      </c>
      <c r="E23" s="15" t="s">
        <v>28</v>
      </c>
      <c r="F23" s="15" t="s">
        <v>34</v>
      </c>
      <c r="G23" s="10" t="s">
        <v>30</v>
      </c>
      <c r="H23" s="14">
        <v>3.0</v>
      </c>
    </row>
    <row r="24">
      <c r="B24" s="10">
        <v>16.0</v>
      </c>
      <c r="C24" s="11" t="s">
        <v>12</v>
      </c>
      <c r="D24" s="15" t="s">
        <v>19</v>
      </c>
      <c r="E24" s="15" t="s">
        <v>28</v>
      </c>
      <c r="F24" s="15" t="s">
        <v>35</v>
      </c>
      <c r="G24" s="10" t="s">
        <v>30</v>
      </c>
      <c r="H24" s="14">
        <v>3.0</v>
      </c>
    </row>
    <row r="25">
      <c r="B25" s="10">
        <v>17.0</v>
      </c>
      <c r="C25" s="11" t="s">
        <v>12</v>
      </c>
      <c r="D25" s="15" t="s">
        <v>19</v>
      </c>
      <c r="E25" s="15" t="s">
        <v>28</v>
      </c>
      <c r="F25" s="15" t="s">
        <v>36</v>
      </c>
      <c r="G25" s="10" t="s">
        <v>30</v>
      </c>
      <c r="H25" s="14">
        <v>3.0</v>
      </c>
    </row>
    <row r="26">
      <c r="B26" s="10">
        <v>18.0</v>
      </c>
      <c r="C26" s="11" t="s">
        <v>37</v>
      </c>
      <c r="D26" s="15" t="s">
        <v>19</v>
      </c>
      <c r="E26" s="15" t="s">
        <v>38</v>
      </c>
      <c r="F26" s="15" t="s">
        <v>39</v>
      </c>
      <c r="G26" s="10" t="s">
        <v>30</v>
      </c>
      <c r="H26" s="14">
        <v>3.0</v>
      </c>
    </row>
    <row r="27">
      <c r="B27" s="10">
        <v>19.0</v>
      </c>
      <c r="C27" s="11" t="s">
        <v>37</v>
      </c>
      <c r="D27" s="15" t="s">
        <v>19</v>
      </c>
      <c r="E27" s="15" t="s">
        <v>38</v>
      </c>
      <c r="F27" s="15" t="s">
        <v>40</v>
      </c>
      <c r="G27" s="10" t="s">
        <v>30</v>
      </c>
      <c r="H27" s="14">
        <v>3.0</v>
      </c>
    </row>
    <row r="28">
      <c r="B28" s="10">
        <v>20.0</v>
      </c>
      <c r="C28" s="11" t="s">
        <v>37</v>
      </c>
      <c r="D28" s="15" t="s">
        <v>19</v>
      </c>
      <c r="E28" s="15" t="s">
        <v>38</v>
      </c>
      <c r="F28" s="15" t="s">
        <v>41</v>
      </c>
      <c r="G28" s="10" t="s">
        <v>30</v>
      </c>
      <c r="H28" s="14">
        <v>3.0</v>
      </c>
    </row>
    <row r="29">
      <c r="B29" s="10">
        <v>21.0</v>
      </c>
      <c r="C29" s="11" t="s">
        <v>37</v>
      </c>
      <c r="D29" s="15" t="s">
        <v>19</v>
      </c>
      <c r="E29" s="15" t="s">
        <v>42</v>
      </c>
      <c r="F29" s="15" t="s">
        <v>43</v>
      </c>
      <c r="G29" s="10" t="s">
        <v>30</v>
      </c>
      <c r="H29" s="14">
        <v>3.0</v>
      </c>
    </row>
    <row r="30">
      <c r="B30" s="10">
        <v>22.0</v>
      </c>
      <c r="C30" s="11" t="s">
        <v>37</v>
      </c>
      <c r="D30" s="15" t="s">
        <v>19</v>
      </c>
      <c r="E30" s="15" t="s">
        <v>42</v>
      </c>
      <c r="F30" s="15" t="s">
        <v>44</v>
      </c>
      <c r="G30" s="10" t="s">
        <v>30</v>
      </c>
      <c r="H30" s="14">
        <v>3.0</v>
      </c>
    </row>
    <row r="31">
      <c r="B31" s="10">
        <v>23.0</v>
      </c>
      <c r="C31" s="11" t="s">
        <v>37</v>
      </c>
      <c r="D31" s="15" t="s">
        <v>19</v>
      </c>
      <c r="E31" s="15" t="s">
        <v>42</v>
      </c>
      <c r="F31" s="15" t="s">
        <v>45</v>
      </c>
      <c r="G31" s="10" t="s">
        <v>30</v>
      </c>
      <c r="H31" s="14">
        <v>3.0</v>
      </c>
    </row>
    <row r="32">
      <c r="B32" s="10">
        <v>24.0</v>
      </c>
      <c r="C32" s="11" t="s">
        <v>37</v>
      </c>
      <c r="D32" s="15" t="s">
        <v>19</v>
      </c>
      <c r="E32" s="15" t="s">
        <v>42</v>
      </c>
      <c r="F32" s="15" t="s">
        <v>46</v>
      </c>
      <c r="G32" s="10" t="s">
        <v>30</v>
      </c>
      <c r="H32" s="14">
        <v>3.0</v>
      </c>
    </row>
    <row r="33">
      <c r="B33" s="10">
        <v>25.0</v>
      </c>
      <c r="C33" s="11" t="s">
        <v>37</v>
      </c>
      <c r="D33" s="15" t="s">
        <v>19</v>
      </c>
      <c r="E33" s="15" t="s">
        <v>42</v>
      </c>
      <c r="F33" s="15" t="s">
        <v>47</v>
      </c>
      <c r="G33" s="10" t="s">
        <v>30</v>
      </c>
      <c r="H33" s="14">
        <v>3.0</v>
      </c>
    </row>
    <row r="34">
      <c r="B34" s="10">
        <v>26.0</v>
      </c>
      <c r="C34" s="11" t="s">
        <v>37</v>
      </c>
      <c r="D34" s="15" t="s">
        <v>19</v>
      </c>
      <c r="E34" s="15" t="s">
        <v>42</v>
      </c>
      <c r="F34" s="15" t="s">
        <v>48</v>
      </c>
      <c r="G34" s="10" t="s">
        <v>30</v>
      </c>
      <c r="H34" s="14">
        <v>3.0</v>
      </c>
    </row>
    <row r="35">
      <c r="B35" s="10">
        <v>27.0</v>
      </c>
      <c r="C35" s="11" t="s">
        <v>49</v>
      </c>
      <c r="D35" s="15" t="s">
        <v>50</v>
      </c>
      <c r="E35" s="15" t="s">
        <v>51</v>
      </c>
      <c r="F35" s="15" t="s">
        <v>52</v>
      </c>
      <c r="G35" s="10" t="s">
        <v>30</v>
      </c>
      <c r="H35" s="14">
        <v>3.0</v>
      </c>
    </row>
    <row r="36">
      <c r="B36" s="10">
        <v>28.0</v>
      </c>
      <c r="C36" s="11" t="s">
        <v>49</v>
      </c>
      <c r="D36" s="15" t="s">
        <v>50</v>
      </c>
      <c r="E36" s="15" t="s">
        <v>51</v>
      </c>
      <c r="F36" s="15" t="s">
        <v>53</v>
      </c>
      <c r="G36" s="10" t="s">
        <v>30</v>
      </c>
      <c r="H36" s="14">
        <v>3.0</v>
      </c>
    </row>
    <row r="37">
      <c r="B37" s="10">
        <v>29.0</v>
      </c>
      <c r="C37" s="11" t="s">
        <v>49</v>
      </c>
      <c r="D37" s="15" t="s">
        <v>50</v>
      </c>
      <c r="E37" s="15" t="s">
        <v>51</v>
      </c>
      <c r="F37" s="15" t="s">
        <v>54</v>
      </c>
      <c r="G37" s="10" t="s">
        <v>30</v>
      </c>
      <c r="H37" s="14">
        <v>4.0</v>
      </c>
    </row>
    <row r="38">
      <c r="B38" s="10">
        <v>30.0</v>
      </c>
      <c r="C38" s="11" t="s">
        <v>49</v>
      </c>
      <c r="D38" s="15" t="s">
        <v>50</v>
      </c>
      <c r="E38" s="15" t="s">
        <v>51</v>
      </c>
      <c r="F38" s="15" t="s">
        <v>55</v>
      </c>
      <c r="G38" s="10" t="s">
        <v>30</v>
      </c>
      <c r="H38" s="14">
        <v>4.0</v>
      </c>
    </row>
    <row r="39">
      <c r="B39" s="10">
        <v>31.0</v>
      </c>
      <c r="C39" s="11" t="s">
        <v>49</v>
      </c>
      <c r="D39" s="15" t="s">
        <v>50</v>
      </c>
      <c r="E39" s="15" t="s">
        <v>51</v>
      </c>
      <c r="F39" s="15" t="s">
        <v>56</v>
      </c>
      <c r="G39" s="10" t="s">
        <v>30</v>
      </c>
      <c r="H39" s="14">
        <v>4.0</v>
      </c>
    </row>
    <row r="40">
      <c r="B40" s="10">
        <v>32.0</v>
      </c>
      <c r="C40" s="11" t="s">
        <v>49</v>
      </c>
      <c r="D40" s="15" t="s">
        <v>50</v>
      </c>
      <c r="E40" s="15" t="s">
        <v>51</v>
      </c>
      <c r="F40" s="15" t="s">
        <v>57</v>
      </c>
      <c r="G40" s="10" t="s">
        <v>30</v>
      </c>
      <c r="H40" s="14">
        <v>4.0</v>
      </c>
    </row>
    <row r="41">
      <c r="B41" s="10">
        <v>33.0</v>
      </c>
      <c r="C41" s="11" t="s">
        <v>49</v>
      </c>
      <c r="D41" s="15" t="s">
        <v>50</v>
      </c>
      <c r="E41" s="15" t="s">
        <v>51</v>
      </c>
      <c r="F41" s="15" t="s">
        <v>58</v>
      </c>
      <c r="G41" s="10" t="s">
        <v>30</v>
      </c>
      <c r="H41" s="14">
        <v>4.0</v>
      </c>
    </row>
    <row r="42">
      <c r="B42" s="10">
        <v>34.0</v>
      </c>
      <c r="C42" s="11" t="s">
        <v>49</v>
      </c>
      <c r="D42" s="15" t="s">
        <v>50</v>
      </c>
      <c r="E42" s="15" t="s">
        <v>51</v>
      </c>
      <c r="F42" s="15" t="s">
        <v>59</v>
      </c>
      <c r="G42" s="10" t="s">
        <v>30</v>
      </c>
      <c r="H42" s="14">
        <v>4.0</v>
      </c>
    </row>
    <row r="43">
      <c r="B43" s="10">
        <v>35.0</v>
      </c>
      <c r="C43" s="11" t="s">
        <v>49</v>
      </c>
      <c r="D43" s="15" t="s">
        <v>50</v>
      </c>
      <c r="E43" s="15" t="s">
        <v>51</v>
      </c>
      <c r="F43" s="15" t="s">
        <v>60</v>
      </c>
      <c r="G43" s="10" t="s">
        <v>30</v>
      </c>
      <c r="H43" s="14">
        <v>4.0</v>
      </c>
    </row>
    <row r="44">
      <c r="B44" s="10">
        <v>36.0</v>
      </c>
      <c r="C44" s="11" t="s">
        <v>49</v>
      </c>
      <c r="D44" s="15" t="s">
        <v>50</v>
      </c>
      <c r="E44" s="15" t="s">
        <v>51</v>
      </c>
      <c r="F44" s="15" t="s">
        <v>61</v>
      </c>
      <c r="G44" s="10" t="s">
        <v>30</v>
      </c>
      <c r="H44" s="14">
        <v>4.0</v>
      </c>
    </row>
    <row r="45">
      <c r="B45" s="10">
        <v>37.0</v>
      </c>
      <c r="C45" s="11" t="s">
        <v>49</v>
      </c>
      <c r="D45" s="15" t="s">
        <v>50</v>
      </c>
      <c r="E45" s="15" t="s">
        <v>51</v>
      </c>
      <c r="F45" s="15" t="s">
        <v>62</v>
      </c>
      <c r="G45" s="10" t="s">
        <v>30</v>
      </c>
      <c r="H45" s="14">
        <v>4.0</v>
      </c>
    </row>
    <row r="46">
      <c r="B46" s="10">
        <v>38.0</v>
      </c>
      <c r="C46" s="11" t="s">
        <v>49</v>
      </c>
      <c r="D46" s="15" t="s">
        <v>50</v>
      </c>
      <c r="E46" s="15" t="s">
        <v>51</v>
      </c>
      <c r="F46" s="15" t="s">
        <v>63</v>
      </c>
      <c r="G46" s="10" t="s">
        <v>30</v>
      </c>
      <c r="H46" s="14">
        <v>4.0</v>
      </c>
    </row>
    <row r="47">
      <c r="B47" s="10">
        <v>39.0</v>
      </c>
      <c r="C47" s="11" t="s">
        <v>49</v>
      </c>
      <c r="D47" s="15" t="s">
        <v>50</v>
      </c>
      <c r="E47" s="15" t="s">
        <v>51</v>
      </c>
      <c r="F47" s="15" t="s">
        <v>64</v>
      </c>
      <c r="G47" s="10" t="s">
        <v>30</v>
      </c>
      <c r="H47" s="14">
        <v>4.0</v>
      </c>
    </row>
    <row r="48">
      <c r="B48" s="10">
        <v>40.0</v>
      </c>
      <c r="C48" s="11" t="s">
        <v>49</v>
      </c>
      <c r="D48" s="15" t="s">
        <v>50</v>
      </c>
      <c r="E48" s="15" t="s">
        <v>65</v>
      </c>
      <c r="F48" s="15" t="s">
        <v>66</v>
      </c>
      <c r="G48" s="10" t="s">
        <v>67</v>
      </c>
      <c r="H48" s="14">
        <v>5.0</v>
      </c>
    </row>
    <row r="49">
      <c r="B49" s="10">
        <v>41.0</v>
      </c>
      <c r="C49" s="11" t="s">
        <v>49</v>
      </c>
      <c r="D49" s="15" t="s">
        <v>50</v>
      </c>
      <c r="E49" s="15" t="s">
        <v>65</v>
      </c>
      <c r="F49" s="15" t="s">
        <v>68</v>
      </c>
      <c r="G49" s="10" t="s">
        <v>67</v>
      </c>
      <c r="H49" s="14">
        <v>5.0</v>
      </c>
    </row>
    <row r="50">
      <c r="B50" s="10">
        <v>42.0</v>
      </c>
      <c r="C50" s="11" t="s">
        <v>49</v>
      </c>
      <c r="D50" s="15" t="s">
        <v>50</v>
      </c>
      <c r="E50" s="15" t="s">
        <v>65</v>
      </c>
      <c r="F50" s="15" t="s">
        <v>69</v>
      </c>
      <c r="G50" s="10" t="s">
        <v>67</v>
      </c>
      <c r="H50" s="14">
        <v>5.0</v>
      </c>
    </row>
    <row r="51">
      <c r="B51" s="10">
        <v>43.0</v>
      </c>
      <c r="C51" s="11" t="s">
        <v>49</v>
      </c>
      <c r="D51" s="15" t="s">
        <v>50</v>
      </c>
      <c r="E51" s="15" t="s">
        <v>65</v>
      </c>
      <c r="F51" s="15" t="s">
        <v>70</v>
      </c>
      <c r="G51" s="10" t="s">
        <v>67</v>
      </c>
      <c r="H51" s="14">
        <v>5.0</v>
      </c>
    </row>
    <row r="52">
      <c r="B52" s="10">
        <v>44.0</v>
      </c>
      <c r="C52" s="11" t="s">
        <v>49</v>
      </c>
      <c r="D52" s="15" t="s">
        <v>71</v>
      </c>
      <c r="E52" s="15" t="s">
        <v>72</v>
      </c>
      <c r="F52" s="15" t="s">
        <v>73</v>
      </c>
      <c r="G52" s="10" t="s">
        <v>67</v>
      </c>
      <c r="H52" s="14">
        <v>5.0</v>
      </c>
    </row>
    <row r="53">
      <c r="B53" s="10">
        <v>45.0</v>
      </c>
      <c r="C53" s="11" t="s">
        <v>74</v>
      </c>
      <c r="D53" s="15" t="s">
        <v>71</v>
      </c>
      <c r="E53" s="15" t="s">
        <v>72</v>
      </c>
      <c r="F53" s="15" t="s">
        <v>75</v>
      </c>
      <c r="G53" s="10" t="s">
        <v>67</v>
      </c>
      <c r="H53" s="14">
        <v>5.0</v>
      </c>
    </row>
    <row r="54">
      <c r="B54" s="10">
        <v>46.0</v>
      </c>
      <c r="C54" s="11" t="s">
        <v>74</v>
      </c>
      <c r="D54" s="15" t="s">
        <v>71</v>
      </c>
      <c r="E54" s="15" t="s">
        <v>72</v>
      </c>
      <c r="F54" s="15" t="s">
        <v>76</v>
      </c>
      <c r="G54" s="10" t="s">
        <v>67</v>
      </c>
      <c r="H54" s="14">
        <v>5.0</v>
      </c>
    </row>
    <row r="55">
      <c r="B55" s="10">
        <v>47.0</v>
      </c>
      <c r="C55" s="11" t="s">
        <v>74</v>
      </c>
      <c r="D55" s="15" t="s">
        <v>71</v>
      </c>
      <c r="E55" s="15" t="s">
        <v>72</v>
      </c>
      <c r="F55" s="15" t="s">
        <v>77</v>
      </c>
      <c r="G55" s="10" t="s">
        <v>67</v>
      </c>
      <c r="H55" s="14">
        <v>5.0</v>
      </c>
    </row>
    <row r="56">
      <c r="B56" s="10">
        <v>48.0</v>
      </c>
      <c r="C56" s="11" t="s">
        <v>74</v>
      </c>
      <c r="D56" s="15" t="s">
        <v>71</v>
      </c>
      <c r="E56" s="15" t="s">
        <v>72</v>
      </c>
      <c r="F56" s="15" t="s">
        <v>78</v>
      </c>
      <c r="G56" s="10" t="s">
        <v>67</v>
      </c>
      <c r="H56" s="14">
        <v>5.0</v>
      </c>
    </row>
    <row r="57">
      <c r="B57" s="10">
        <v>49.0</v>
      </c>
      <c r="C57" s="11" t="s">
        <v>74</v>
      </c>
      <c r="D57" s="15" t="s">
        <v>71</v>
      </c>
      <c r="E57" s="15" t="s">
        <v>72</v>
      </c>
      <c r="F57" s="15" t="s">
        <v>79</v>
      </c>
      <c r="G57" s="10" t="s">
        <v>67</v>
      </c>
      <c r="H57" s="14">
        <v>5.0</v>
      </c>
    </row>
    <row r="58">
      <c r="B58" s="10">
        <v>50.0</v>
      </c>
      <c r="C58" s="11" t="s">
        <v>49</v>
      </c>
      <c r="D58" s="15" t="s">
        <v>80</v>
      </c>
      <c r="E58" s="15" t="s">
        <v>81</v>
      </c>
      <c r="F58" s="15" t="s">
        <v>82</v>
      </c>
      <c r="G58" s="10" t="s">
        <v>67</v>
      </c>
      <c r="H58" s="14">
        <v>6.0</v>
      </c>
    </row>
    <row r="59">
      <c r="B59" s="10">
        <v>51.0</v>
      </c>
      <c r="C59" s="11" t="s">
        <v>49</v>
      </c>
      <c r="D59" s="15" t="s">
        <v>80</v>
      </c>
      <c r="E59" s="15" t="s">
        <v>81</v>
      </c>
      <c r="F59" s="15" t="s">
        <v>83</v>
      </c>
      <c r="G59" s="10" t="s">
        <v>67</v>
      </c>
      <c r="H59" s="14">
        <v>6.0</v>
      </c>
    </row>
    <row r="60">
      <c r="B60" s="10">
        <v>52.0</v>
      </c>
      <c r="C60" s="11" t="s">
        <v>49</v>
      </c>
      <c r="D60" s="15" t="s">
        <v>80</v>
      </c>
      <c r="E60" s="15" t="s">
        <v>81</v>
      </c>
      <c r="F60" s="15" t="s">
        <v>84</v>
      </c>
      <c r="G60" s="10" t="s">
        <v>67</v>
      </c>
      <c r="H60" s="14">
        <v>6.0</v>
      </c>
    </row>
    <row r="61">
      <c r="B61" s="10">
        <v>53.0</v>
      </c>
      <c r="C61" s="11" t="s">
        <v>49</v>
      </c>
      <c r="D61" s="15" t="s">
        <v>80</v>
      </c>
      <c r="E61" s="15" t="s">
        <v>81</v>
      </c>
      <c r="F61" s="15" t="s">
        <v>85</v>
      </c>
      <c r="G61" s="10" t="s">
        <v>67</v>
      </c>
      <c r="H61" s="14">
        <v>6.0</v>
      </c>
    </row>
    <row r="62">
      <c r="B62" s="10">
        <v>54.0</v>
      </c>
      <c r="C62" s="11" t="s">
        <v>12</v>
      </c>
      <c r="D62" s="15" t="s">
        <v>13</v>
      </c>
      <c r="E62" s="15" t="s">
        <v>86</v>
      </c>
      <c r="F62" s="15" t="s">
        <v>87</v>
      </c>
      <c r="G62" s="10" t="s">
        <v>67</v>
      </c>
      <c r="H62" s="14">
        <v>6.0</v>
      </c>
    </row>
    <row r="63">
      <c r="B63" s="10">
        <v>55.0</v>
      </c>
      <c r="C63" s="11" t="s">
        <v>12</v>
      </c>
      <c r="D63" s="15" t="s">
        <v>13</v>
      </c>
      <c r="E63" s="15" t="s">
        <v>86</v>
      </c>
      <c r="F63" s="15" t="s">
        <v>88</v>
      </c>
      <c r="G63" s="10" t="s">
        <v>67</v>
      </c>
      <c r="H63" s="14">
        <v>6.0</v>
      </c>
    </row>
    <row r="64">
      <c r="B64" s="10">
        <v>56.0</v>
      </c>
      <c r="C64" s="11" t="s">
        <v>12</v>
      </c>
      <c r="D64" s="15" t="s">
        <v>13</v>
      </c>
      <c r="E64" s="15" t="s">
        <v>86</v>
      </c>
      <c r="F64" s="15" t="s">
        <v>89</v>
      </c>
      <c r="G64" s="10" t="s">
        <v>67</v>
      </c>
      <c r="H64" s="14">
        <v>6.0</v>
      </c>
    </row>
    <row r="65">
      <c r="B65" s="10">
        <v>57.0</v>
      </c>
      <c r="C65" s="11" t="s">
        <v>37</v>
      </c>
      <c r="D65" s="15" t="s">
        <v>50</v>
      </c>
      <c r="E65" s="15" t="s">
        <v>90</v>
      </c>
      <c r="F65" s="15" t="s">
        <v>91</v>
      </c>
      <c r="G65" s="10" t="s">
        <v>67</v>
      </c>
      <c r="H65" s="14">
        <v>7.0</v>
      </c>
    </row>
    <row r="66">
      <c r="B66" s="10">
        <v>58.0</v>
      </c>
      <c r="C66" s="11" t="s">
        <v>37</v>
      </c>
      <c r="D66" s="15" t="s">
        <v>50</v>
      </c>
      <c r="E66" s="15" t="s">
        <v>90</v>
      </c>
      <c r="F66" s="15" t="s">
        <v>92</v>
      </c>
      <c r="G66" s="10" t="s">
        <v>67</v>
      </c>
      <c r="H66" s="14">
        <v>7.0</v>
      </c>
    </row>
    <row r="67">
      <c r="B67" s="10">
        <v>59.0</v>
      </c>
      <c r="C67" s="11" t="s">
        <v>37</v>
      </c>
      <c r="D67" s="15" t="s">
        <v>50</v>
      </c>
      <c r="E67" s="15" t="s">
        <v>90</v>
      </c>
      <c r="F67" s="15" t="s">
        <v>93</v>
      </c>
      <c r="G67" s="10" t="s">
        <v>67</v>
      </c>
      <c r="H67" s="14">
        <v>7.0</v>
      </c>
    </row>
    <row r="68">
      <c r="B68" s="10">
        <v>60.0</v>
      </c>
      <c r="C68" s="11" t="s">
        <v>37</v>
      </c>
      <c r="D68" s="15" t="s">
        <v>50</v>
      </c>
      <c r="E68" s="15" t="s">
        <v>90</v>
      </c>
      <c r="F68" s="15" t="s">
        <v>94</v>
      </c>
      <c r="G68" s="10" t="s">
        <v>67</v>
      </c>
      <c r="H68" s="14">
        <v>7.0</v>
      </c>
    </row>
    <row r="69">
      <c r="B69" s="10">
        <v>61.0</v>
      </c>
      <c r="C69" s="11" t="s">
        <v>37</v>
      </c>
      <c r="D69" s="15" t="s">
        <v>50</v>
      </c>
      <c r="E69" s="15" t="s">
        <v>90</v>
      </c>
      <c r="F69" s="15" t="s">
        <v>95</v>
      </c>
      <c r="G69" s="10" t="s">
        <v>67</v>
      </c>
      <c r="H69" s="14">
        <v>7.0</v>
      </c>
    </row>
    <row r="70">
      <c r="B70" s="10">
        <v>62.0</v>
      </c>
      <c r="C70" s="11" t="s">
        <v>37</v>
      </c>
      <c r="D70" s="15" t="s">
        <v>50</v>
      </c>
      <c r="E70" s="15" t="s">
        <v>90</v>
      </c>
      <c r="F70" s="15" t="s">
        <v>96</v>
      </c>
      <c r="G70" s="10" t="s">
        <v>67</v>
      </c>
      <c r="H70" s="14">
        <v>7.0</v>
      </c>
    </row>
    <row r="71">
      <c r="B71" s="10">
        <v>63.0</v>
      </c>
      <c r="C71" s="11" t="s">
        <v>12</v>
      </c>
      <c r="D71" s="15" t="s">
        <v>97</v>
      </c>
      <c r="E71" s="15" t="s">
        <v>98</v>
      </c>
      <c r="F71" s="15" t="s">
        <v>99</v>
      </c>
      <c r="G71" s="10" t="s">
        <v>100</v>
      </c>
      <c r="H71" s="14">
        <v>8.0</v>
      </c>
    </row>
    <row r="72">
      <c r="B72" s="10">
        <v>64.0</v>
      </c>
      <c r="C72" s="11" t="s">
        <v>12</v>
      </c>
      <c r="D72" s="15" t="s">
        <v>97</v>
      </c>
      <c r="E72" s="15" t="s">
        <v>98</v>
      </c>
      <c r="F72" s="15" t="s">
        <v>101</v>
      </c>
      <c r="G72" s="10" t="s">
        <v>100</v>
      </c>
      <c r="H72" s="14">
        <v>8.0</v>
      </c>
    </row>
    <row r="73">
      <c r="B73" s="10">
        <v>65.0</v>
      </c>
      <c r="C73" s="11" t="s">
        <v>12</v>
      </c>
      <c r="D73" s="15" t="s">
        <v>97</v>
      </c>
      <c r="E73" s="15" t="s">
        <v>98</v>
      </c>
      <c r="F73" s="15" t="s">
        <v>102</v>
      </c>
      <c r="G73" s="10" t="s">
        <v>100</v>
      </c>
      <c r="H73" s="14">
        <v>8.0</v>
      </c>
    </row>
    <row r="74">
      <c r="B74" s="10">
        <v>66.0</v>
      </c>
      <c r="C74" s="11" t="s">
        <v>37</v>
      </c>
      <c r="D74" s="15" t="s">
        <v>97</v>
      </c>
      <c r="E74" s="15" t="s">
        <v>98</v>
      </c>
      <c r="F74" s="15" t="s">
        <v>103</v>
      </c>
      <c r="G74" s="10" t="s">
        <v>100</v>
      </c>
      <c r="H74" s="14">
        <v>8.0</v>
      </c>
    </row>
    <row r="75">
      <c r="B75" s="10">
        <v>67.0</v>
      </c>
      <c r="C75" s="11" t="s">
        <v>37</v>
      </c>
      <c r="D75" s="15" t="s">
        <v>97</v>
      </c>
      <c r="E75" s="15" t="s">
        <v>98</v>
      </c>
      <c r="F75" s="15" t="s">
        <v>104</v>
      </c>
      <c r="G75" s="10" t="s">
        <v>100</v>
      </c>
      <c r="H75" s="14">
        <v>8.0</v>
      </c>
    </row>
    <row r="76">
      <c r="B76" s="10">
        <v>68.0</v>
      </c>
      <c r="C76" s="11" t="s">
        <v>37</v>
      </c>
      <c r="D76" s="15" t="s">
        <v>97</v>
      </c>
      <c r="E76" s="15" t="s">
        <v>98</v>
      </c>
      <c r="F76" s="15" t="s">
        <v>105</v>
      </c>
      <c r="G76" s="10" t="s">
        <v>100</v>
      </c>
      <c r="H76" s="14">
        <v>8.0</v>
      </c>
    </row>
    <row r="77">
      <c r="B77" s="10">
        <v>69.0</v>
      </c>
      <c r="C77" s="11" t="s">
        <v>106</v>
      </c>
      <c r="D77" s="15" t="s">
        <v>97</v>
      </c>
      <c r="E77" s="15" t="s">
        <v>98</v>
      </c>
      <c r="F77" s="15" t="s">
        <v>107</v>
      </c>
      <c r="G77" s="10" t="s">
        <v>100</v>
      </c>
      <c r="H77" s="14">
        <v>8.0</v>
      </c>
    </row>
    <row r="78">
      <c r="B78" s="10">
        <v>70.0</v>
      </c>
      <c r="C78" s="11" t="s">
        <v>106</v>
      </c>
      <c r="D78" s="15" t="s">
        <v>97</v>
      </c>
      <c r="E78" s="15" t="s">
        <v>98</v>
      </c>
      <c r="F78" s="15" t="s">
        <v>108</v>
      </c>
      <c r="G78" s="10" t="s">
        <v>100</v>
      </c>
      <c r="H78" s="14">
        <v>8.0</v>
      </c>
    </row>
    <row r="79">
      <c r="B79" s="10">
        <v>71.0</v>
      </c>
      <c r="C79" s="11" t="s">
        <v>109</v>
      </c>
      <c r="D79" s="15" t="s">
        <v>71</v>
      </c>
      <c r="E79" s="15" t="s">
        <v>72</v>
      </c>
      <c r="F79" s="15" t="s">
        <v>110</v>
      </c>
      <c r="G79" s="10" t="s">
        <v>100</v>
      </c>
      <c r="H79" s="14">
        <v>9.0</v>
      </c>
    </row>
    <row r="80">
      <c r="B80" s="10">
        <v>72.0</v>
      </c>
      <c r="C80" s="11" t="s">
        <v>109</v>
      </c>
      <c r="D80" s="15" t="s">
        <v>71</v>
      </c>
      <c r="E80" s="15" t="s">
        <v>72</v>
      </c>
      <c r="F80" s="15" t="s">
        <v>111</v>
      </c>
      <c r="G80" s="10" t="s">
        <v>100</v>
      </c>
      <c r="H80" s="14">
        <v>9.0</v>
      </c>
    </row>
    <row r="81">
      <c r="B81" s="10">
        <v>73.0</v>
      </c>
      <c r="C81" s="11" t="s">
        <v>109</v>
      </c>
      <c r="D81" s="15" t="s">
        <v>71</v>
      </c>
      <c r="E81" s="15" t="s">
        <v>72</v>
      </c>
      <c r="F81" s="15" t="s">
        <v>112</v>
      </c>
      <c r="G81" s="10" t="s">
        <v>100</v>
      </c>
      <c r="H81" s="14">
        <v>9.0</v>
      </c>
    </row>
    <row r="82">
      <c r="B82" s="10">
        <v>74.0</v>
      </c>
      <c r="C82" s="11" t="s">
        <v>109</v>
      </c>
      <c r="D82" s="15" t="s">
        <v>71</v>
      </c>
      <c r="E82" s="15" t="s">
        <v>72</v>
      </c>
      <c r="F82" s="15" t="s">
        <v>113</v>
      </c>
      <c r="G82" s="10" t="s">
        <v>100</v>
      </c>
      <c r="H82" s="14">
        <v>9.0</v>
      </c>
    </row>
    <row r="83">
      <c r="B83" s="10">
        <v>75.0</v>
      </c>
      <c r="C83" s="11" t="s">
        <v>109</v>
      </c>
      <c r="D83" s="15" t="s">
        <v>71</v>
      </c>
      <c r="E83" s="15" t="s">
        <v>72</v>
      </c>
      <c r="F83" s="15" t="s">
        <v>114</v>
      </c>
      <c r="G83" s="10" t="s">
        <v>100</v>
      </c>
      <c r="H83" s="14">
        <v>9.0</v>
      </c>
    </row>
    <row r="84">
      <c r="B84" s="10">
        <v>76.0</v>
      </c>
      <c r="C84" s="11" t="s">
        <v>109</v>
      </c>
      <c r="D84" s="15" t="s">
        <v>71</v>
      </c>
      <c r="E84" s="15" t="s">
        <v>72</v>
      </c>
      <c r="F84" s="15" t="s">
        <v>115</v>
      </c>
      <c r="G84" s="10" t="s">
        <v>100</v>
      </c>
      <c r="H84" s="14">
        <v>9.0</v>
      </c>
    </row>
    <row r="85">
      <c r="B85" s="10">
        <v>77.0</v>
      </c>
      <c r="C85" s="11" t="s">
        <v>109</v>
      </c>
      <c r="D85" s="15" t="s">
        <v>71</v>
      </c>
      <c r="E85" s="15" t="s">
        <v>72</v>
      </c>
      <c r="F85" s="15" t="s">
        <v>116</v>
      </c>
      <c r="G85" s="10" t="s">
        <v>100</v>
      </c>
      <c r="H85" s="14">
        <v>9.0</v>
      </c>
    </row>
    <row r="86">
      <c r="B86" s="10">
        <v>78.0</v>
      </c>
      <c r="C86" s="11" t="s">
        <v>117</v>
      </c>
      <c r="D86" s="15" t="s">
        <v>71</v>
      </c>
      <c r="E86" s="15" t="s">
        <v>118</v>
      </c>
      <c r="F86" s="15" t="s">
        <v>119</v>
      </c>
      <c r="G86" s="10" t="s">
        <v>100</v>
      </c>
      <c r="H86" s="14">
        <v>9.0</v>
      </c>
    </row>
    <row r="87">
      <c r="B87" s="10">
        <v>79.0</v>
      </c>
      <c r="C87" s="11" t="s">
        <v>117</v>
      </c>
      <c r="D87" s="15" t="s">
        <v>120</v>
      </c>
      <c r="E87" s="15" t="s">
        <v>118</v>
      </c>
      <c r="F87" s="15" t="s">
        <v>121</v>
      </c>
      <c r="G87" s="10" t="s">
        <v>100</v>
      </c>
      <c r="H87" s="14">
        <v>9.0</v>
      </c>
    </row>
    <row r="88">
      <c r="B88" s="10">
        <v>80.0</v>
      </c>
      <c r="C88" s="11" t="s">
        <v>117</v>
      </c>
      <c r="D88" s="15" t="s">
        <v>120</v>
      </c>
      <c r="E88" s="15" t="s">
        <v>118</v>
      </c>
      <c r="F88" s="15" t="s">
        <v>122</v>
      </c>
      <c r="G88" s="10" t="s">
        <v>100</v>
      </c>
      <c r="H88" s="14">
        <v>9.0</v>
      </c>
    </row>
    <row r="89">
      <c r="B89" s="10">
        <v>81.0</v>
      </c>
      <c r="C89" s="11" t="s">
        <v>117</v>
      </c>
      <c r="D89" s="15" t="s">
        <v>120</v>
      </c>
      <c r="E89" s="15" t="s">
        <v>118</v>
      </c>
      <c r="F89" s="15" t="s">
        <v>123</v>
      </c>
      <c r="G89" s="10" t="s">
        <v>100</v>
      </c>
      <c r="H89" s="14">
        <v>9.0</v>
      </c>
    </row>
    <row r="90">
      <c r="B90" s="10">
        <v>82.0</v>
      </c>
      <c r="C90" s="11" t="s">
        <v>117</v>
      </c>
      <c r="D90" s="15" t="s">
        <v>120</v>
      </c>
      <c r="E90" s="15" t="s">
        <v>118</v>
      </c>
      <c r="F90" s="15" t="s">
        <v>124</v>
      </c>
      <c r="G90" s="10" t="s">
        <v>100</v>
      </c>
      <c r="H90" s="14">
        <v>9.0</v>
      </c>
    </row>
    <row r="91">
      <c r="B91" s="10">
        <v>83.0</v>
      </c>
      <c r="C91" s="11" t="s">
        <v>49</v>
      </c>
      <c r="D91" s="15" t="s">
        <v>50</v>
      </c>
      <c r="E91" s="15" t="s">
        <v>51</v>
      </c>
      <c r="F91" s="15" t="s">
        <v>125</v>
      </c>
      <c r="G91" s="10" t="s">
        <v>126</v>
      </c>
      <c r="H91" s="14">
        <v>10.0</v>
      </c>
    </row>
    <row r="92">
      <c r="B92" s="10">
        <v>84.0</v>
      </c>
      <c r="C92" s="11" t="s">
        <v>49</v>
      </c>
      <c r="D92" s="15" t="s">
        <v>50</v>
      </c>
      <c r="E92" s="15" t="s">
        <v>51</v>
      </c>
      <c r="F92" s="15" t="s">
        <v>127</v>
      </c>
      <c r="G92" s="10" t="s">
        <v>126</v>
      </c>
      <c r="H92" s="14">
        <v>10.0</v>
      </c>
    </row>
    <row r="93">
      <c r="B93" s="10">
        <v>85.0</v>
      </c>
      <c r="C93" s="11" t="s">
        <v>49</v>
      </c>
      <c r="D93" s="15" t="s">
        <v>50</v>
      </c>
      <c r="E93" s="15" t="s">
        <v>51</v>
      </c>
      <c r="F93" s="15" t="s">
        <v>128</v>
      </c>
      <c r="G93" s="10" t="s">
        <v>126</v>
      </c>
      <c r="H93" s="14">
        <v>10.0</v>
      </c>
    </row>
    <row r="94">
      <c r="B94" s="10">
        <v>86.0</v>
      </c>
      <c r="C94" s="11" t="s">
        <v>49</v>
      </c>
      <c r="D94" s="15" t="s">
        <v>50</v>
      </c>
      <c r="E94" s="15" t="s">
        <v>51</v>
      </c>
      <c r="F94" s="15" t="s">
        <v>129</v>
      </c>
      <c r="G94" s="10" t="s">
        <v>126</v>
      </c>
      <c r="H94" s="14">
        <v>10.0</v>
      </c>
    </row>
    <row r="95">
      <c r="B95" s="10">
        <v>87.0</v>
      </c>
      <c r="C95" s="11" t="s">
        <v>49</v>
      </c>
      <c r="D95" s="15" t="s">
        <v>50</v>
      </c>
      <c r="E95" s="15" t="s">
        <v>51</v>
      </c>
      <c r="F95" s="15" t="s">
        <v>130</v>
      </c>
      <c r="G95" s="10" t="s">
        <v>126</v>
      </c>
      <c r="H95" s="14">
        <v>10.0</v>
      </c>
    </row>
    <row r="96">
      <c r="B96" s="10">
        <v>88.0</v>
      </c>
      <c r="C96" s="11" t="s">
        <v>37</v>
      </c>
      <c r="D96" s="15" t="s">
        <v>120</v>
      </c>
      <c r="E96" s="15" t="s">
        <v>131</v>
      </c>
      <c r="F96" s="15" t="s">
        <v>132</v>
      </c>
      <c r="G96" s="10" t="s">
        <v>126</v>
      </c>
      <c r="H96" s="14">
        <v>10.0</v>
      </c>
    </row>
    <row r="97">
      <c r="B97" s="10">
        <v>89.0</v>
      </c>
      <c r="C97" s="11" t="s">
        <v>37</v>
      </c>
      <c r="D97" s="15" t="s">
        <v>120</v>
      </c>
      <c r="E97" s="15" t="s">
        <v>131</v>
      </c>
      <c r="F97" s="15" t="s">
        <v>133</v>
      </c>
      <c r="G97" s="10" t="s">
        <v>126</v>
      </c>
      <c r="H97" s="14">
        <v>10.0</v>
      </c>
    </row>
    <row r="98">
      <c r="B98" s="10">
        <v>90.0</v>
      </c>
      <c r="C98" s="11" t="s">
        <v>37</v>
      </c>
      <c r="D98" s="15" t="s">
        <v>120</v>
      </c>
      <c r="E98" s="15" t="s">
        <v>131</v>
      </c>
      <c r="F98" s="15" t="s">
        <v>134</v>
      </c>
      <c r="G98" s="10" t="s">
        <v>126</v>
      </c>
      <c r="H98" s="14">
        <v>10.0</v>
      </c>
    </row>
    <row r="99">
      <c r="B99" s="10">
        <v>91.0</v>
      </c>
      <c r="C99" s="11" t="s">
        <v>37</v>
      </c>
      <c r="D99" s="15" t="s">
        <v>120</v>
      </c>
      <c r="E99" s="15" t="s">
        <v>131</v>
      </c>
      <c r="F99" s="15" t="s">
        <v>135</v>
      </c>
      <c r="G99" s="10" t="s">
        <v>126</v>
      </c>
      <c r="H99" s="14">
        <v>10.0</v>
      </c>
    </row>
    <row r="100">
      <c r="B100" s="10">
        <v>92.0</v>
      </c>
      <c r="C100" s="11" t="s">
        <v>37</v>
      </c>
      <c r="D100" s="15" t="s">
        <v>120</v>
      </c>
      <c r="E100" s="15" t="s">
        <v>131</v>
      </c>
      <c r="F100" s="15" t="s">
        <v>136</v>
      </c>
      <c r="G100" s="10" t="s">
        <v>126</v>
      </c>
      <c r="H100" s="14">
        <v>10.0</v>
      </c>
    </row>
    <row r="101">
      <c r="B101" s="10">
        <v>93.0</v>
      </c>
      <c r="C101" s="11" t="s">
        <v>37</v>
      </c>
      <c r="D101" s="15" t="s">
        <v>120</v>
      </c>
      <c r="E101" s="15" t="s">
        <v>131</v>
      </c>
      <c r="F101" s="15" t="s">
        <v>137</v>
      </c>
      <c r="G101" s="10" t="s">
        <v>126</v>
      </c>
      <c r="H101" s="14">
        <v>10.0</v>
      </c>
    </row>
    <row r="102">
      <c r="B102" s="10">
        <v>94.0</v>
      </c>
      <c r="C102" s="11" t="s">
        <v>138</v>
      </c>
      <c r="D102" s="15" t="s">
        <v>120</v>
      </c>
      <c r="E102" s="15" t="s">
        <v>139</v>
      </c>
      <c r="F102" s="15" t="s">
        <v>140</v>
      </c>
      <c r="G102" s="10" t="s">
        <v>126</v>
      </c>
      <c r="H102" s="14">
        <v>11.0</v>
      </c>
    </row>
    <row r="103">
      <c r="B103" s="10">
        <v>95.0</v>
      </c>
      <c r="C103" s="11" t="s">
        <v>138</v>
      </c>
      <c r="D103" s="15" t="s">
        <v>120</v>
      </c>
      <c r="E103" s="15" t="s">
        <v>139</v>
      </c>
      <c r="F103" s="15" t="s">
        <v>141</v>
      </c>
      <c r="G103" s="10" t="s">
        <v>126</v>
      </c>
      <c r="H103" s="14">
        <v>11.0</v>
      </c>
    </row>
    <row r="104">
      <c r="B104" s="10">
        <v>96.0</v>
      </c>
      <c r="C104" s="11" t="s">
        <v>138</v>
      </c>
      <c r="D104" s="15" t="s">
        <v>120</v>
      </c>
      <c r="E104" s="15" t="s">
        <v>139</v>
      </c>
      <c r="F104" s="15" t="s">
        <v>142</v>
      </c>
      <c r="G104" s="10" t="s">
        <v>126</v>
      </c>
      <c r="H104" s="14">
        <v>11.0</v>
      </c>
    </row>
    <row r="105">
      <c r="B105" s="10">
        <v>97.0</v>
      </c>
      <c r="C105" s="11" t="s">
        <v>138</v>
      </c>
      <c r="D105" s="15" t="s">
        <v>120</v>
      </c>
      <c r="E105" s="15" t="s">
        <v>139</v>
      </c>
      <c r="F105" s="15" t="s">
        <v>143</v>
      </c>
      <c r="G105" s="10" t="s">
        <v>126</v>
      </c>
      <c r="H105" s="14">
        <v>11.0</v>
      </c>
    </row>
    <row r="106" ht="15.75" customHeight="1">
      <c r="C106" s="16"/>
    </row>
    <row r="107" ht="15.75" customHeight="1">
      <c r="C107" s="16"/>
    </row>
    <row r="108" ht="15.75" customHeight="1">
      <c r="C108" s="16"/>
    </row>
    <row r="109" ht="15.75" customHeight="1">
      <c r="C109" s="16"/>
    </row>
    <row r="110" ht="15.75" customHeight="1">
      <c r="C110" s="16"/>
    </row>
    <row r="111" ht="15.75" customHeight="1">
      <c r="C111" s="16"/>
    </row>
    <row r="112" ht="15.75" customHeight="1">
      <c r="C112" s="16"/>
    </row>
    <row r="113" ht="15.75" customHeight="1">
      <c r="C113" s="16"/>
    </row>
    <row r="114" ht="15.75" customHeight="1">
      <c r="C114" s="16"/>
    </row>
    <row r="115" ht="15.75" customHeight="1">
      <c r="C115" s="16"/>
    </row>
    <row r="116" ht="15.75" customHeight="1">
      <c r="C116" s="16"/>
    </row>
    <row r="117" ht="15.75" customHeight="1">
      <c r="C117" s="16"/>
    </row>
    <row r="118" ht="15.75" customHeight="1">
      <c r="C118" s="16"/>
    </row>
    <row r="119" ht="15.75" customHeight="1">
      <c r="C119" s="16"/>
    </row>
    <row r="120" ht="15.75" customHeight="1">
      <c r="C120" s="16"/>
    </row>
    <row r="121" ht="15.75" customHeight="1">
      <c r="C121" s="16"/>
    </row>
    <row r="122" ht="15.75" customHeight="1">
      <c r="C122" s="16"/>
    </row>
    <row r="123" ht="15.75" customHeight="1">
      <c r="C123" s="16"/>
    </row>
    <row r="124" ht="15.75" customHeight="1">
      <c r="C124" s="16"/>
    </row>
    <row r="125" ht="15.75" customHeight="1">
      <c r="C125" s="16"/>
    </row>
    <row r="126" ht="15.75" customHeight="1">
      <c r="C126" s="16"/>
    </row>
    <row r="127" ht="15.75" customHeight="1">
      <c r="C127" s="16"/>
    </row>
    <row r="128" ht="15.75" customHeight="1">
      <c r="C128" s="16"/>
    </row>
    <row r="129" ht="15.75" customHeight="1">
      <c r="C129" s="16"/>
    </row>
    <row r="130" ht="15.75" customHeight="1">
      <c r="C130" s="16"/>
    </row>
    <row r="131" ht="15.75" customHeight="1">
      <c r="C131" s="16"/>
    </row>
    <row r="132" ht="15.75" customHeight="1">
      <c r="C132" s="16"/>
    </row>
    <row r="133" ht="15.75" customHeight="1">
      <c r="C133" s="16"/>
    </row>
    <row r="134" ht="15.75" customHeight="1">
      <c r="C134" s="16"/>
    </row>
    <row r="135" ht="15.75" customHeight="1">
      <c r="C135" s="16"/>
    </row>
    <row r="136" ht="15.75" customHeight="1">
      <c r="C136" s="16"/>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H4"/>
    <mergeCell ref="C5:H5"/>
  </mergeCells>
  <dataValidations>
    <dataValidation type="list" allowBlank="1" showErrorMessage="1" sqref="C9:C105">
      <formula1>METADATA!$I$17:$I$37</formula1>
    </dataValidation>
    <dataValidation type="list" allowBlank="1" showErrorMessage="1" sqref="C4">
      <formula1>METADATA!$A$2:$A$80</formula1>
    </dataValidation>
    <dataValidation type="list" allowBlank="1" showErrorMessage="1" sqref="H9:H105">
      <formula1>"2,3,4,5,6,7,8,9,10,11"</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2" t="s">
        <v>0</v>
      </c>
    </row>
    <row r="3" ht="15.75" customHeight="1"/>
    <row r="4" ht="15.75" customHeight="1">
      <c r="B4" s="17" t="s">
        <v>1</v>
      </c>
      <c r="C4" s="18" t="str">
        <f>'Diseño'!C4</f>
        <v>975 - Redes de Computadoras 2</v>
      </c>
      <c r="D4" s="19"/>
      <c r="E4" s="19"/>
      <c r="F4" s="19"/>
      <c r="G4" s="20"/>
    </row>
    <row r="5" ht="15.75" customHeight="1">
      <c r="B5" s="21" t="s">
        <v>11</v>
      </c>
      <c r="C5" s="18">
        <v>1.0</v>
      </c>
      <c r="D5" s="19"/>
      <c r="E5" s="19"/>
      <c r="F5" s="19"/>
      <c r="G5" s="20"/>
    </row>
    <row r="6" ht="15.75" customHeight="1">
      <c r="B6" s="21" t="s">
        <v>144</v>
      </c>
      <c r="C6" s="18">
        <f>B15+B22+B29+B41+B47+C48</f>
        <v>85</v>
      </c>
      <c r="D6" s="19"/>
      <c r="E6" s="19"/>
      <c r="F6" s="19"/>
      <c r="G6" s="20"/>
    </row>
    <row r="7" ht="15.75" customHeight="1"/>
    <row r="8" ht="15.75" customHeight="1"/>
    <row r="9" ht="15.75" customHeight="1">
      <c r="A9" s="22" t="s">
        <v>145</v>
      </c>
      <c r="G9" s="23" t="s">
        <v>146</v>
      </c>
      <c r="H9" s="24">
        <v>10.0</v>
      </c>
    </row>
    <row r="10" ht="15.75" customHeight="1">
      <c r="G10" s="25" t="s">
        <v>147</v>
      </c>
    </row>
    <row r="11" ht="48.0" customHeight="1">
      <c r="A11" s="26" t="s">
        <v>148</v>
      </c>
      <c r="B11" s="27" t="s">
        <v>149</v>
      </c>
      <c r="C11" s="19"/>
      <c r="D11" s="19"/>
      <c r="E11" s="19"/>
      <c r="F11" s="19"/>
      <c r="G11" s="19"/>
      <c r="H11" s="20"/>
    </row>
    <row r="12" ht="50.25" customHeight="1">
      <c r="A12" s="26" t="s">
        <v>150</v>
      </c>
      <c r="B12" s="28"/>
      <c r="C12" s="19"/>
      <c r="D12" s="19"/>
      <c r="E12" s="19"/>
      <c r="F12" s="19"/>
      <c r="G12" s="19"/>
      <c r="H12" s="20"/>
      <c r="K12" s="29" t="s">
        <v>151</v>
      </c>
    </row>
    <row r="13" ht="48.75" customHeight="1">
      <c r="A13" s="30" t="s">
        <v>152</v>
      </c>
      <c r="B13" s="31" t="s">
        <v>153</v>
      </c>
      <c r="C13" s="19"/>
      <c r="D13" s="19"/>
      <c r="E13" s="19"/>
      <c r="F13" s="19"/>
      <c r="G13" s="19"/>
      <c r="H13" s="20"/>
    </row>
    <row r="14" ht="42.75" customHeight="1">
      <c r="A14" s="30" t="s">
        <v>154</v>
      </c>
      <c r="B14" s="18"/>
      <c r="C14" s="19"/>
      <c r="D14" s="19"/>
      <c r="E14" s="19"/>
      <c r="F14" s="19"/>
      <c r="G14" s="19"/>
      <c r="H14" s="20"/>
    </row>
    <row r="15" ht="27.75" customHeight="1">
      <c r="A15" s="32" t="s">
        <v>155</v>
      </c>
      <c r="B15" s="31">
        <v>10.0</v>
      </c>
      <c r="C15" s="19"/>
      <c r="D15" s="19"/>
      <c r="E15" s="19"/>
      <c r="F15" s="19"/>
      <c r="G15" s="19"/>
      <c r="H15" s="20"/>
    </row>
    <row r="16" ht="15.75" customHeight="1"/>
    <row r="17" ht="15.75" customHeight="1"/>
    <row r="18" ht="15.75" customHeight="1">
      <c r="A18" s="33" t="s">
        <v>156</v>
      </c>
      <c r="G18" s="23" t="s">
        <v>146</v>
      </c>
      <c r="H18" s="24">
        <v>25.0</v>
      </c>
    </row>
    <row r="19" ht="15.75" customHeight="1">
      <c r="G19" s="25" t="s">
        <v>157</v>
      </c>
    </row>
    <row r="20" ht="69.75" customHeight="1">
      <c r="A20" s="26" t="s">
        <v>158</v>
      </c>
      <c r="B20" s="34" t="s">
        <v>159</v>
      </c>
      <c r="C20" s="19"/>
      <c r="D20" s="19"/>
      <c r="E20" s="19"/>
      <c r="F20" s="19"/>
      <c r="G20" s="19"/>
      <c r="H20" s="20"/>
      <c r="K20" s="29" t="s">
        <v>160</v>
      </c>
    </row>
    <row r="21" ht="28.5" customHeight="1">
      <c r="A21" s="26" t="s">
        <v>161</v>
      </c>
      <c r="B21" s="27"/>
      <c r="C21" s="19"/>
      <c r="D21" s="19"/>
      <c r="E21" s="19"/>
      <c r="F21" s="19"/>
      <c r="G21" s="19"/>
      <c r="H21" s="20"/>
    </row>
    <row r="22" ht="41.25" customHeight="1">
      <c r="A22" s="32" t="s">
        <v>155</v>
      </c>
      <c r="B22" s="31">
        <v>20.0</v>
      </c>
      <c r="C22" s="19"/>
      <c r="D22" s="19"/>
      <c r="E22" s="19"/>
      <c r="F22" s="19"/>
      <c r="G22" s="19"/>
      <c r="H22" s="20"/>
    </row>
    <row r="23" ht="15.75" customHeight="1"/>
    <row r="24" ht="15.75" customHeight="1"/>
    <row r="25" ht="15.75" customHeight="1">
      <c r="A25" s="33" t="s">
        <v>162</v>
      </c>
      <c r="G25" s="35" t="s">
        <v>146</v>
      </c>
      <c r="H25" s="24">
        <v>20.0</v>
      </c>
    </row>
    <row r="26" ht="15.75" customHeight="1">
      <c r="G26" s="25" t="s">
        <v>163</v>
      </c>
      <c r="H26" s="25"/>
      <c r="I26" s="25"/>
      <c r="J26" s="25"/>
    </row>
    <row r="27" ht="39.75" customHeight="1">
      <c r="A27" s="26" t="s">
        <v>164</v>
      </c>
      <c r="B27" s="28"/>
      <c r="C27" s="19"/>
      <c r="D27" s="19"/>
      <c r="E27" s="19"/>
      <c r="F27" s="19"/>
      <c r="G27" s="19"/>
      <c r="H27" s="20"/>
      <c r="K27" s="36" t="s">
        <v>165</v>
      </c>
    </row>
    <row r="28" ht="69.75" customHeight="1">
      <c r="A28" s="26" t="s">
        <v>166</v>
      </c>
      <c r="B28" s="27" t="s">
        <v>167</v>
      </c>
      <c r="C28" s="19"/>
      <c r="D28" s="19"/>
      <c r="E28" s="19"/>
      <c r="F28" s="19"/>
      <c r="G28" s="19"/>
      <c r="H28" s="20"/>
    </row>
    <row r="29" ht="15.75" customHeight="1">
      <c r="A29" s="32" t="s">
        <v>155</v>
      </c>
      <c r="B29" s="31">
        <v>20.0</v>
      </c>
      <c r="C29" s="19"/>
      <c r="D29" s="19"/>
      <c r="E29" s="19"/>
      <c r="F29" s="19"/>
      <c r="G29" s="19"/>
      <c r="H29" s="20"/>
    </row>
    <row r="30" ht="15.75" customHeight="1"/>
    <row r="31" ht="15.75" customHeight="1"/>
    <row r="32" ht="15.75" customHeight="1">
      <c r="A32" s="33" t="s">
        <v>168</v>
      </c>
      <c r="G32" s="35" t="s">
        <v>146</v>
      </c>
      <c r="H32" s="24">
        <v>10.0</v>
      </c>
    </row>
    <row r="33" ht="15.75" customHeight="1">
      <c r="A33" s="6" t="s">
        <v>169</v>
      </c>
      <c r="G33" s="6" t="s">
        <v>170</v>
      </c>
      <c r="H33" s="37"/>
      <c r="I33" s="37"/>
    </row>
    <row r="34" ht="36.0" customHeight="1">
      <c r="A34" s="26" t="s">
        <v>171</v>
      </c>
      <c r="B34" s="27" t="s">
        <v>172</v>
      </c>
      <c r="C34" s="19"/>
      <c r="D34" s="19"/>
      <c r="E34" s="19"/>
      <c r="F34" s="19"/>
      <c r="G34" s="19"/>
      <c r="H34" s="20"/>
      <c r="K34" s="38" t="s">
        <v>173</v>
      </c>
    </row>
    <row r="35" ht="41.25" customHeight="1">
      <c r="A35" s="26" t="s">
        <v>174</v>
      </c>
      <c r="B35" s="27" t="s">
        <v>175</v>
      </c>
      <c r="C35" s="19"/>
      <c r="D35" s="19"/>
      <c r="E35" s="19"/>
      <c r="F35" s="19"/>
      <c r="G35" s="19"/>
      <c r="H35" s="20"/>
    </row>
    <row r="36" ht="15.75" customHeight="1">
      <c r="A36" s="32" t="s">
        <v>155</v>
      </c>
      <c r="B36" s="31">
        <v>20.0</v>
      </c>
      <c r="C36" s="19"/>
      <c r="D36" s="19"/>
      <c r="E36" s="19"/>
      <c r="F36" s="19"/>
      <c r="G36" s="19"/>
      <c r="H36" s="20"/>
    </row>
    <row r="37" ht="15.75" customHeight="1"/>
    <row r="38" ht="15.75" customHeight="1"/>
    <row r="39" ht="15.75" customHeight="1">
      <c r="A39" s="33" t="s">
        <v>176</v>
      </c>
      <c r="G39" s="35" t="s">
        <v>146</v>
      </c>
      <c r="H39" s="24">
        <v>20.0</v>
      </c>
    </row>
    <row r="40" ht="15.75" customHeight="1">
      <c r="G40" s="25" t="s">
        <v>177</v>
      </c>
    </row>
    <row r="41" ht="15.75" customHeight="1">
      <c r="A41" s="32" t="s">
        <v>155</v>
      </c>
      <c r="B41" s="31">
        <v>20.0</v>
      </c>
      <c r="C41" s="19"/>
      <c r="D41" s="19"/>
      <c r="E41" s="19"/>
      <c r="F41" s="19"/>
      <c r="G41" s="19"/>
      <c r="H41" s="20"/>
    </row>
    <row r="42" ht="15.75" customHeight="1"/>
    <row r="43" ht="15.75" customHeight="1"/>
    <row r="44" ht="15.75" customHeight="1">
      <c r="A44" s="33" t="s">
        <v>178</v>
      </c>
      <c r="G44" s="35" t="s">
        <v>146</v>
      </c>
      <c r="H44" s="24">
        <v>25.0</v>
      </c>
    </row>
    <row r="45" ht="15.75" customHeight="1">
      <c r="G45" s="25" t="s">
        <v>147</v>
      </c>
    </row>
    <row r="46" ht="58.5" customHeight="1">
      <c r="A46" s="26" t="s">
        <v>179</v>
      </c>
      <c r="B46" s="34" t="s">
        <v>180</v>
      </c>
      <c r="C46" s="19"/>
      <c r="D46" s="19"/>
      <c r="E46" s="19"/>
      <c r="F46" s="19"/>
      <c r="G46" s="19"/>
      <c r="H46" s="20"/>
    </row>
    <row r="47" ht="37.5" customHeight="1">
      <c r="A47" s="32" t="s">
        <v>155</v>
      </c>
      <c r="B47" s="31">
        <v>15.0</v>
      </c>
      <c r="C47" s="19"/>
      <c r="D47" s="19"/>
      <c r="E47" s="19"/>
      <c r="F47" s="19"/>
      <c r="G47" s="19"/>
      <c r="H47" s="20"/>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A6"/>
    <mergeCell ref="C4:G4"/>
    <mergeCell ref="C5:G5"/>
    <mergeCell ref="C6:G6"/>
    <mergeCell ref="A9:F9"/>
    <mergeCell ref="G10:I10"/>
    <mergeCell ref="B11:H11"/>
    <mergeCell ref="B12:H12"/>
    <mergeCell ref="K12:M13"/>
    <mergeCell ref="B13:H13"/>
    <mergeCell ref="B14:H14"/>
    <mergeCell ref="B15:H15"/>
    <mergeCell ref="A18:F18"/>
    <mergeCell ref="G19:I19"/>
    <mergeCell ref="B20:H20"/>
    <mergeCell ref="K20:M21"/>
    <mergeCell ref="B21:H21"/>
    <mergeCell ref="B22:H22"/>
    <mergeCell ref="A25:F25"/>
    <mergeCell ref="B27:H27"/>
    <mergeCell ref="K27:M29"/>
    <mergeCell ref="B36:H36"/>
    <mergeCell ref="A39:F39"/>
    <mergeCell ref="G40:I40"/>
    <mergeCell ref="B41:H41"/>
    <mergeCell ref="A44:F44"/>
    <mergeCell ref="G45:I45"/>
    <mergeCell ref="B46:H46"/>
    <mergeCell ref="B47:H47"/>
    <mergeCell ref="B28:H28"/>
    <mergeCell ref="B29:H29"/>
    <mergeCell ref="A32:F32"/>
    <mergeCell ref="A33:F33"/>
    <mergeCell ref="B34:H34"/>
    <mergeCell ref="K34:M36"/>
    <mergeCell ref="B35:H35"/>
  </mergeCells>
  <hyperlinks>
    <hyperlink r:id="rId2" ref="B20"/>
    <hyperlink r:id="rId3" ref="B46"/>
  </hyperlink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36.63"/>
  </cols>
  <sheetData>
    <row r="1" ht="15.75" customHeight="1"/>
    <row r="2" ht="15.75" customHeight="1">
      <c r="B2" s="39" t="s">
        <v>181</v>
      </c>
    </row>
    <row r="3" ht="15.75" customHeight="1"/>
    <row r="4" ht="15.75" customHeight="1">
      <c r="B4" s="17" t="s">
        <v>1</v>
      </c>
      <c r="C4" s="18" t="str">
        <f>'Diseño'!C4</f>
        <v>975 - Redes de Computadoras 2</v>
      </c>
      <c r="D4" s="19"/>
      <c r="E4" s="19"/>
      <c r="F4" s="19"/>
      <c r="G4" s="20"/>
    </row>
    <row r="5" ht="15.75" customHeight="1">
      <c r="B5" s="21" t="s">
        <v>11</v>
      </c>
      <c r="C5" s="18">
        <v>2.0</v>
      </c>
      <c r="D5" s="19"/>
      <c r="E5" s="19"/>
      <c r="F5" s="19"/>
      <c r="G5" s="20"/>
    </row>
    <row r="6" ht="15.75" customHeight="1">
      <c r="B6" s="40" t="s">
        <v>144</v>
      </c>
      <c r="C6" s="18">
        <f>H10+H21+H47+H71</f>
        <v>100</v>
      </c>
      <c r="D6" s="19"/>
      <c r="E6" s="19"/>
      <c r="F6" s="19"/>
      <c r="G6" s="20"/>
      <c r="I6" s="5"/>
    </row>
    <row r="7" ht="15.75" customHeight="1">
      <c r="B7" s="40" t="s">
        <v>182</v>
      </c>
      <c r="C7" s="18">
        <f>B52+B63</f>
        <v>1</v>
      </c>
      <c r="D7" s="19"/>
      <c r="E7" s="19"/>
      <c r="F7" s="19"/>
      <c r="G7" s="20"/>
    </row>
    <row r="8" ht="15.75" customHeight="1">
      <c r="B8" s="40" t="s">
        <v>183</v>
      </c>
      <c r="C8" s="18" t="str">
        <f>IF(H47&lt;=0, "❌ ERROR: La Actividad 1 debe tener un tiempo mayor a 0.", IF(H21&gt;60, "❌ ERROR: El 'Área de Conocimiento' no puede exceder los 60 min.", IF((H10+H21+H47+H71)&lt;100, "❌ ERROR: El tiempo total debe ser de al menos 100 min.", "✅ VALIDACIÓN CORRECTA")))</f>
        <v>✅ VALIDACIÓN CORRECTA</v>
      </c>
      <c r="D8" s="19"/>
      <c r="E8" s="19"/>
      <c r="F8" s="19"/>
      <c r="G8" s="20"/>
      <c r="I8" s="5"/>
      <c r="J8" s="5"/>
      <c r="K8" s="5"/>
    </row>
    <row r="9" ht="15.75" customHeight="1"/>
    <row r="10" ht="15.75" customHeight="1">
      <c r="A10" s="41" t="s">
        <v>184</v>
      </c>
      <c r="G10" s="35" t="s">
        <v>146</v>
      </c>
      <c r="H10" s="42">
        <v>5.0</v>
      </c>
    </row>
    <row r="11" ht="15.75" customHeight="1">
      <c r="G11" s="25" t="s">
        <v>185</v>
      </c>
    </row>
    <row r="12" ht="15.75" customHeight="1">
      <c r="A12" s="30" t="s">
        <v>186</v>
      </c>
      <c r="B12" s="31" t="s">
        <v>187</v>
      </c>
      <c r="C12" s="19"/>
      <c r="D12" s="19"/>
      <c r="E12" s="19"/>
      <c r="F12" s="19"/>
      <c r="G12" s="19"/>
      <c r="H12" s="20"/>
    </row>
    <row r="13" ht="15.75" customHeight="1">
      <c r="A13" s="32" t="s">
        <v>146</v>
      </c>
      <c r="B13" s="31">
        <f>H10</f>
        <v>5</v>
      </c>
      <c r="C13" s="19"/>
      <c r="D13" s="19"/>
      <c r="E13" s="19"/>
      <c r="F13" s="19"/>
      <c r="G13" s="19"/>
      <c r="H13" s="20"/>
    </row>
    <row r="14" ht="15.75" customHeight="1">
      <c r="A14" s="43" t="s">
        <v>188</v>
      </c>
      <c r="B14" s="19"/>
      <c r="C14" s="19"/>
      <c r="D14" s="19"/>
      <c r="E14" s="19"/>
      <c r="F14" s="19"/>
      <c r="G14" s="19"/>
      <c r="H14" s="20"/>
    </row>
    <row r="15" ht="15.75" customHeight="1">
      <c r="A15" s="44" t="s">
        <v>189</v>
      </c>
      <c r="B15" s="45"/>
      <c r="C15" s="45"/>
      <c r="D15" s="45"/>
      <c r="E15" s="45"/>
      <c r="F15" s="45"/>
      <c r="G15" s="45"/>
      <c r="H15" s="46"/>
    </row>
    <row r="16" ht="15.75" customHeight="1">
      <c r="A16" s="47"/>
      <c r="B16" s="48"/>
      <c r="C16" s="48"/>
      <c r="D16" s="48"/>
      <c r="E16" s="48"/>
      <c r="F16" s="48"/>
      <c r="G16" s="48"/>
      <c r="H16" s="49"/>
    </row>
    <row r="17" ht="15.75" customHeight="1">
      <c r="A17" s="43" t="s">
        <v>190</v>
      </c>
      <c r="B17" s="19"/>
      <c r="C17" s="19"/>
      <c r="D17" s="19"/>
      <c r="E17" s="19"/>
      <c r="F17" s="19"/>
      <c r="G17" s="19"/>
      <c r="H17" s="20"/>
    </row>
    <row r="18" ht="15.75" customHeight="1">
      <c r="A18" s="44" t="s">
        <v>191</v>
      </c>
      <c r="B18" s="45"/>
      <c r="C18" s="45"/>
      <c r="D18" s="45"/>
      <c r="E18" s="45"/>
      <c r="F18" s="45"/>
      <c r="G18" s="45"/>
      <c r="H18" s="46"/>
    </row>
    <row r="19" ht="15.75" customHeight="1">
      <c r="A19" s="47"/>
      <c r="B19" s="48"/>
      <c r="C19" s="48"/>
      <c r="D19" s="48"/>
      <c r="E19" s="48"/>
      <c r="F19" s="48"/>
      <c r="G19" s="48"/>
      <c r="H19" s="49"/>
    </row>
    <row r="20" ht="15.75" customHeight="1"/>
    <row r="21" ht="15.75" customHeight="1">
      <c r="A21" s="41" t="s">
        <v>192</v>
      </c>
      <c r="G21" s="35" t="s">
        <v>146</v>
      </c>
      <c r="H21" s="42">
        <v>60.0</v>
      </c>
      <c r="I21" s="5"/>
    </row>
    <row r="22" ht="15.75" customHeight="1">
      <c r="G22" s="25" t="s">
        <v>193</v>
      </c>
    </row>
    <row r="23" ht="15.75" customHeight="1">
      <c r="A23" s="30" t="s">
        <v>194</v>
      </c>
      <c r="B23" s="31" t="s">
        <v>138</v>
      </c>
      <c r="C23" s="19"/>
      <c r="D23" s="19"/>
      <c r="E23" s="19"/>
      <c r="F23" s="19"/>
      <c r="G23" s="19"/>
      <c r="H23" s="20"/>
    </row>
    <row r="24" ht="15.75" customHeight="1">
      <c r="A24" s="30" t="s">
        <v>194</v>
      </c>
      <c r="B24" s="31" t="s">
        <v>37</v>
      </c>
      <c r="C24" s="19"/>
      <c r="D24" s="19"/>
      <c r="E24" s="19"/>
      <c r="F24" s="19"/>
      <c r="G24" s="19"/>
      <c r="H24" s="20"/>
    </row>
    <row r="25" ht="15.75" customHeight="1"/>
    <row r="26" ht="15.75" customHeight="1">
      <c r="A26" s="50" t="s">
        <v>195</v>
      </c>
      <c r="B26" s="5"/>
      <c r="C26" s="5"/>
      <c r="D26" s="5"/>
    </row>
    <row r="27" ht="15.75" customHeight="1">
      <c r="A27" s="51" t="s">
        <v>5</v>
      </c>
      <c r="B27" s="52" t="s">
        <v>196</v>
      </c>
      <c r="C27" s="20"/>
      <c r="D27" s="52" t="s">
        <v>197</v>
      </c>
      <c r="E27" s="20"/>
      <c r="F27" s="52" t="s">
        <v>198</v>
      </c>
      <c r="G27" s="19"/>
      <c r="H27" s="20"/>
    </row>
    <row r="28" ht="15.75" customHeight="1">
      <c r="A28" s="21">
        <v>1.0</v>
      </c>
      <c r="B28" s="18" t="str">
        <f>IFERROR(__xludf.DUMMYFUNCTION("FILTER('Diseño'!D:D,'Diseño'!H:H=$C$5)"),"Unidad 1: Arquitectura de redes. ")</f>
        <v>Unidad 1: Arquitectura de redes. </v>
      </c>
      <c r="C28" s="20"/>
      <c r="D28" s="18" t="str">
        <f>IFERROR(__xludf.DUMMYFUNCTION("FILTER('Diseño'!E:E,'Diseño'!H:H=$C$5)"),"Introducción a la arquitectura de redes y dispositivos principales")</f>
        <v>Introducción a la arquitectura de redes y dispositivos principales</v>
      </c>
      <c r="E28" s="20"/>
      <c r="F28" s="18" t="str">
        <f>IFERROR(__xludf.DUMMYFUNCTION("FILTER('Diseño'!F:F,'Diseño'!H:H=$C$5)"),"Conceptos de redes LAN")</f>
        <v>Conceptos de redes LAN</v>
      </c>
      <c r="G28" s="19"/>
      <c r="H28" s="20"/>
    </row>
    <row r="29" ht="15.75" customHeight="1">
      <c r="A29" s="21">
        <v>2.0</v>
      </c>
      <c r="B29" s="18" t="str">
        <f>IFERROR(__xludf.DUMMYFUNCTION("""COMPUTED_VALUE"""),"Unidad 1: Arquitectura de redes. ")</f>
        <v>Unidad 1: Arquitectura de redes. </v>
      </c>
      <c r="C29" s="20"/>
      <c r="D29" s="18" t="str">
        <f>IFERROR(__xludf.DUMMYFUNCTION("""COMPUTED_VALUE"""),"Introducción a la arquitectura de redes y dispositivos principales")</f>
        <v>Introducción a la arquitectura de redes y dispositivos principales</v>
      </c>
      <c r="E29" s="20"/>
      <c r="F29" s="18" t="str">
        <f>IFERROR(__xludf.DUMMYFUNCTION("""COMPUTED_VALUE"""),"Conceptos de redes MAN")</f>
        <v>Conceptos de redes MAN</v>
      </c>
      <c r="G29" s="19"/>
      <c r="H29" s="20"/>
    </row>
    <row r="30" ht="15.75" customHeight="1">
      <c r="A30" s="21">
        <v>3.0</v>
      </c>
      <c r="B30" s="18" t="str">
        <f>IFERROR(__xludf.DUMMYFUNCTION("""COMPUTED_VALUE"""),"Unidad 1: Arquitectura de redes. ")</f>
        <v>Unidad 1: Arquitectura de redes. </v>
      </c>
      <c r="C30" s="20"/>
      <c r="D30" s="18" t="str">
        <f>IFERROR(__xludf.DUMMYFUNCTION("""COMPUTED_VALUE"""),"Introducción a la arquitectura de redes y dispositivos principales")</f>
        <v>Introducción a la arquitectura de redes y dispositivos principales</v>
      </c>
      <c r="E30" s="20"/>
      <c r="F30" s="18" t="str">
        <f>IFERROR(__xludf.DUMMYFUNCTION("""COMPUTED_VALUE"""),"Conceptos de redes WAN")</f>
        <v>Conceptos de redes WAN</v>
      </c>
      <c r="G30" s="19"/>
      <c r="H30" s="20"/>
    </row>
    <row r="31" ht="15.75" customHeight="1">
      <c r="A31" s="21">
        <v>4.0</v>
      </c>
      <c r="B31" s="18" t="str">
        <f>IFERROR(__xludf.DUMMYFUNCTION("""COMPUTED_VALUE"""),"Unidad 2: Tráfico en capa 2.")</f>
        <v>Unidad 2: Tráfico en capa 2.</v>
      </c>
      <c r="C31" s="20"/>
      <c r="D31" s="18" t="str">
        <f>IFERROR(__xludf.DUMMYFUNCTION("""COMPUTED_VALUE"""),"VLANs y segmentación de redes")</f>
        <v>VLANs y segmentación de redes</v>
      </c>
      <c r="E31" s="20"/>
      <c r="F31" s="18" t="str">
        <f>IFERROR(__xludf.DUMMYFUNCTION("""COMPUTED_VALUE"""),"Concepto y definición de VLAN ")</f>
        <v>Concepto y definición de VLAN </v>
      </c>
      <c r="G31" s="19"/>
      <c r="H31" s="20"/>
    </row>
    <row r="32" ht="15.75" customHeight="1">
      <c r="A32" s="21">
        <v>5.0</v>
      </c>
      <c r="B32" s="18" t="str">
        <f>IFERROR(__xludf.DUMMYFUNCTION("""COMPUTED_VALUE"""),"Unidad 2: Tráfico en capa 2.")</f>
        <v>Unidad 2: Tráfico en capa 2.</v>
      </c>
      <c r="C32" s="20"/>
      <c r="D32" s="18" t="str">
        <f>IFERROR(__xludf.DUMMYFUNCTION("""COMPUTED_VALUE"""),"VLANs y segmentación de redes")</f>
        <v>VLANs y segmentación de redes</v>
      </c>
      <c r="E32" s="20"/>
      <c r="F32" s="18" t="str">
        <f>IFERROR(__xludf.DUMMYFUNCTION("""COMPUTED_VALUE"""),"Tipos de VLANs y clasificación")</f>
        <v>Tipos de VLANs y clasificación</v>
      </c>
      <c r="G32" s="19"/>
      <c r="H32" s="20"/>
    </row>
    <row r="33" ht="15.75" customHeight="1">
      <c r="A33" s="21">
        <v>6.0</v>
      </c>
      <c r="B33" s="18" t="str">
        <f>IFERROR(__xludf.DUMMYFUNCTION("""COMPUTED_VALUE"""),"Unidad 2: Tráfico en capa 2.")</f>
        <v>Unidad 2: Tráfico en capa 2.</v>
      </c>
      <c r="C33" s="20"/>
      <c r="D33" s="18" t="str">
        <f>IFERROR(__xludf.DUMMYFUNCTION("""COMPUTED_VALUE"""),"VLANs y segmentación de redes")</f>
        <v>VLANs y segmentación de redes</v>
      </c>
      <c r="E33" s="20"/>
      <c r="F33" s="18" t="str">
        <f>IFERROR(__xludf.DUMMYFUNCTION("""COMPUTED_VALUE"""),"Configuración básica de VLANs en switches")</f>
        <v>Configuración básica de VLANs en switches</v>
      </c>
      <c r="G33" s="19"/>
      <c r="H33" s="20"/>
    </row>
    <row r="34" ht="15.75" customHeight="1">
      <c r="A34" s="21">
        <v>7.0</v>
      </c>
      <c r="B34" s="18" t="str">
        <f>IFERROR(__xludf.DUMMYFUNCTION("""COMPUTED_VALUE"""),"Unidad 2: Tráfico en capa 2.")</f>
        <v>Unidad 2: Tráfico en capa 2.</v>
      </c>
      <c r="C34" s="20"/>
      <c r="D34" s="18" t="str">
        <f>IFERROR(__xludf.DUMMYFUNCTION("""COMPUTED_VALUE"""),"VLANs y segmentación de redes")</f>
        <v>VLANs y segmentación de redes</v>
      </c>
      <c r="E34" s="20"/>
      <c r="F34" s="18" t="str">
        <f>IFERROR(__xludf.DUMMYFUNCTION("""COMPUTED_VALUE"""),"VLAN Trunking Protocol")</f>
        <v>VLAN Trunking Protocol</v>
      </c>
      <c r="G34" s="19"/>
      <c r="H34" s="20"/>
    </row>
    <row r="35" ht="15.75" customHeight="1">
      <c r="A35" s="21">
        <v>8.0</v>
      </c>
      <c r="B35" s="53" t="str">
        <f>IFERROR(__xludf.DUMMYFUNCTION("""COMPUTED_VALUE"""),"Unidad 2: Tráfico en capa 2.")</f>
        <v>Unidad 2: Tráfico en capa 2.</v>
      </c>
      <c r="C35" s="53"/>
      <c r="D35" s="53" t="str">
        <f>IFERROR(__xludf.DUMMYFUNCTION("""COMPUTED_VALUE"""),"VLANs y segmentación de redes")</f>
        <v>VLANs y segmentación de redes</v>
      </c>
      <c r="E35" s="53"/>
      <c r="F35" s="54" t="str">
        <f>IFERROR(__xludf.DUMMYFUNCTION("""COMPUTED_VALUE"""),"PVID (Port VLAN ID) y asignación de puertos")</f>
        <v>PVID (Port VLAN ID) y asignación de puertos</v>
      </c>
      <c r="G35" s="19"/>
      <c r="H35" s="20"/>
    </row>
    <row r="36" ht="15.75" customHeight="1">
      <c r="A36" s="21">
        <v>9.0</v>
      </c>
      <c r="B36" s="53" t="str">
        <f>IFERROR(__xludf.DUMMYFUNCTION("""COMPUTED_VALUE"""),"Unidad 2: Tráfico en capa 2.")</f>
        <v>Unidad 2: Tráfico en capa 2.</v>
      </c>
      <c r="C36" s="53"/>
      <c r="D36" s="53" t="str">
        <f>IFERROR(__xludf.DUMMYFUNCTION("""COMPUTED_VALUE"""),"VLANs y segmentación de redes")</f>
        <v>VLANs y segmentación de redes</v>
      </c>
      <c r="E36" s="53"/>
      <c r="F36" s="54" t="str">
        <f>IFERROR(__xludf.DUMMYFUNCTION("""COMPUTED_VALUE"""),"VLANs dinámicas y administración centralizada")</f>
        <v>VLANs dinámicas y administración centralizada</v>
      </c>
      <c r="G36" s="19"/>
      <c r="H36" s="20"/>
    </row>
    <row r="37" ht="15.75" customHeight="1">
      <c r="A37" s="21">
        <v>10.0</v>
      </c>
      <c r="B37" s="53" t="str">
        <f>IFERROR(__xludf.DUMMYFUNCTION("""COMPUTED_VALUE"""),"Unidad 2: Tráfico en capa 2.")</f>
        <v>Unidad 2: Tráfico en capa 2.</v>
      </c>
      <c r="C37" s="53"/>
      <c r="D37" s="53" t="str">
        <f>IFERROR(__xludf.DUMMYFUNCTION("""COMPUTED_VALUE"""),"VLANs y segmentación de redes")</f>
        <v>VLANs y segmentación de redes</v>
      </c>
      <c r="E37" s="53"/>
      <c r="F37" s="54" t="str">
        <f>IFERROR(__xludf.DUMMYFUNCTION("""COMPUTED_VALUE"""),"Problemas comunes y mejores prácticas en la implementación de VLANs")</f>
        <v>Problemas comunes y mejores prácticas en la implementación de VLANs</v>
      </c>
      <c r="G37" s="19"/>
      <c r="H37" s="20"/>
    </row>
    <row r="38" ht="15.75" customHeight="1">
      <c r="A38" s="50"/>
    </row>
    <row r="39" ht="15.75" customHeight="1">
      <c r="A39" s="50" t="s">
        <v>199</v>
      </c>
    </row>
    <row r="40" ht="15.75" customHeight="1">
      <c r="A40" s="5"/>
      <c r="B40" s="5"/>
      <c r="C40" s="5"/>
      <c r="D40" s="5"/>
      <c r="E40" s="5"/>
      <c r="F40" s="5"/>
      <c r="G40" s="5"/>
      <c r="H40" s="5"/>
    </row>
    <row r="41" ht="15.75" customHeight="1">
      <c r="A41" s="51" t="s">
        <v>200</v>
      </c>
      <c r="B41" s="51" t="s">
        <v>201</v>
      </c>
      <c r="C41" s="55" t="s">
        <v>202</v>
      </c>
      <c r="D41" s="56" t="s">
        <v>146</v>
      </c>
      <c r="E41" s="19"/>
      <c r="F41" s="19"/>
      <c r="G41" s="19"/>
      <c r="H41" s="20"/>
    </row>
    <row r="42" ht="15.75" customHeight="1">
      <c r="A42" s="21" t="s">
        <v>203</v>
      </c>
      <c r="B42" s="21" t="s">
        <v>204</v>
      </c>
      <c r="C42" s="21"/>
      <c r="D42" s="31">
        <v>30.0</v>
      </c>
      <c r="E42" s="19"/>
      <c r="F42" s="19"/>
      <c r="G42" s="19"/>
      <c r="H42" s="20"/>
    </row>
    <row r="43" ht="15.75" customHeight="1">
      <c r="A43" s="21" t="s">
        <v>205</v>
      </c>
      <c r="B43" s="21" t="s">
        <v>204</v>
      </c>
      <c r="C43" s="21" t="s">
        <v>206</v>
      </c>
      <c r="D43" s="31">
        <v>5.0</v>
      </c>
      <c r="E43" s="19"/>
      <c r="F43" s="19"/>
      <c r="G43" s="19"/>
      <c r="H43" s="20"/>
    </row>
    <row r="44" ht="15.75" customHeight="1">
      <c r="A44" s="21" t="s">
        <v>207</v>
      </c>
      <c r="B44" s="21" t="s">
        <v>208</v>
      </c>
      <c r="C44" s="21"/>
      <c r="D44" s="18"/>
      <c r="E44" s="19"/>
      <c r="F44" s="19"/>
      <c r="G44" s="19"/>
      <c r="H44" s="20"/>
    </row>
    <row r="45" ht="15.75" customHeight="1">
      <c r="A45" s="21" t="s">
        <v>209</v>
      </c>
      <c r="B45" s="21" t="s">
        <v>204</v>
      </c>
      <c r="C45" s="21"/>
      <c r="D45" s="31">
        <v>25.0</v>
      </c>
      <c r="E45" s="19"/>
      <c r="F45" s="19"/>
      <c r="G45" s="19"/>
      <c r="H45" s="20"/>
    </row>
    <row r="46" ht="15.75" customHeight="1"/>
    <row r="47" ht="15.75" customHeight="1">
      <c r="A47" s="41" t="s">
        <v>210</v>
      </c>
      <c r="G47" s="35" t="s">
        <v>146</v>
      </c>
      <c r="H47" s="42">
        <v>25.0</v>
      </c>
    </row>
    <row r="48" ht="15.75" customHeight="1">
      <c r="G48" s="25" t="s">
        <v>211</v>
      </c>
    </row>
    <row r="49" ht="15.75" customHeight="1">
      <c r="A49" s="25" t="s">
        <v>212</v>
      </c>
    </row>
    <row r="50">
      <c r="A50" s="30" t="s">
        <v>213</v>
      </c>
      <c r="B50" s="31" t="s">
        <v>12</v>
      </c>
      <c r="C50" s="19"/>
      <c r="D50" s="19"/>
      <c r="E50" s="19"/>
      <c r="F50" s="19"/>
      <c r="G50" s="19"/>
      <c r="H50" s="20"/>
    </row>
    <row r="51" ht="15.75" customHeight="1">
      <c r="A51" s="30" t="s">
        <v>214</v>
      </c>
      <c r="B51" s="31" t="s">
        <v>215</v>
      </c>
      <c r="C51" s="19"/>
      <c r="D51" s="19"/>
      <c r="E51" s="19"/>
      <c r="F51" s="19"/>
      <c r="G51" s="19"/>
      <c r="H51" s="20"/>
    </row>
    <row r="52" ht="15.75" customHeight="1">
      <c r="A52" s="30" t="s">
        <v>182</v>
      </c>
      <c r="B52" s="57">
        <v>1.0</v>
      </c>
      <c r="C52" s="19"/>
      <c r="D52" s="19"/>
      <c r="E52" s="19"/>
      <c r="F52" s="19"/>
      <c r="G52" s="19"/>
      <c r="H52" s="20"/>
    </row>
    <row r="53" ht="15.75" customHeight="1">
      <c r="A53" s="30" t="s">
        <v>146</v>
      </c>
      <c r="B53" s="31">
        <v>15.0</v>
      </c>
      <c r="C53" s="19"/>
      <c r="D53" s="19"/>
      <c r="E53" s="19"/>
      <c r="F53" s="19"/>
      <c r="G53" s="19"/>
      <c r="H53" s="20"/>
    </row>
    <row r="54" ht="15.75" customHeight="1">
      <c r="A54" s="37" t="s">
        <v>216</v>
      </c>
      <c r="B54" s="5"/>
      <c r="C54" s="5"/>
      <c r="D54" s="5"/>
      <c r="E54" s="5"/>
      <c r="F54" s="5"/>
      <c r="G54" s="5"/>
      <c r="H54" s="5"/>
    </row>
    <row r="55" ht="15.75" customHeight="1">
      <c r="A55" s="43" t="s">
        <v>217</v>
      </c>
      <c r="B55" s="19"/>
      <c r="C55" s="19"/>
      <c r="D55" s="19"/>
      <c r="E55" s="19"/>
      <c r="F55" s="19"/>
      <c r="G55" s="19"/>
      <c r="H55" s="20"/>
    </row>
    <row r="56" ht="15.75" customHeight="1">
      <c r="A56" s="44" t="s">
        <v>218</v>
      </c>
      <c r="B56" s="45"/>
      <c r="C56" s="45"/>
      <c r="D56" s="45"/>
      <c r="E56" s="45"/>
      <c r="F56" s="45"/>
      <c r="G56" s="45"/>
      <c r="H56" s="46"/>
    </row>
    <row r="57" ht="15.75" customHeight="1">
      <c r="A57" s="58"/>
      <c r="H57" s="59"/>
    </row>
    <row r="58" ht="15.75" customHeight="1">
      <c r="A58" s="47"/>
      <c r="B58" s="48"/>
      <c r="C58" s="48"/>
      <c r="D58" s="48"/>
      <c r="E58" s="48"/>
      <c r="F58" s="48"/>
      <c r="G58" s="48"/>
      <c r="H58" s="49"/>
    </row>
    <row r="59" ht="15.75" customHeight="1"/>
    <row r="60" ht="15.75" customHeight="1">
      <c r="A60" s="25" t="s">
        <v>219</v>
      </c>
    </row>
    <row r="61">
      <c r="A61" s="30" t="s">
        <v>213</v>
      </c>
      <c r="B61" s="31" t="s">
        <v>12</v>
      </c>
      <c r="C61" s="19"/>
      <c r="D61" s="19"/>
      <c r="E61" s="19"/>
      <c r="F61" s="19"/>
      <c r="G61" s="19"/>
      <c r="H61" s="20"/>
    </row>
    <row r="62" ht="15.75" customHeight="1">
      <c r="A62" s="30" t="s">
        <v>214</v>
      </c>
      <c r="B62" s="31" t="s">
        <v>220</v>
      </c>
      <c r="C62" s="19"/>
      <c r="D62" s="19"/>
      <c r="E62" s="19"/>
      <c r="F62" s="19"/>
      <c r="G62" s="19"/>
      <c r="H62" s="20"/>
    </row>
    <row r="63" ht="15.75" customHeight="1">
      <c r="A63" s="30" t="s">
        <v>182</v>
      </c>
      <c r="B63" s="60"/>
      <c r="C63" s="19"/>
      <c r="D63" s="19"/>
      <c r="E63" s="19"/>
      <c r="F63" s="19"/>
      <c r="G63" s="19"/>
      <c r="H63" s="20"/>
    </row>
    <row r="64" ht="15.75" customHeight="1">
      <c r="A64" s="30" t="s">
        <v>146</v>
      </c>
      <c r="B64" s="57">
        <v>10.0</v>
      </c>
      <c r="C64" s="19"/>
      <c r="D64" s="19"/>
      <c r="E64" s="19"/>
      <c r="F64" s="19"/>
      <c r="G64" s="19"/>
      <c r="H64" s="20"/>
    </row>
    <row r="65" ht="15.75" customHeight="1">
      <c r="A65" s="61" t="s">
        <v>221</v>
      </c>
      <c r="B65" s="5"/>
      <c r="C65" s="5"/>
      <c r="D65" s="5"/>
      <c r="E65" s="5"/>
      <c r="F65" s="5"/>
      <c r="G65" s="5"/>
      <c r="H65" s="5"/>
    </row>
    <row r="66" ht="15.75" customHeight="1">
      <c r="A66" s="43" t="s">
        <v>217</v>
      </c>
      <c r="B66" s="19"/>
      <c r="C66" s="19"/>
      <c r="D66" s="19"/>
      <c r="E66" s="19"/>
      <c r="F66" s="19"/>
      <c r="G66" s="19"/>
      <c r="H66" s="20"/>
    </row>
    <row r="67" ht="15.75" customHeight="1">
      <c r="A67" s="44" t="s">
        <v>222</v>
      </c>
      <c r="B67" s="45"/>
      <c r="C67" s="45"/>
      <c r="D67" s="45"/>
      <c r="E67" s="45"/>
      <c r="F67" s="45"/>
      <c r="G67" s="45"/>
      <c r="H67" s="46"/>
    </row>
    <row r="68" ht="15.75" customHeight="1">
      <c r="A68" s="58"/>
      <c r="H68" s="59"/>
    </row>
    <row r="69" ht="15.75" customHeight="1">
      <c r="A69" s="47"/>
      <c r="B69" s="48"/>
      <c r="C69" s="48"/>
      <c r="D69" s="48"/>
      <c r="E69" s="48"/>
      <c r="F69" s="48"/>
      <c r="G69" s="48"/>
      <c r="H69" s="49"/>
    </row>
    <row r="70" ht="15.75" customHeight="1"/>
    <row r="71" ht="15.75" customHeight="1">
      <c r="A71" s="41" t="s">
        <v>223</v>
      </c>
      <c r="G71" s="35" t="s">
        <v>146</v>
      </c>
      <c r="H71" s="42">
        <v>10.0</v>
      </c>
    </row>
    <row r="72" ht="15.75" customHeight="1">
      <c r="G72" s="25" t="s">
        <v>224</v>
      </c>
    </row>
    <row r="73" ht="15.75" customHeight="1">
      <c r="A73" s="30" t="s">
        <v>146</v>
      </c>
      <c r="B73" s="57">
        <v>10.0</v>
      </c>
      <c r="C73" s="19"/>
      <c r="D73" s="19"/>
      <c r="E73" s="19"/>
      <c r="F73" s="19"/>
      <c r="G73" s="19"/>
      <c r="H73" s="20"/>
    </row>
    <row r="74" ht="15.75" customHeight="1">
      <c r="A74" s="56" t="s">
        <v>225</v>
      </c>
      <c r="B74" s="19"/>
      <c r="C74" s="19"/>
      <c r="D74" s="19"/>
      <c r="E74" s="19"/>
      <c r="F74" s="19"/>
      <c r="G74" s="19"/>
      <c r="H74" s="20"/>
    </row>
    <row r="75" ht="15.75" customHeight="1">
      <c r="A75" s="44" t="s">
        <v>226</v>
      </c>
      <c r="B75" s="45"/>
      <c r="C75" s="45"/>
      <c r="D75" s="45"/>
      <c r="E75" s="45"/>
      <c r="F75" s="45"/>
      <c r="G75" s="45"/>
      <c r="H75" s="46"/>
    </row>
    <row r="76" ht="15.75" customHeight="1">
      <c r="A76" s="47"/>
      <c r="B76" s="48"/>
      <c r="C76" s="48"/>
      <c r="D76" s="48"/>
      <c r="E76" s="48"/>
      <c r="F76" s="48"/>
      <c r="G76" s="48"/>
      <c r="H76" s="49"/>
    </row>
    <row r="77" ht="15.75" customHeight="1">
      <c r="A77" s="25" t="s">
        <v>227</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64">
    <mergeCell ref="D43:H43"/>
    <mergeCell ref="D44:H44"/>
    <mergeCell ref="D45:H45"/>
    <mergeCell ref="A47:F47"/>
    <mergeCell ref="B50:H50"/>
    <mergeCell ref="B51:H51"/>
    <mergeCell ref="B52:H52"/>
    <mergeCell ref="A66:H66"/>
    <mergeCell ref="A67:H69"/>
    <mergeCell ref="A71:F71"/>
    <mergeCell ref="B73:H73"/>
    <mergeCell ref="A74:H74"/>
    <mergeCell ref="A75:H76"/>
    <mergeCell ref="B53:H53"/>
    <mergeCell ref="A55:H55"/>
    <mergeCell ref="A56:H58"/>
    <mergeCell ref="B61:H61"/>
    <mergeCell ref="B62:H62"/>
    <mergeCell ref="B63:H63"/>
    <mergeCell ref="B64:H64"/>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F35:H35"/>
    <mergeCell ref="F36:H36"/>
    <mergeCell ref="F37:H37"/>
    <mergeCell ref="D41:H41"/>
    <mergeCell ref="D42:H42"/>
  </mergeCells>
  <dataValidations>
    <dataValidation type="list" allowBlank="1" showErrorMessage="1" sqref="B23:B24 B50 B61">
      <formula1>METADATA!$I$17:$I$40</formula1>
    </dataValidation>
    <dataValidation type="list" allowBlank="1" showErrorMessage="1" sqref="B51">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17.0"/>
    <col customWidth="1" min="8" max="8" width="35.25"/>
  </cols>
  <sheetData>
    <row r="1" ht="15.75" customHeight="1"/>
    <row r="2" ht="15.75" customHeight="1">
      <c r="B2" s="39" t="s">
        <v>181</v>
      </c>
    </row>
    <row r="3" ht="15.75" customHeight="1"/>
    <row r="4" ht="15.75" customHeight="1">
      <c r="B4" s="17" t="s">
        <v>1</v>
      </c>
      <c r="C4" s="18" t="str">
        <f>'Diseño'!C4</f>
        <v>975 - Redes de Computadoras 2</v>
      </c>
      <c r="D4" s="19"/>
      <c r="E4" s="19"/>
      <c r="F4" s="19"/>
      <c r="G4" s="20"/>
    </row>
    <row r="5" ht="15.75" customHeight="1">
      <c r="B5" s="21" t="s">
        <v>11</v>
      </c>
      <c r="C5" s="18">
        <v>3.0</v>
      </c>
      <c r="D5" s="19"/>
      <c r="E5" s="19"/>
      <c r="F5" s="19"/>
      <c r="G5" s="20"/>
    </row>
    <row r="6" ht="15.75" customHeight="1">
      <c r="B6" s="40" t="s">
        <v>144</v>
      </c>
      <c r="C6" s="18">
        <f>H10+H21+H55+H79</f>
        <v>100</v>
      </c>
      <c r="D6" s="19"/>
      <c r="E6" s="19"/>
      <c r="F6" s="19"/>
      <c r="G6" s="20"/>
      <c r="I6" s="5"/>
    </row>
    <row r="7" ht="15.75" customHeight="1">
      <c r="B7" s="40" t="s">
        <v>182</v>
      </c>
      <c r="C7" s="18">
        <f>B60+B71</f>
        <v>1</v>
      </c>
      <c r="D7" s="19"/>
      <c r="E7" s="19"/>
      <c r="F7" s="19"/>
      <c r="G7" s="20"/>
    </row>
    <row r="8" ht="15.75" customHeight="1">
      <c r="B8" s="40" t="s">
        <v>183</v>
      </c>
      <c r="C8" s="18" t="str">
        <f>IF(H55&lt;=0, "❌ ERROR: La Actividad 1 debe tener un tiempo mayor a 0.", IF(H21&gt;60, "❌ ERROR: El 'Área de Conocimiento' no puede exceder los 60 min.", IF((H10+H21+H55+H79)&lt;100, "❌ ERROR: El tiempo total debe ser de al menos 100 min.", "✅ VALIDACIÓN CORRECTA")))</f>
        <v>✅ VALIDACIÓN CORRECTA</v>
      </c>
      <c r="D8" s="19"/>
      <c r="E8" s="19"/>
      <c r="F8" s="19"/>
      <c r="G8" s="20"/>
      <c r="I8" s="5"/>
      <c r="J8" s="5"/>
      <c r="K8" s="5"/>
    </row>
    <row r="9" ht="15.75" customHeight="1"/>
    <row r="10" ht="15.75" customHeight="1">
      <c r="A10" s="41" t="s">
        <v>184</v>
      </c>
      <c r="G10" s="35" t="s">
        <v>146</v>
      </c>
      <c r="H10" s="42">
        <v>5.0</v>
      </c>
    </row>
    <row r="11" ht="15.75" customHeight="1">
      <c r="G11" s="25" t="s">
        <v>185</v>
      </c>
    </row>
    <row r="12" ht="15.75" customHeight="1">
      <c r="A12" s="30" t="s">
        <v>186</v>
      </c>
      <c r="B12" s="31" t="s">
        <v>228</v>
      </c>
      <c r="C12" s="19"/>
      <c r="D12" s="19"/>
      <c r="E12" s="19"/>
      <c r="F12" s="19"/>
      <c r="G12" s="19"/>
      <c r="H12" s="20"/>
    </row>
    <row r="13" ht="15.75" customHeight="1">
      <c r="A13" s="32" t="s">
        <v>146</v>
      </c>
      <c r="B13" s="18">
        <f>H10</f>
        <v>5</v>
      </c>
      <c r="C13" s="19"/>
      <c r="D13" s="19"/>
      <c r="E13" s="19"/>
      <c r="F13" s="19"/>
      <c r="G13" s="19"/>
      <c r="H13" s="20"/>
    </row>
    <row r="14" ht="15.75" customHeight="1">
      <c r="A14" s="43" t="s">
        <v>188</v>
      </c>
      <c r="B14" s="19"/>
      <c r="C14" s="19"/>
      <c r="D14" s="19"/>
      <c r="E14" s="19"/>
      <c r="F14" s="19"/>
      <c r="G14" s="19"/>
      <c r="H14" s="20"/>
    </row>
    <row r="15" ht="15.75" customHeight="1">
      <c r="A15" s="44" t="s">
        <v>229</v>
      </c>
      <c r="B15" s="45"/>
      <c r="C15" s="45"/>
      <c r="D15" s="45"/>
      <c r="E15" s="45"/>
      <c r="F15" s="45"/>
      <c r="G15" s="45"/>
      <c r="H15" s="46"/>
    </row>
    <row r="16" ht="15.75" customHeight="1">
      <c r="A16" s="47"/>
      <c r="B16" s="48"/>
      <c r="C16" s="48"/>
      <c r="D16" s="48"/>
      <c r="E16" s="48"/>
      <c r="F16" s="48"/>
      <c r="G16" s="48"/>
      <c r="H16" s="49"/>
    </row>
    <row r="17" ht="15.75" customHeight="1">
      <c r="A17" s="43" t="s">
        <v>190</v>
      </c>
      <c r="B17" s="19"/>
      <c r="C17" s="19"/>
      <c r="D17" s="19"/>
      <c r="E17" s="19"/>
      <c r="F17" s="19"/>
      <c r="G17" s="19"/>
      <c r="H17" s="20"/>
    </row>
    <row r="18" ht="15.75" customHeight="1">
      <c r="A18" s="44" t="s">
        <v>230</v>
      </c>
      <c r="B18" s="45"/>
      <c r="C18" s="45"/>
      <c r="D18" s="45"/>
      <c r="E18" s="45"/>
      <c r="F18" s="45"/>
      <c r="G18" s="45"/>
      <c r="H18" s="46"/>
    </row>
    <row r="19" ht="15.75" customHeight="1">
      <c r="A19" s="47"/>
      <c r="B19" s="48"/>
      <c r="C19" s="48"/>
      <c r="D19" s="48"/>
      <c r="E19" s="48"/>
      <c r="F19" s="48"/>
      <c r="G19" s="48"/>
      <c r="H19" s="49"/>
    </row>
    <row r="20" ht="15.75" customHeight="1"/>
    <row r="21" ht="15.75" customHeight="1">
      <c r="A21" s="41" t="s">
        <v>192</v>
      </c>
      <c r="G21" s="35" t="s">
        <v>146</v>
      </c>
      <c r="H21" s="62">
        <f>D50+D51+D52+D53</f>
        <v>60</v>
      </c>
      <c r="I21" s="5"/>
    </row>
    <row r="22" ht="15.75" customHeight="1">
      <c r="G22" s="25" t="s">
        <v>193</v>
      </c>
    </row>
    <row r="23" ht="15.75" customHeight="1">
      <c r="A23" s="30" t="s">
        <v>194</v>
      </c>
      <c r="B23" s="31" t="s">
        <v>37</v>
      </c>
      <c r="C23" s="19"/>
      <c r="D23" s="19"/>
      <c r="E23" s="19"/>
      <c r="F23" s="19"/>
      <c r="G23" s="19"/>
      <c r="H23" s="20"/>
    </row>
    <row r="24" ht="15.75" customHeight="1">
      <c r="A24" s="30" t="s">
        <v>194</v>
      </c>
      <c r="B24" s="31" t="s">
        <v>49</v>
      </c>
      <c r="C24" s="19"/>
      <c r="D24" s="19"/>
      <c r="E24" s="19"/>
      <c r="F24" s="19"/>
      <c r="G24" s="19"/>
      <c r="H24" s="20"/>
    </row>
    <row r="25" ht="15.75" customHeight="1"/>
    <row r="26" ht="15.75" customHeight="1">
      <c r="A26" s="50" t="s">
        <v>195</v>
      </c>
      <c r="B26" s="5"/>
      <c r="C26" s="5"/>
      <c r="D26" s="5"/>
    </row>
    <row r="27" ht="15.75" customHeight="1">
      <c r="A27" s="51" t="s">
        <v>5</v>
      </c>
      <c r="B27" s="52" t="s">
        <v>196</v>
      </c>
      <c r="C27" s="20"/>
      <c r="D27" s="52" t="s">
        <v>197</v>
      </c>
      <c r="E27" s="20"/>
      <c r="F27" s="52" t="s">
        <v>198</v>
      </c>
      <c r="G27" s="19"/>
      <c r="H27" s="20"/>
    </row>
    <row r="28" ht="15.75" customHeight="1">
      <c r="A28" s="21">
        <v>1.0</v>
      </c>
      <c r="B28" s="18" t="str">
        <f>IFERROR(__xludf.DUMMYFUNCTION("FILTER('Diseño'!D:D,'Diseño'!H:H=$C$5)"),"Unidad 2: Tráfico en capa 2.")</f>
        <v>Unidad 2: Tráfico en capa 2.</v>
      </c>
      <c r="C28" s="20"/>
      <c r="D28" s="18" t="str">
        <f>IFERROR(__xludf.DUMMYFUNCTION("FILTER('Diseño'!E:E,'Diseño'!H:H=$C$5)"),"Protocolos de puertos y conectividad")</f>
        <v>Protocolos de puertos y conectividad</v>
      </c>
      <c r="E28" s="20"/>
      <c r="F28" s="18" t="str">
        <f>IFERROR(__xludf.DUMMYFUNCTION("FILTER('Diseño'!F:F,'Diseño'!H:H=$C$5)"),"Función de puertos de acceso en redes locales.")</f>
        <v>Función de puertos de acceso en redes locales.</v>
      </c>
      <c r="G28" s="19"/>
      <c r="H28" s="20"/>
    </row>
    <row r="29" ht="15.75" customHeight="1">
      <c r="A29" s="21">
        <v>2.0</v>
      </c>
      <c r="B29" s="18" t="str">
        <f>IFERROR(__xludf.DUMMYFUNCTION("""COMPUTED_VALUE"""),"Unidad 2: Tráfico en capa 2.")</f>
        <v>Unidad 2: Tráfico en capa 2.</v>
      </c>
      <c r="C29" s="20"/>
      <c r="D29" s="18" t="str">
        <f>IFERROR(__xludf.DUMMYFUNCTION("""COMPUTED_VALUE"""),"Protocolos de puertos y conectividad")</f>
        <v>Protocolos de puertos y conectividad</v>
      </c>
      <c r="E29" s="20"/>
      <c r="F29" s="18" t="str">
        <f>IFERROR(__xludf.DUMMYFUNCTION("""COMPUTED_VALUE"""),"Función de puertos troncales en redes inter-VLAN.")</f>
        <v>Función de puertos troncales en redes inter-VLAN.</v>
      </c>
      <c r="G29" s="19"/>
      <c r="H29" s="20"/>
    </row>
    <row r="30" ht="15.75" customHeight="1">
      <c r="A30" s="21">
        <v>3.0</v>
      </c>
      <c r="B30" s="18" t="str">
        <f>IFERROR(__xludf.DUMMYFUNCTION("""COMPUTED_VALUE"""),"Unidad 2: Tráfico en capa 2.")</f>
        <v>Unidad 2: Tráfico en capa 2.</v>
      </c>
      <c r="C30" s="20"/>
      <c r="D30" s="18" t="str">
        <f>IFERROR(__xludf.DUMMYFUNCTION("""COMPUTED_VALUE"""),"Protocolos de puertos y conectividad")</f>
        <v>Protocolos de puertos y conectividad</v>
      </c>
      <c r="E30" s="20"/>
      <c r="F30" s="18" t="str">
        <f>IFERROR(__xludf.DUMMYFUNCTION("""COMPUTED_VALUE"""),"Etiquetado de tráfico VLAN en puertos troncales (IEEE 802.1Q).")</f>
        <v>Etiquetado de tráfico VLAN en puertos troncales (IEEE 802.1Q).</v>
      </c>
      <c r="G30" s="19"/>
      <c r="H30" s="20"/>
    </row>
    <row r="31" ht="15.75" customHeight="1">
      <c r="A31" s="21">
        <v>4.0</v>
      </c>
      <c r="B31" s="18" t="str">
        <f>IFERROR(__xludf.DUMMYFUNCTION("""COMPUTED_VALUE"""),"Unidad 2: Tráfico en capa 2.")</f>
        <v>Unidad 2: Tráfico en capa 2.</v>
      </c>
      <c r="C31" s="20"/>
      <c r="D31" s="18" t="str">
        <f>IFERROR(__xludf.DUMMYFUNCTION("""COMPUTED_VALUE"""),"Protocolos de puertos y conectividad")</f>
        <v>Protocolos de puertos y conectividad</v>
      </c>
      <c r="E31" s="20"/>
      <c r="F31" s="18" t="str">
        <f>IFERROR(__xludf.DUMMYFUNCTION("""COMPUTED_VALUE"""),"Configuración de puertos de acceso en switches.")</f>
        <v>Configuración de puertos de acceso en switches.</v>
      </c>
      <c r="G31" s="19"/>
      <c r="H31" s="20"/>
    </row>
    <row r="32" ht="15.75" customHeight="1">
      <c r="A32" s="21">
        <v>5.0</v>
      </c>
      <c r="B32" s="18" t="str">
        <f>IFERROR(__xludf.DUMMYFUNCTION("""COMPUTED_VALUE"""),"Unidad 2: Tráfico en capa 2.")</f>
        <v>Unidad 2: Tráfico en capa 2.</v>
      </c>
      <c r="C32" s="20"/>
      <c r="D32" s="18" t="str">
        <f>IFERROR(__xludf.DUMMYFUNCTION("""COMPUTED_VALUE"""),"Protocolos de puertos y conectividad")</f>
        <v>Protocolos de puertos y conectividad</v>
      </c>
      <c r="E32" s="20"/>
      <c r="F32" s="18" t="str">
        <f>IFERROR(__xludf.DUMMYFUNCTION("""COMPUTED_VALUE"""),"Configuración de puertos de truncales en switches.")</f>
        <v>Configuración de puertos de truncales en switches.</v>
      </c>
      <c r="G32" s="19"/>
      <c r="H32" s="20"/>
    </row>
    <row r="33" ht="15.75" customHeight="1">
      <c r="A33" s="21">
        <v>6.0</v>
      </c>
      <c r="B33" s="18" t="str">
        <f>IFERROR(__xludf.DUMMYFUNCTION("""COMPUTED_VALUE"""),"Unidad 2: Tráfico en capa 2.")</f>
        <v>Unidad 2: Tráfico en capa 2.</v>
      </c>
      <c r="C33" s="20"/>
      <c r="D33" s="18" t="str">
        <f>IFERROR(__xludf.DUMMYFUNCTION("""COMPUTED_VALUE"""),"Protocolos de puertos y conectividad")</f>
        <v>Protocolos de puertos y conectividad</v>
      </c>
      <c r="E33" s="20"/>
      <c r="F33" s="18" t="str">
        <f>IFERROR(__xludf.DUMMYFUNCTION("""COMPUTED_VALUE"""),"Protocolo de Negociación de Trunking (DTP) y su funcionamiento.")</f>
        <v>Protocolo de Negociación de Trunking (DTP) y su funcionamiento.</v>
      </c>
      <c r="G33" s="19"/>
      <c r="H33" s="20"/>
    </row>
    <row r="34" ht="15.75" customHeight="1">
      <c r="A34" s="21">
        <v>7.0</v>
      </c>
      <c r="B34" s="18" t="str">
        <f>IFERROR(__xludf.DUMMYFUNCTION("""COMPUTED_VALUE"""),"Unidad 2: Tráfico en capa 2.")</f>
        <v>Unidad 2: Tráfico en capa 2.</v>
      </c>
      <c r="C34" s="20"/>
      <c r="D34" s="18" t="str">
        <f>IFERROR(__xludf.DUMMYFUNCTION("""COMPUTED_VALUE"""),"Protocolos de puertos y conectividad")</f>
        <v>Protocolos de puertos y conectividad</v>
      </c>
      <c r="E34" s="20"/>
      <c r="F34" s="18" t="str">
        <f>IFERROR(__xludf.DUMMYFUNCTION("""COMPUTED_VALUE"""),"Casos de uso avanzados de trunking en redes corporativas.")</f>
        <v>Casos de uso avanzados de trunking en redes corporativas.</v>
      </c>
      <c r="G34" s="19"/>
      <c r="H34" s="20"/>
    </row>
    <row r="35" ht="15.75" customHeight="1">
      <c r="A35" s="21">
        <v>8.0</v>
      </c>
      <c r="B35" s="53" t="str">
        <f>IFERROR(__xludf.DUMMYFUNCTION("""COMPUTED_VALUE"""),"Unidad 2: Tráfico en capa 2.")</f>
        <v>Unidad 2: Tráfico en capa 2.</v>
      </c>
      <c r="C35" s="53"/>
      <c r="D35" s="53" t="str">
        <f>IFERROR(__xludf.DUMMYFUNCTION("""COMPUTED_VALUE"""),"Seguridad en capa 2")</f>
        <v>Seguridad en capa 2</v>
      </c>
      <c r="E35" s="53"/>
      <c r="F35" s="54" t="str">
        <f>IFERROR(__xludf.DUMMYFUNCTION("""COMPUTED_VALUE"""),"Definición y Funcionamiento de protocolo Port-Security")</f>
        <v>Definición y Funcionamiento de protocolo Port-Security</v>
      </c>
      <c r="G35" s="19"/>
      <c r="H35" s="20"/>
    </row>
    <row r="36" ht="15.75" customHeight="1">
      <c r="A36" s="21">
        <v>9.0</v>
      </c>
      <c r="B36" s="53" t="str">
        <f>IFERROR(__xludf.DUMMYFUNCTION("""COMPUTED_VALUE"""),"Unidad 2: Tráfico en capa 2.")</f>
        <v>Unidad 2: Tráfico en capa 2.</v>
      </c>
      <c r="C36" s="53"/>
      <c r="D36" s="53" t="str">
        <f>IFERROR(__xludf.DUMMYFUNCTION("""COMPUTED_VALUE"""),"Seguridad en capa 2")</f>
        <v>Seguridad en capa 2</v>
      </c>
      <c r="E36" s="53"/>
      <c r="F36" s="53" t="str">
        <f>IFERROR(__xludf.DUMMYFUNCTION("""COMPUTED_VALUE"""),"Modos de violación en Port-Security")</f>
        <v>Modos de violación en Port-Security</v>
      </c>
      <c r="G36" s="53"/>
      <c r="H36" s="53"/>
    </row>
    <row r="37" ht="15.75" customHeight="1">
      <c r="A37" s="21">
        <v>10.0</v>
      </c>
      <c r="B37" s="53" t="str">
        <f>IFERROR(__xludf.DUMMYFUNCTION("""COMPUTED_VALUE"""),"Unidad 2: Tráfico en capa 2.")</f>
        <v>Unidad 2: Tráfico en capa 2.</v>
      </c>
      <c r="C37" s="53"/>
      <c r="D37" s="53" t="str">
        <f>IFERROR(__xludf.DUMMYFUNCTION("""COMPUTED_VALUE"""),"Seguridad en capa 2")</f>
        <v>Seguridad en capa 2</v>
      </c>
      <c r="E37" s="53"/>
      <c r="F37" s="53" t="str">
        <f>IFERROR(__xludf.DUMMYFUNCTION("""COMPUTED_VALUE"""),"Configuración de Port-Security en redes locales")</f>
        <v>Configuración de Port-Security en redes locales</v>
      </c>
      <c r="G37" s="53"/>
      <c r="H37" s="53"/>
    </row>
    <row r="38" ht="15.75" customHeight="1">
      <c r="A38" s="21">
        <v>11.0</v>
      </c>
      <c r="B38" s="53" t="str">
        <f>IFERROR(__xludf.DUMMYFUNCTION("""COMPUTED_VALUE"""),"Unidad 2: Tráfico en capa 2.")</f>
        <v>Unidad 2: Tráfico en capa 2.</v>
      </c>
      <c r="C38" s="53"/>
      <c r="D38" s="53" t="str">
        <f>IFERROR(__xludf.DUMMYFUNCTION("""COMPUTED_VALUE"""),"Protocolos de capa 2")</f>
        <v>Protocolos de capa 2</v>
      </c>
      <c r="E38" s="53"/>
      <c r="F38" s="54" t="str">
        <f>IFERROR(__xludf.DUMMYFUNCTION("""COMPUTED_VALUE"""),"Funcionamiento del Spanning Tree Protocol (STP).")</f>
        <v>Funcionamiento del Spanning Tree Protocol (STP).</v>
      </c>
      <c r="G38" s="19"/>
      <c r="H38" s="20"/>
    </row>
    <row r="39" ht="15.75" customHeight="1">
      <c r="A39" s="21">
        <v>12.0</v>
      </c>
      <c r="B39" s="53" t="str">
        <f>IFERROR(__xludf.DUMMYFUNCTION("""COMPUTED_VALUE"""),"Unidad 2: Tráfico en capa 2.")</f>
        <v>Unidad 2: Tráfico en capa 2.</v>
      </c>
      <c r="C39" s="53"/>
      <c r="D39" s="53" t="str">
        <f>IFERROR(__xludf.DUMMYFUNCTION("""COMPUTED_VALUE"""),"Protocolos de capa 2")</f>
        <v>Protocolos de capa 2</v>
      </c>
      <c r="E39" s="53"/>
      <c r="F39" s="53" t="str">
        <f>IFERROR(__xludf.DUMMYFUNCTION("""COMPUTED_VALUE"""),"Prevención de bucles de red con STP.")</f>
        <v>Prevención de bucles de red con STP.</v>
      </c>
      <c r="G39" s="53"/>
      <c r="H39" s="53"/>
    </row>
    <row r="40" ht="15.75" customHeight="1">
      <c r="A40" s="21">
        <v>13.0</v>
      </c>
      <c r="B40" s="53" t="str">
        <f>IFERROR(__xludf.DUMMYFUNCTION("""COMPUTED_VALUE"""),"Unidad 2: Tráfico en capa 2.")</f>
        <v>Unidad 2: Tráfico en capa 2.</v>
      </c>
      <c r="C40" s="53"/>
      <c r="D40" s="53" t="str">
        <f>IFERROR(__xludf.DUMMYFUNCTION("""COMPUTED_VALUE"""),"Protocolos de capa 2")</f>
        <v>Protocolos de capa 2</v>
      </c>
      <c r="E40" s="53"/>
      <c r="F40" s="54" t="str">
        <f>IFERROR(__xludf.DUMMYFUNCTION("""COMPUTED_VALUE"""),"Ventajas y mejoras de Rapid Spanning Tree Protocol (RSTP).")</f>
        <v>Ventajas y mejoras de Rapid Spanning Tree Protocol (RSTP).</v>
      </c>
      <c r="G40" s="19"/>
      <c r="H40" s="20"/>
    </row>
    <row r="41" ht="15.75" customHeight="1">
      <c r="A41" s="21">
        <v>14.0</v>
      </c>
      <c r="B41" s="53" t="str">
        <f>IFERROR(__xludf.DUMMYFUNCTION("""COMPUTED_VALUE"""),"Unidad 2: Tráfico en capa 2.")</f>
        <v>Unidad 2: Tráfico en capa 2.</v>
      </c>
      <c r="C41" s="53"/>
      <c r="D41" s="53" t="str">
        <f>IFERROR(__xludf.DUMMYFUNCTION("""COMPUTED_VALUE"""),"Protocolos de capa 2")</f>
        <v>Protocolos de capa 2</v>
      </c>
      <c r="E41" s="53"/>
      <c r="F41" s="53" t="str">
        <f>IFERROR(__xludf.DUMMYFUNCTION("""COMPUTED_VALUE"""),"Configuración básica de RSTP en switches.")</f>
        <v>Configuración básica de RSTP en switches.</v>
      </c>
      <c r="G41" s="53"/>
      <c r="H41" s="53"/>
    </row>
    <row r="42" ht="15.75" customHeight="1">
      <c r="A42" s="21">
        <v>15.0</v>
      </c>
      <c r="B42" s="53" t="str">
        <f>IFERROR(__xludf.DUMMYFUNCTION("""COMPUTED_VALUE"""),"Unidad 2: Tráfico en capa 2.")</f>
        <v>Unidad 2: Tráfico en capa 2.</v>
      </c>
      <c r="C42" s="53"/>
      <c r="D42" s="53" t="str">
        <f>IFERROR(__xludf.DUMMYFUNCTION("""COMPUTED_VALUE"""),"Protocolos de capa 2")</f>
        <v>Protocolos de capa 2</v>
      </c>
      <c r="E42" s="53"/>
      <c r="F42" s="54" t="str">
        <f>IFERROR(__xludf.DUMMYFUNCTION("""COMPUTED_VALUE"""),"Escalabilidad y uso de Multiple Spanning Tree Protocol (MSTP).")</f>
        <v>Escalabilidad y uso de Multiple Spanning Tree Protocol (MSTP).</v>
      </c>
      <c r="G42" s="19"/>
      <c r="H42" s="20"/>
    </row>
    <row r="43" ht="15.75" customHeight="1">
      <c r="A43" s="21">
        <v>16.0</v>
      </c>
      <c r="B43" s="53" t="str">
        <f>IFERROR(__xludf.DUMMYFUNCTION("""COMPUTED_VALUE"""),"Unidad 2: Tráfico en capa 2.")</f>
        <v>Unidad 2: Tráfico en capa 2.</v>
      </c>
      <c r="C43" s="53"/>
      <c r="D43" s="53" t="str">
        <f>IFERROR(__xludf.DUMMYFUNCTION("""COMPUTED_VALUE"""),"Protocolos de capa 2")</f>
        <v>Protocolos de capa 2</v>
      </c>
      <c r="E43" s="53"/>
      <c r="F43" s="54" t="str">
        <f>IFERROR(__xludf.DUMMYFUNCTION("""COMPUTED_VALUE"""),"Implementación de STP/RSTP/MSTP en laboratorios con Cisco Packet Tracer.")</f>
        <v>Implementación de STP/RSTP/MSTP en laboratorios con Cisco Packet Tracer.</v>
      </c>
      <c r="G43" s="19"/>
      <c r="H43" s="20"/>
    </row>
    <row r="44" ht="15.75" customHeight="1">
      <c r="A44" s="21">
        <v>17.0</v>
      </c>
      <c r="B44" s="53" t="str">
        <f>IFERROR(__xludf.DUMMYFUNCTION("""COMPUTED_VALUE"""),"Unidad 3: Tráfico en capa 3.")</f>
        <v>Unidad 3: Tráfico en capa 3.</v>
      </c>
      <c r="C44" s="53"/>
      <c r="D44" s="53" t="str">
        <f>IFERROR(__xludf.DUMMYFUNCTION("""COMPUTED_VALUE"""),"Protocolos de enrutamiento dinámico")</f>
        <v>Protocolos de enrutamiento dinámico</v>
      </c>
      <c r="E44" s="53"/>
      <c r="F44" s="53" t="str">
        <f>IFERROR(__xludf.DUMMYFUNCTION("""COMPUTED_VALUE"""),"Introducción a OSPF y su funcionamiento.")</f>
        <v>Introducción a OSPF y su funcionamiento.</v>
      </c>
      <c r="G44" s="53"/>
      <c r="H44" s="53"/>
    </row>
    <row r="45" ht="15.75" customHeight="1">
      <c r="A45" s="21">
        <v>18.0</v>
      </c>
      <c r="B45" s="53" t="str">
        <f>IFERROR(__xludf.DUMMYFUNCTION("""COMPUTED_VALUE"""),"Unidad 3: Tráfico en capa 3.")</f>
        <v>Unidad 3: Tráfico en capa 3.</v>
      </c>
      <c r="C45" s="53"/>
      <c r="D45" s="53" t="str">
        <f>IFERROR(__xludf.DUMMYFUNCTION("""COMPUTED_VALUE"""),"Protocolos de enrutamiento dinámico")</f>
        <v>Protocolos de enrutamiento dinámico</v>
      </c>
      <c r="E45" s="53"/>
      <c r="F45" s="54" t="str">
        <f>IFERROR(__xludf.DUMMYFUNCTION("""COMPUTED_VALUE"""),"Concepto de áreas en OSPF y su estructura jerárquica.")</f>
        <v>Concepto de áreas en OSPF y su estructura jerárquica.</v>
      </c>
      <c r="G45" s="19"/>
      <c r="H45" s="20"/>
    </row>
    <row r="46" ht="15.75" customHeight="1">
      <c r="A46" s="50"/>
    </row>
    <row r="47" ht="15.75" customHeight="1">
      <c r="A47" s="50" t="s">
        <v>199</v>
      </c>
    </row>
    <row r="48" ht="15.75" customHeight="1">
      <c r="A48" s="5"/>
      <c r="B48" s="5"/>
      <c r="C48" s="5"/>
      <c r="D48" s="5"/>
      <c r="E48" s="5"/>
      <c r="F48" s="5"/>
      <c r="G48" s="5"/>
      <c r="H48" s="5"/>
    </row>
    <row r="49" ht="15.75" customHeight="1">
      <c r="A49" s="51" t="s">
        <v>200</v>
      </c>
      <c r="B49" s="51" t="s">
        <v>201</v>
      </c>
      <c r="C49" s="55" t="s">
        <v>202</v>
      </c>
      <c r="D49" s="56" t="s">
        <v>146</v>
      </c>
      <c r="E49" s="19"/>
      <c r="F49" s="19"/>
      <c r="G49" s="19"/>
      <c r="H49" s="20"/>
    </row>
    <row r="50" ht="15.75" customHeight="1">
      <c r="A50" s="21" t="s">
        <v>203</v>
      </c>
      <c r="B50" s="21" t="s">
        <v>204</v>
      </c>
      <c r="C50" s="21"/>
      <c r="D50" s="31">
        <v>30.0</v>
      </c>
      <c r="E50" s="19"/>
      <c r="F50" s="19"/>
      <c r="G50" s="19"/>
      <c r="H50" s="20"/>
    </row>
    <row r="51" ht="15.75" customHeight="1">
      <c r="A51" s="21" t="s">
        <v>205</v>
      </c>
      <c r="B51" s="21" t="s">
        <v>204</v>
      </c>
      <c r="C51" s="21" t="s">
        <v>206</v>
      </c>
      <c r="D51" s="31">
        <v>5.0</v>
      </c>
      <c r="E51" s="19"/>
      <c r="F51" s="19"/>
      <c r="G51" s="19"/>
      <c r="H51" s="20"/>
    </row>
    <row r="52" ht="15.75" customHeight="1">
      <c r="A52" s="21" t="s">
        <v>207</v>
      </c>
      <c r="B52" s="21" t="s">
        <v>208</v>
      </c>
      <c r="C52" s="21"/>
      <c r="D52" s="18"/>
      <c r="E52" s="19"/>
      <c r="F52" s="19"/>
      <c r="G52" s="19"/>
      <c r="H52" s="20"/>
    </row>
    <row r="53" ht="15.75" customHeight="1">
      <c r="A53" s="21" t="s">
        <v>209</v>
      </c>
      <c r="B53" s="21" t="s">
        <v>204</v>
      </c>
      <c r="C53" s="21"/>
      <c r="D53" s="31">
        <v>25.0</v>
      </c>
      <c r="E53" s="19"/>
      <c r="F53" s="19"/>
      <c r="G53" s="19"/>
      <c r="H53" s="20"/>
    </row>
    <row r="54" ht="15.75" customHeight="1"/>
    <row r="55" ht="15.75" customHeight="1">
      <c r="A55" s="41" t="s">
        <v>210</v>
      </c>
      <c r="G55" s="35" t="s">
        <v>146</v>
      </c>
      <c r="H55" s="42">
        <v>25.0</v>
      </c>
    </row>
    <row r="56" ht="15.75" customHeight="1">
      <c r="G56" s="25" t="s">
        <v>211</v>
      </c>
    </row>
    <row r="57" ht="15.75" customHeight="1">
      <c r="A57" s="25" t="s">
        <v>212</v>
      </c>
    </row>
    <row r="58" ht="33.75" customHeight="1">
      <c r="A58" s="30" t="s">
        <v>213</v>
      </c>
      <c r="B58" s="31" t="s">
        <v>12</v>
      </c>
      <c r="C58" s="19"/>
      <c r="D58" s="19"/>
      <c r="E58" s="19"/>
      <c r="F58" s="19"/>
      <c r="G58" s="19"/>
      <c r="H58" s="20"/>
    </row>
    <row r="59" ht="15.75" customHeight="1">
      <c r="A59" s="30" t="s">
        <v>214</v>
      </c>
      <c r="B59" s="31" t="s">
        <v>215</v>
      </c>
      <c r="C59" s="19"/>
      <c r="D59" s="19"/>
      <c r="E59" s="19"/>
      <c r="F59" s="19"/>
      <c r="G59" s="19"/>
      <c r="H59" s="20"/>
    </row>
    <row r="60" ht="15.75" customHeight="1">
      <c r="A60" s="30" t="s">
        <v>182</v>
      </c>
      <c r="B60" s="63">
        <v>1.0</v>
      </c>
      <c r="C60" s="19"/>
      <c r="D60" s="19"/>
      <c r="E60" s="19"/>
      <c r="F60" s="19"/>
      <c r="G60" s="19"/>
      <c r="H60" s="20"/>
    </row>
    <row r="61" ht="15.75" customHeight="1">
      <c r="A61" s="30" t="s">
        <v>146</v>
      </c>
      <c r="B61" s="63">
        <v>15.0</v>
      </c>
      <c r="C61" s="19"/>
      <c r="D61" s="19"/>
      <c r="E61" s="19"/>
      <c r="F61" s="19"/>
      <c r="G61" s="19"/>
      <c r="H61" s="20"/>
    </row>
    <row r="62" ht="15.75" customHeight="1">
      <c r="A62" s="37" t="s">
        <v>216</v>
      </c>
      <c r="B62" s="5"/>
      <c r="C62" s="5"/>
      <c r="D62" s="5"/>
      <c r="E62" s="5"/>
      <c r="F62" s="5"/>
      <c r="G62" s="5"/>
      <c r="H62" s="5"/>
    </row>
    <row r="63" ht="15.75" customHeight="1">
      <c r="A63" s="43" t="s">
        <v>217</v>
      </c>
      <c r="B63" s="19"/>
      <c r="C63" s="19"/>
      <c r="D63" s="19"/>
      <c r="E63" s="19"/>
      <c r="F63" s="19"/>
      <c r="G63" s="19"/>
      <c r="H63" s="20"/>
    </row>
    <row r="64" ht="15.75" customHeight="1">
      <c r="A64" s="64" t="s">
        <v>218</v>
      </c>
      <c r="B64" s="45"/>
      <c r="C64" s="45"/>
      <c r="D64" s="45"/>
      <c r="E64" s="45"/>
      <c r="F64" s="45"/>
      <c r="G64" s="45"/>
      <c r="H64" s="46"/>
    </row>
    <row r="65" ht="15.75" customHeight="1">
      <c r="A65" s="58"/>
      <c r="H65" s="59"/>
    </row>
    <row r="66" ht="15.75" customHeight="1">
      <c r="A66" s="47"/>
      <c r="B66" s="48"/>
      <c r="C66" s="48"/>
      <c r="D66" s="48"/>
      <c r="E66" s="48"/>
      <c r="F66" s="48"/>
      <c r="G66" s="48"/>
      <c r="H66" s="49"/>
    </row>
    <row r="67" ht="15.75" customHeight="1"/>
    <row r="68" ht="15.75" customHeight="1">
      <c r="A68" s="25" t="s">
        <v>219</v>
      </c>
    </row>
    <row r="69">
      <c r="A69" s="30" t="s">
        <v>213</v>
      </c>
      <c r="B69" s="31" t="s">
        <v>12</v>
      </c>
      <c r="C69" s="19"/>
      <c r="D69" s="19"/>
      <c r="E69" s="19"/>
      <c r="F69" s="19"/>
      <c r="G69" s="19"/>
      <c r="H69" s="20"/>
    </row>
    <row r="70" ht="15.75" customHeight="1">
      <c r="A70" s="30" t="s">
        <v>214</v>
      </c>
      <c r="B70" s="31" t="s">
        <v>220</v>
      </c>
      <c r="C70" s="19"/>
      <c r="D70" s="19"/>
      <c r="E70" s="19"/>
      <c r="F70" s="19"/>
      <c r="G70" s="19"/>
      <c r="H70" s="20"/>
    </row>
    <row r="71" ht="15.75" customHeight="1">
      <c r="A71" s="30" t="s">
        <v>182</v>
      </c>
      <c r="B71" s="60"/>
      <c r="C71" s="19"/>
      <c r="D71" s="19"/>
      <c r="E71" s="19"/>
      <c r="F71" s="19"/>
      <c r="G71" s="19"/>
      <c r="H71" s="20"/>
    </row>
    <row r="72" ht="15.75" customHeight="1">
      <c r="A72" s="30" t="s">
        <v>146</v>
      </c>
      <c r="B72" s="57">
        <v>10.0</v>
      </c>
      <c r="C72" s="19"/>
      <c r="D72" s="19"/>
      <c r="E72" s="19"/>
      <c r="F72" s="19"/>
      <c r="G72" s="19"/>
      <c r="H72" s="20"/>
    </row>
    <row r="73" ht="15.75" customHeight="1">
      <c r="A73" s="61" t="s">
        <v>221</v>
      </c>
      <c r="B73" s="5"/>
      <c r="C73" s="5"/>
      <c r="D73" s="5"/>
      <c r="E73" s="5"/>
      <c r="F73" s="5"/>
      <c r="G73" s="5"/>
      <c r="H73" s="5"/>
    </row>
    <row r="74" ht="15.75" customHeight="1">
      <c r="A74" s="43" t="s">
        <v>217</v>
      </c>
      <c r="B74" s="19"/>
      <c r="C74" s="19"/>
      <c r="D74" s="19"/>
      <c r="E74" s="19"/>
      <c r="F74" s="19"/>
      <c r="G74" s="19"/>
      <c r="H74" s="20"/>
    </row>
    <row r="75" ht="15.75" customHeight="1">
      <c r="A75" s="65" t="s">
        <v>231</v>
      </c>
      <c r="B75" s="45"/>
      <c r="C75" s="45"/>
      <c r="D75" s="45"/>
      <c r="E75" s="45"/>
      <c r="F75" s="45"/>
      <c r="G75" s="45"/>
      <c r="H75" s="46"/>
    </row>
    <row r="76" ht="15.75" customHeight="1">
      <c r="A76" s="58"/>
      <c r="H76" s="59"/>
    </row>
    <row r="77" ht="15.75" customHeight="1">
      <c r="A77" s="47"/>
      <c r="B77" s="48"/>
      <c r="C77" s="48"/>
      <c r="D77" s="48"/>
      <c r="E77" s="48"/>
      <c r="F77" s="48"/>
      <c r="G77" s="48"/>
      <c r="H77" s="49"/>
    </row>
    <row r="78" ht="15.75" customHeight="1"/>
    <row r="79" ht="15.75" customHeight="1">
      <c r="A79" s="41" t="s">
        <v>223</v>
      </c>
      <c r="G79" s="35" t="s">
        <v>146</v>
      </c>
      <c r="H79" s="42">
        <v>10.0</v>
      </c>
    </row>
    <row r="80" ht="15.75" customHeight="1">
      <c r="G80" s="25" t="s">
        <v>224</v>
      </c>
    </row>
    <row r="81" ht="15.75" customHeight="1">
      <c r="A81" s="30" t="s">
        <v>146</v>
      </c>
      <c r="B81" s="66">
        <v>10.0</v>
      </c>
      <c r="C81" s="19"/>
      <c r="D81" s="19"/>
      <c r="E81" s="19"/>
      <c r="F81" s="19"/>
      <c r="G81" s="19"/>
      <c r="H81" s="20"/>
    </row>
    <row r="82" ht="15.75" customHeight="1">
      <c r="A82" s="56" t="s">
        <v>225</v>
      </c>
      <c r="B82" s="19"/>
      <c r="C82" s="19"/>
      <c r="D82" s="19"/>
      <c r="E82" s="19"/>
      <c r="F82" s="19"/>
      <c r="G82" s="19"/>
      <c r="H82" s="20"/>
    </row>
    <row r="83" ht="15.75" customHeight="1">
      <c r="A83" s="44" t="s">
        <v>226</v>
      </c>
      <c r="B83" s="45"/>
      <c r="C83" s="45"/>
      <c r="D83" s="45"/>
      <c r="E83" s="45"/>
      <c r="F83" s="45"/>
      <c r="G83" s="45"/>
      <c r="H83" s="46"/>
    </row>
    <row r="84" ht="15.75" customHeight="1">
      <c r="A84" s="47"/>
      <c r="B84" s="48"/>
      <c r="C84" s="48"/>
      <c r="D84" s="48"/>
      <c r="E84" s="48"/>
      <c r="F84" s="48"/>
      <c r="G84" s="48"/>
      <c r="H84" s="49"/>
    </row>
    <row r="85" ht="15.75" customHeight="1">
      <c r="A85" s="25" t="s">
        <v>227</v>
      </c>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sheetData>
  <mergeCells count="67">
    <mergeCell ref="F45:H45"/>
    <mergeCell ref="D49:H49"/>
    <mergeCell ref="D50:H50"/>
    <mergeCell ref="D51:H51"/>
    <mergeCell ref="D52:H52"/>
    <mergeCell ref="D53:H53"/>
    <mergeCell ref="A55:F55"/>
    <mergeCell ref="B58:H58"/>
    <mergeCell ref="B59:H59"/>
    <mergeCell ref="B60:H60"/>
    <mergeCell ref="B61:H61"/>
    <mergeCell ref="A63:H63"/>
    <mergeCell ref="A64:H66"/>
    <mergeCell ref="B69:H69"/>
    <mergeCell ref="A82:H82"/>
    <mergeCell ref="A83:H84"/>
    <mergeCell ref="B70:H70"/>
    <mergeCell ref="B71:H71"/>
    <mergeCell ref="B72:H72"/>
    <mergeCell ref="A74:H74"/>
    <mergeCell ref="A75:H77"/>
    <mergeCell ref="A79:F79"/>
    <mergeCell ref="B81:H81"/>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F35:H35"/>
    <mergeCell ref="F38:H38"/>
    <mergeCell ref="F40:H40"/>
    <mergeCell ref="F42:H42"/>
    <mergeCell ref="F43:H43"/>
  </mergeCells>
  <dataValidations>
    <dataValidation type="list" allowBlank="1" showErrorMessage="1" sqref="B23:B24 B58 B69">
      <formula1>METADATA!$I$17:$I$40</formula1>
    </dataValidation>
    <dataValidation type="list" allowBlank="1" showErrorMessage="1" sqref="B59">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17.75"/>
    <col customWidth="1" min="8" max="8" width="28.5"/>
  </cols>
  <sheetData>
    <row r="1" ht="15.75" customHeight="1"/>
    <row r="2" ht="15.75" customHeight="1">
      <c r="B2" s="39" t="s">
        <v>181</v>
      </c>
    </row>
    <row r="3" ht="15.75" customHeight="1"/>
    <row r="4" ht="15.75" customHeight="1">
      <c r="B4" s="17" t="s">
        <v>1</v>
      </c>
      <c r="C4" s="18" t="str">
        <f>'Diseño'!C4</f>
        <v>975 - Redes de Computadoras 2</v>
      </c>
      <c r="D4" s="19"/>
      <c r="E4" s="19"/>
      <c r="F4" s="19"/>
      <c r="G4" s="20"/>
    </row>
    <row r="5" ht="15.75" customHeight="1">
      <c r="B5" s="21" t="s">
        <v>11</v>
      </c>
      <c r="C5" s="18">
        <v>4.0</v>
      </c>
      <c r="D5" s="19"/>
      <c r="E5" s="19"/>
      <c r="F5" s="19"/>
      <c r="G5" s="20"/>
    </row>
    <row r="6" ht="15.75" customHeight="1">
      <c r="B6" s="40" t="s">
        <v>144</v>
      </c>
      <c r="C6" s="18">
        <f>H10+H21+H49+H73</f>
        <v>100</v>
      </c>
      <c r="D6" s="19"/>
      <c r="E6" s="19"/>
      <c r="F6" s="19"/>
      <c r="G6" s="20"/>
      <c r="I6" s="5"/>
    </row>
    <row r="7" ht="15.75" customHeight="1">
      <c r="B7" s="40" t="s">
        <v>182</v>
      </c>
      <c r="C7" s="18">
        <f>B54+B65</f>
        <v>1</v>
      </c>
      <c r="D7" s="19"/>
      <c r="E7" s="19"/>
      <c r="F7" s="19"/>
      <c r="G7" s="20"/>
    </row>
    <row r="8" ht="15.75" customHeight="1">
      <c r="B8" s="40" t="s">
        <v>183</v>
      </c>
      <c r="C8" s="18" t="str">
        <f>IF(H49&lt;=0, "❌ ERROR: La Actividad 1 debe tener un tiempo mayor a 0.", IF(H21&gt;60, "❌ ERROR: El 'Área de Conocimiento' no puede exceder los 60 min.", IF((H10+H21+H49+H73)&lt;100, "❌ ERROR: El tiempo total debe ser de al menos 100 min.", "✅ VALIDACIÓN CORRECTA")))</f>
        <v>✅ VALIDACIÓN CORRECTA</v>
      </c>
      <c r="D8" s="19"/>
      <c r="E8" s="19"/>
      <c r="F8" s="19"/>
      <c r="G8" s="20"/>
      <c r="I8" s="5"/>
      <c r="J8" s="5"/>
      <c r="K8" s="5"/>
    </row>
    <row r="9" ht="15.75" customHeight="1"/>
    <row r="10" ht="15.75" customHeight="1">
      <c r="A10" s="41" t="s">
        <v>184</v>
      </c>
      <c r="G10" s="35" t="s">
        <v>146</v>
      </c>
      <c r="H10" s="42">
        <v>5.0</v>
      </c>
    </row>
    <row r="11" ht="15.75" customHeight="1">
      <c r="G11" s="25" t="s">
        <v>185</v>
      </c>
    </row>
    <row r="12" ht="15.75" customHeight="1">
      <c r="A12" s="30" t="s">
        <v>186</v>
      </c>
      <c r="B12" s="31" t="s">
        <v>232</v>
      </c>
      <c r="C12" s="19"/>
      <c r="D12" s="19"/>
      <c r="E12" s="19"/>
      <c r="F12" s="19"/>
      <c r="G12" s="19"/>
      <c r="H12" s="20"/>
    </row>
    <row r="13" ht="15.75" customHeight="1">
      <c r="A13" s="32" t="s">
        <v>146</v>
      </c>
      <c r="B13" s="18">
        <f>H10</f>
        <v>5</v>
      </c>
      <c r="C13" s="19"/>
      <c r="D13" s="19"/>
      <c r="E13" s="19"/>
      <c r="F13" s="19"/>
      <c r="G13" s="19"/>
      <c r="H13" s="20"/>
    </row>
    <row r="14" ht="15.75" customHeight="1">
      <c r="A14" s="43" t="s">
        <v>188</v>
      </c>
      <c r="B14" s="19"/>
      <c r="C14" s="19"/>
      <c r="D14" s="19"/>
      <c r="E14" s="19"/>
      <c r="F14" s="19"/>
      <c r="G14" s="19"/>
      <c r="H14" s="20"/>
    </row>
    <row r="15" ht="15.75" customHeight="1">
      <c r="A15" s="44" t="s">
        <v>233</v>
      </c>
      <c r="B15" s="45"/>
      <c r="C15" s="45"/>
      <c r="D15" s="45"/>
      <c r="E15" s="45"/>
      <c r="F15" s="45"/>
      <c r="G15" s="45"/>
      <c r="H15" s="46"/>
    </row>
    <row r="16" ht="15.75" customHeight="1">
      <c r="A16" s="47"/>
      <c r="B16" s="48"/>
      <c r="C16" s="48"/>
      <c r="D16" s="48"/>
      <c r="E16" s="48"/>
      <c r="F16" s="48"/>
      <c r="G16" s="48"/>
      <c r="H16" s="49"/>
    </row>
    <row r="17" ht="15.75" customHeight="1">
      <c r="A17" s="43" t="s">
        <v>190</v>
      </c>
      <c r="B17" s="19"/>
      <c r="C17" s="19"/>
      <c r="D17" s="19"/>
      <c r="E17" s="19"/>
      <c r="F17" s="19"/>
      <c r="G17" s="19"/>
      <c r="H17" s="20"/>
    </row>
    <row r="18" ht="15.75" customHeight="1">
      <c r="A18" s="44" t="s">
        <v>234</v>
      </c>
      <c r="B18" s="45"/>
      <c r="C18" s="45"/>
      <c r="D18" s="45"/>
      <c r="E18" s="45"/>
      <c r="F18" s="45"/>
      <c r="G18" s="45"/>
      <c r="H18" s="46"/>
    </row>
    <row r="19" ht="15.75" customHeight="1">
      <c r="A19" s="47"/>
      <c r="B19" s="48"/>
      <c r="C19" s="48"/>
      <c r="D19" s="48"/>
      <c r="E19" s="48"/>
      <c r="F19" s="48"/>
      <c r="G19" s="48"/>
      <c r="H19" s="49"/>
    </row>
    <row r="20" ht="15.75" customHeight="1"/>
    <row r="21" ht="15.75" customHeight="1">
      <c r="A21" s="41" t="s">
        <v>192</v>
      </c>
      <c r="G21" s="35" t="s">
        <v>146</v>
      </c>
      <c r="H21" s="62">
        <f>D44+D45+D46+D47</f>
        <v>60</v>
      </c>
      <c r="I21" s="5"/>
    </row>
    <row r="22" ht="15.75" customHeight="1">
      <c r="G22" s="25" t="s">
        <v>193</v>
      </c>
    </row>
    <row r="23" ht="15.75" customHeight="1">
      <c r="A23" s="30" t="s">
        <v>194</v>
      </c>
      <c r="B23" s="31" t="s">
        <v>49</v>
      </c>
      <c r="C23" s="19"/>
      <c r="D23" s="19"/>
      <c r="E23" s="19"/>
      <c r="F23" s="19"/>
      <c r="G23" s="19"/>
      <c r="H23" s="20"/>
    </row>
    <row r="24" ht="15.75" customHeight="1">
      <c r="A24" s="30" t="s">
        <v>194</v>
      </c>
      <c r="B24" s="31" t="s">
        <v>138</v>
      </c>
      <c r="C24" s="19"/>
      <c r="D24" s="19"/>
      <c r="E24" s="19"/>
      <c r="F24" s="19"/>
      <c r="G24" s="19"/>
      <c r="H24" s="20"/>
    </row>
    <row r="25" ht="15.75" customHeight="1"/>
    <row r="26" ht="15.75" customHeight="1">
      <c r="A26" s="50" t="s">
        <v>195</v>
      </c>
      <c r="B26" s="5"/>
      <c r="C26" s="5"/>
      <c r="D26" s="5"/>
    </row>
    <row r="27" ht="15.75" customHeight="1">
      <c r="A27" s="51" t="s">
        <v>5</v>
      </c>
      <c r="B27" s="52" t="s">
        <v>196</v>
      </c>
      <c r="C27" s="20"/>
      <c r="D27" s="52" t="s">
        <v>197</v>
      </c>
      <c r="E27" s="20"/>
      <c r="F27" s="52" t="s">
        <v>198</v>
      </c>
      <c r="G27" s="19"/>
      <c r="H27" s="20"/>
    </row>
    <row r="28" ht="15.75" customHeight="1">
      <c r="A28" s="21">
        <v>1.0</v>
      </c>
      <c r="B28" s="18" t="str">
        <f>IFERROR(__xludf.DUMMYFUNCTION("FILTER('Diseño'!D:D,'Diseño'!H:H=$C$5)"),"Unidad 3: Tráfico en capa 3.")</f>
        <v>Unidad 3: Tráfico en capa 3.</v>
      </c>
      <c r="C28" s="20"/>
      <c r="D28" s="18" t="str">
        <f>IFERROR(__xludf.DUMMYFUNCTION("FILTER('Diseño'!E:E,'Diseño'!H:H=$C$5)"),"Protocolos de enrutamiento dinámico")</f>
        <v>Protocolos de enrutamiento dinámico</v>
      </c>
      <c r="E28" s="20"/>
      <c r="F28" s="18" t="str">
        <f>IFERROR(__xludf.DUMMYFUNCTION("FILTER('Diseño'!F:F,'Diseño'!H:H=$C$5)"),"Configuración básica de OSPF en una red de área única.")</f>
        <v>Configuración básica de OSPF en una red de área única.</v>
      </c>
      <c r="G28" s="19"/>
      <c r="H28" s="20"/>
    </row>
    <row r="29" ht="15.75" customHeight="1">
      <c r="A29" s="21">
        <v>2.0</v>
      </c>
      <c r="B29" s="18" t="str">
        <f>IFERROR(__xludf.DUMMYFUNCTION("""COMPUTED_VALUE"""),"Unidad 3: Tráfico en capa 3.")</f>
        <v>Unidad 3: Tráfico en capa 3.</v>
      </c>
      <c r="C29" s="20"/>
      <c r="D29" s="18" t="str">
        <f>IFERROR(__xludf.DUMMYFUNCTION("""COMPUTED_VALUE"""),"Protocolos de enrutamiento dinámico")</f>
        <v>Protocolos de enrutamiento dinámico</v>
      </c>
      <c r="E29" s="20"/>
      <c r="F29" s="18" t="str">
        <f>IFERROR(__xludf.DUMMYFUNCTION("""COMPUTED_VALUE"""),"Configuración de OSPF en redes con múltiples áreas.")</f>
        <v>Configuración de OSPF en redes con múltiples áreas.</v>
      </c>
      <c r="G29" s="19"/>
      <c r="H29" s="20"/>
    </row>
    <row r="30" ht="15.75" customHeight="1">
      <c r="A30" s="21">
        <v>3.0</v>
      </c>
      <c r="B30" s="18" t="str">
        <f>IFERROR(__xludf.DUMMYFUNCTION("""COMPUTED_VALUE"""),"Unidad 3: Tráfico en capa 3.")</f>
        <v>Unidad 3: Tráfico en capa 3.</v>
      </c>
      <c r="C30" s="20"/>
      <c r="D30" s="18" t="str">
        <f>IFERROR(__xludf.DUMMYFUNCTION("""COMPUTED_VALUE"""),"Protocolos de enrutamiento dinámico")</f>
        <v>Protocolos de enrutamiento dinámico</v>
      </c>
      <c r="E30" s="20"/>
      <c r="F30" s="18" t="str">
        <f>IFERROR(__xludf.DUMMYFUNCTION("""COMPUTED_VALUE"""),"Cálculo de métricas de costo en OSPF.")</f>
        <v>Cálculo de métricas de costo en OSPF.</v>
      </c>
      <c r="G30" s="19"/>
      <c r="H30" s="20"/>
    </row>
    <row r="31" ht="15.75" customHeight="1">
      <c r="A31" s="21">
        <v>4.0</v>
      </c>
      <c r="B31" s="18" t="str">
        <f>IFERROR(__xludf.DUMMYFUNCTION("""COMPUTED_VALUE"""),"Unidad 3: Tráfico en capa 3.")</f>
        <v>Unidad 3: Tráfico en capa 3.</v>
      </c>
      <c r="C31" s="20"/>
      <c r="D31" s="18" t="str">
        <f>IFERROR(__xludf.DUMMYFUNCTION("""COMPUTED_VALUE"""),"Protocolos de enrutamiento dinámico")</f>
        <v>Protocolos de enrutamiento dinámico</v>
      </c>
      <c r="E31" s="20"/>
      <c r="F31" s="18" t="str">
        <f>IFERROR(__xludf.DUMMYFUNCTION("""COMPUTED_VALUE"""),"Ventajas de OSPF frente a RIP y otros protocolos de enrutamiento.")</f>
        <v>Ventajas de OSPF frente a RIP y otros protocolos de enrutamiento.</v>
      </c>
      <c r="G31" s="19"/>
      <c r="H31" s="20"/>
    </row>
    <row r="32" ht="15.75" customHeight="1">
      <c r="A32" s="21">
        <v>5.0</v>
      </c>
      <c r="B32" s="18" t="str">
        <f>IFERROR(__xludf.DUMMYFUNCTION("""COMPUTED_VALUE"""),"Unidad 3: Tráfico en capa 3.")</f>
        <v>Unidad 3: Tráfico en capa 3.</v>
      </c>
      <c r="C32" s="20"/>
      <c r="D32" s="18" t="str">
        <f>IFERROR(__xludf.DUMMYFUNCTION("""COMPUTED_VALUE"""),"Protocolos de enrutamiento dinámico")</f>
        <v>Protocolos de enrutamiento dinámico</v>
      </c>
      <c r="E32" s="20"/>
      <c r="F32" s="18" t="str">
        <f>IFERROR(__xludf.DUMMYFUNCTION("""COMPUTED_VALUE"""),"Solución de problemas comunes en la configuración de OSPF.")</f>
        <v>Solución de problemas comunes en la configuración de OSPF.</v>
      </c>
      <c r="G32" s="19"/>
      <c r="H32" s="20"/>
    </row>
    <row r="33" ht="15.75" customHeight="1">
      <c r="A33" s="21">
        <v>6.0</v>
      </c>
      <c r="B33" s="18" t="str">
        <f>IFERROR(__xludf.DUMMYFUNCTION("""COMPUTED_VALUE"""),"Unidad 3: Tráfico en capa 3.")</f>
        <v>Unidad 3: Tráfico en capa 3.</v>
      </c>
      <c r="C33" s="20"/>
      <c r="D33" s="18" t="str">
        <f>IFERROR(__xludf.DUMMYFUNCTION("""COMPUTED_VALUE"""),"Protocolos de enrutamiento dinámico")</f>
        <v>Protocolos de enrutamiento dinámico</v>
      </c>
      <c r="E33" s="20"/>
      <c r="F33" s="18" t="str">
        <f>IFERROR(__xludf.DUMMYFUNCTION("""COMPUTED_VALUE"""),"Introducción a EIGRP y su funcionamiento.")</f>
        <v>Introducción a EIGRP y su funcionamiento.</v>
      </c>
      <c r="G33" s="19"/>
      <c r="H33" s="20"/>
    </row>
    <row r="34" ht="15.75" customHeight="1">
      <c r="A34" s="21">
        <v>7.0</v>
      </c>
      <c r="B34" s="18" t="str">
        <f>IFERROR(__xludf.DUMMYFUNCTION("""COMPUTED_VALUE"""),"Unidad 3: Tráfico en capa 3.")</f>
        <v>Unidad 3: Tráfico en capa 3.</v>
      </c>
      <c r="C34" s="20"/>
      <c r="D34" s="18" t="str">
        <f>IFERROR(__xludf.DUMMYFUNCTION("""COMPUTED_VALUE"""),"Protocolos de enrutamiento dinámico")</f>
        <v>Protocolos de enrutamiento dinámico</v>
      </c>
      <c r="E34" s="20"/>
      <c r="F34" s="18" t="str">
        <f>IFERROR(__xludf.DUMMYFUNCTION("""COMPUTED_VALUE"""),"Estructura jerárquica de EIGRP.")</f>
        <v>Estructura jerárquica de EIGRP.</v>
      </c>
      <c r="G34" s="19"/>
      <c r="H34" s="20"/>
    </row>
    <row r="35" ht="15.75" customHeight="1">
      <c r="A35" s="21">
        <v>8.0</v>
      </c>
      <c r="B35" s="53" t="str">
        <f>IFERROR(__xludf.DUMMYFUNCTION("""COMPUTED_VALUE"""),"Unidad 3: Tráfico en capa 3.")</f>
        <v>Unidad 3: Tráfico en capa 3.</v>
      </c>
      <c r="C35" s="53"/>
      <c r="D35" s="53" t="str">
        <f>IFERROR(__xludf.DUMMYFUNCTION("""COMPUTED_VALUE"""),"Protocolos de enrutamiento dinámico")</f>
        <v>Protocolos de enrutamiento dinámico</v>
      </c>
      <c r="E35" s="53"/>
      <c r="F35" s="54" t="str">
        <f>IFERROR(__xludf.DUMMYFUNCTION("""COMPUTED_VALUE"""),"Configuración básica de EIGRP en una red de área única.")</f>
        <v>Configuración básica de EIGRP en una red de área única.</v>
      </c>
      <c r="G35" s="19"/>
      <c r="H35" s="20"/>
    </row>
    <row r="36" ht="15.75" customHeight="1">
      <c r="A36" s="21">
        <v>9.0</v>
      </c>
      <c r="B36" s="53" t="str">
        <f>IFERROR(__xludf.DUMMYFUNCTION("""COMPUTED_VALUE"""),"Unidad 3: Tráfico en capa 3.")</f>
        <v>Unidad 3: Tráfico en capa 3.</v>
      </c>
      <c r="C36" s="53"/>
      <c r="D36" s="53" t="str">
        <f>IFERROR(__xludf.DUMMYFUNCTION("""COMPUTED_VALUE"""),"Protocolos de enrutamiento dinámico")</f>
        <v>Protocolos de enrutamiento dinámico</v>
      </c>
      <c r="E36" s="53"/>
      <c r="F36" s="54" t="str">
        <f>IFERROR(__xludf.DUMMYFUNCTION("""COMPUTED_VALUE"""),"Introducción al Routing Information Protocol (RIP).")</f>
        <v>Introducción al Routing Information Protocol (RIP).</v>
      </c>
      <c r="G36" s="19"/>
      <c r="H36" s="20"/>
    </row>
    <row r="37" ht="15.75" customHeight="1">
      <c r="A37" s="21">
        <v>10.0</v>
      </c>
      <c r="B37" s="53" t="str">
        <f>IFERROR(__xludf.DUMMYFUNCTION("""COMPUTED_VALUE"""),"Unidad 3: Tráfico en capa 3.")</f>
        <v>Unidad 3: Tráfico en capa 3.</v>
      </c>
      <c r="C37" s="53"/>
      <c r="D37" s="53" t="str">
        <f>IFERROR(__xludf.DUMMYFUNCTION("""COMPUTED_VALUE"""),"Protocolos de enrutamiento dinámico")</f>
        <v>Protocolos de enrutamiento dinámico</v>
      </c>
      <c r="E37" s="53"/>
      <c r="F37" s="54" t="str">
        <f>IFERROR(__xludf.DUMMYFUNCTION("""COMPUTED_VALUE"""),"Ventajas y desventajas de RIP en redes pequeñas.")</f>
        <v>Ventajas y desventajas de RIP en redes pequeñas.</v>
      </c>
      <c r="G37" s="19"/>
      <c r="H37" s="20"/>
    </row>
    <row r="38" ht="15.75" customHeight="1">
      <c r="A38" s="21">
        <v>11.0</v>
      </c>
      <c r="B38" s="53" t="str">
        <f>IFERROR(__xludf.DUMMYFUNCTION("""COMPUTED_VALUE"""),"Unidad 3: Tráfico en capa 3.")</f>
        <v>Unidad 3: Tráfico en capa 3.</v>
      </c>
      <c r="C38" s="53"/>
      <c r="D38" s="53" t="str">
        <f>IFERROR(__xludf.DUMMYFUNCTION("""COMPUTED_VALUE"""),"Protocolos de enrutamiento dinámico")</f>
        <v>Protocolos de enrutamiento dinámico</v>
      </c>
      <c r="E38" s="53"/>
      <c r="F38" s="54" t="str">
        <f>IFERROR(__xludf.DUMMYFUNCTION("""COMPUTED_VALUE"""),"Ventajas de EIGRP frente a OSPF y otros protocolos de enrutamiento.")</f>
        <v>Ventajas de EIGRP frente a OSPF y otros protocolos de enrutamiento.</v>
      </c>
      <c r="G38" s="19"/>
      <c r="H38" s="20"/>
    </row>
    <row r="39" ht="15.75" customHeight="1"/>
    <row r="40" ht="15.75" customHeight="1"/>
    <row r="41" ht="15.75" customHeight="1">
      <c r="A41" s="50" t="s">
        <v>199</v>
      </c>
    </row>
    <row r="42" ht="15.75" customHeight="1">
      <c r="A42" s="5"/>
      <c r="B42" s="5"/>
      <c r="C42" s="5"/>
      <c r="D42" s="5"/>
      <c r="E42" s="5"/>
      <c r="F42" s="5"/>
      <c r="G42" s="5"/>
      <c r="H42" s="5"/>
    </row>
    <row r="43" ht="15.75" customHeight="1">
      <c r="A43" s="51" t="s">
        <v>200</v>
      </c>
      <c r="B43" s="51" t="s">
        <v>201</v>
      </c>
      <c r="C43" s="55" t="s">
        <v>202</v>
      </c>
      <c r="D43" s="56" t="s">
        <v>146</v>
      </c>
      <c r="E43" s="19"/>
      <c r="F43" s="19"/>
      <c r="G43" s="19"/>
      <c r="H43" s="20"/>
    </row>
    <row r="44" ht="15.75" customHeight="1">
      <c r="A44" s="21" t="s">
        <v>203</v>
      </c>
      <c r="B44" s="21" t="s">
        <v>204</v>
      </c>
      <c r="C44" s="21"/>
      <c r="D44" s="31">
        <v>30.0</v>
      </c>
      <c r="E44" s="19"/>
      <c r="F44" s="19"/>
      <c r="G44" s="19"/>
      <c r="H44" s="20"/>
    </row>
    <row r="45" ht="15.75" customHeight="1">
      <c r="A45" s="21" t="s">
        <v>205</v>
      </c>
      <c r="B45" s="21" t="s">
        <v>204</v>
      </c>
      <c r="C45" s="21" t="s">
        <v>206</v>
      </c>
      <c r="D45" s="31">
        <v>5.0</v>
      </c>
      <c r="E45" s="19"/>
      <c r="F45" s="19"/>
      <c r="G45" s="19"/>
      <c r="H45" s="20"/>
    </row>
    <row r="46" ht="15.75" customHeight="1">
      <c r="A46" s="21" t="s">
        <v>207</v>
      </c>
      <c r="B46" s="21" t="s">
        <v>208</v>
      </c>
      <c r="C46" s="21"/>
      <c r="D46" s="18"/>
      <c r="E46" s="19"/>
      <c r="F46" s="19"/>
      <c r="G46" s="19"/>
      <c r="H46" s="20"/>
    </row>
    <row r="47" ht="15.75" customHeight="1">
      <c r="A47" s="21" t="s">
        <v>209</v>
      </c>
      <c r="B47" s="21" t="s">
        <v>204</v>
      </c>
      <c r="C47" s="21"/>
      <c r="D47" s="31">
        <v>25.0</v>
      </c>
      <c r="E47" s="19"/>
      <c r="F47" s="19"/>
      <c r="G47" s="19"/>
      <c r="H47" s="20"/>
    </row>
    <row r="48" ht="15.75" customHeight="1"/>
    <row r="49" ht="15.75" customHeight="1">
      <c r="A49" s="41" t="s">
        <v>210</v>
      </c>
      <c r="G49" s="35" t="s">
        <v>146</v>
      </c>
      <c r="H49" s="62">
        <f>B55+B66</f>
        <v>25</v>
      </c>
    </row>
    <row r="50" ht="15.75" customHeight="1">
      <c r="G50" s="25" t="s">
        <v>211</v>
      </c>
    </row>
    <row r="51" ht="15.75" customHeight="1">
      <c r="A51" s="25" t="s">
        <v>212</v>
      </c>
    </row>
    <row r="52" ht="15.75" customHeight="1">
      <c r="A52" s="30" t="s">
        <v>213</v>
      </c>
      <c r="B52" s="31" t="s">
        <v>12</v>
      </c>
      <c r="C52" s="19"/>
      <c r="D52" s="19"/>
      <c r="E52" s="19"/>
      <c r="F52" s="19"/>
      <c r="G52" s="19"/>
      <c r="H52" s="20"/>
    </row>
    <row r="53" ht="15.75" customHeight="1">
      <c r="A53" s="30" t="s">
        <v>214</v>
      </c>
      <c r="B53" s="31" t="s">
        <v>215</v>
      </c>
      <c r="C53" s="19"/>
      <c r="D53" s="19"/>
      <c r="E53" s="19"/>
      <c r="F53" s="19"/>
      <c r="G53" s="19"/>
      <c r="H53" s="20"/>
    </row>
    <row r="54" ht="15.75" customHeight="1">
      <c r="A54" s="30" t="s">
        <v>182</v>
      </c>
      <c r="B54" s="63">
        <v>1.0</v>
      </c>
      <c r="C54" s="19"/>
      <c r="D54" s="19"/>
      <c r="E54" s="19"/>
      <c r="F54" s="19"/>
      <c r="G54" s="19"/>
      <c r="H54" s="20"/>
    </row>
    <row r="55" ht="15.75" customHeight="1">
      <c r="A55" s="30" t="s">
        <v>146</v>
      </c>
      <c r="B55" s="63">
        <v>15.0</v>
      </c>
      <c r="C55" s="19"/>
      <c r="D55" s="19"/>
      <c r="E55" s="19"/>
      <c r="F55" s="19"/>
      <c r="G55" s="19"/>
      <c r="H55" s="20"/>
    </row>
    <row r="56" ht="15.75" customHeight="1">
      <c r="A56" s="37" t="s">
        <v>216</v>
      </c>
      <c r="B56" s="5"/>
      <c r="C56" s="5"/>
      <c r="D56" s="5"/>
      <c r="E56" s="5"/>
      <c r="F56" s="5"/>
      <c r="G56" s="5"/>
      <c r="H56" s="5"/>
    </row>
    <row r="57" ht="15.75" customHeight="1">
      <c r="A57" s="43" t="s">
        <v>217</v>
      </c>
      <c r="B57" s="19"/>
      <c r="C57" s="19"/>
      <c r="D57" s="19"/>
      <c r="E57" s="19"/>
      <c r="F57" s="19"/>
      <c r="G57" s="19"/>
      <c r="H57" s="20"/>
    </row>
    <row r="58" ht="15.75" customHeight="1">
      <c r="A58" s="64" t="s">
        <v>218</v>
      </c>
      <c r="B58" s="45"/>
      <c r="C58" s="45"/>
      <c r="D58" s="45"/>
      <c r="E58" s="45"/>
      <c r="F58" s="45"/>
      <c r="G58" s="45"/>
      <c r="H58" s="46"/>
    </row>
    <row r="59" ht="15.75" customHeight="1">
      <c r="A59" s="58"/>
      <c r="H59" s="59"/>
    </row>
    <row r="60" ht="15.75" customHeight="1">
      <c r="A60" s="47"/>
      <c r="B60" s="48"/>
      <c r="C60" s="48"/>
      <c r="D60" s="48"/>
      <c r="E60" s="48"/>
      <c r="F60" s="48"/>
      <c r="G60" s="48"/>
      <c r="H60" s="49"/>
    </row>
    <row r="61" ht="15.75" customHeight="1"/>
    <row r="62" ht="15.75" customHeight="1">
      <c r="A62" s="25" t="s">
        <v>219</v>
      </c>
    </row>
    <row r="63" ht="15.75" customHeight="1">
      <c r="A63" s="30" t="s">
        <v>213</v>
      </c>
      <c r="B63" s="18"/>
      <c r="C63" s="19"/>
      <c r="D63" s="19"/>
      <c r="E63" s="19"/>
      <c r="F63" s="19"/>
      <c r="G63" s="19"/>
      <c r="H63" s="20"/>
    </row>
    <row r="64" ht="15.75" customHeight="1">
      <c r="A64" s="30" t="s">
        <v>214</v>
      </c>
      <c r="B64" s="28" t="s">
        <v>220</v>
      </c>
      <c r="C64" s="19"/>
      <c r="D64" s="19"/>
      <c r="E64" s="19"/>
      <c r="F64" s="19"/>
      <c r="G64" s="19"/>
      <c r="H64" s="20"/>
    </row>
    <row r="65" ht="15.75" customHeight="1">
      <c r="A65" s="30" t="s">
        <v>182</v>
      </c>
      <c r="B65" s="28"/>
      <c r="C65" s="19"/>
      <c r="D65" s="19"/>
      <c r="E65" s="19"/>
      <c r="F65" s="19"/>
      <c r="G65" s="19"/>
      <c r="H65" s="20"/>
    </row>
    <row r="66" ht="15.75" customHeight="1">
      <c r="A66" s="30" t="s">
        <v>146</v>
      </c>
      <c r="B66" s="67">
        <v>10.0</v>
      </c>
      <c r="C66" s="19"/>
      <c r="D66" s="19"/>
      <c r="E66" s="19"/>
      <c r="F66" s="19"/>
      <c r="G66" s="19"/>
      <c r="H66" s="20"/>
    </row>
    <row r="67" ht="15.75" customHeight="1">
      <c r="A67" s="61" t="s">
        <v>221</v>
      </c>
      <c r="B67" s="5"/>
      <c r="C67" s="5"/>
      <c r="D67" s="5"/>
      <c r="E67" s="5"/>
      <c r="F67" s="5"/>
      <c r="G67" s="5"/>
      <c r="H67" s="5"/>
    </row>
    <row r="68" ht="15.75" customHeight="1">
      <c r="A68" s="43" t="s">
        <v>217</v>
      </c>
      <c r="B68" s="19"/>
      <c r="C68" s="19"/>
      <c r="D68" s="19"/>
      <c r="E68" s="19"/>
      <c r="F68" s="19"/>
      <c r="G68" s="19"/>
      <c r="H68" s="20"/>
    </row>
    <row r="69" ht="15.75" customHeight="1">
      <c r="A69" s="65" t="s">
        <v>235</v>
      </c>
      <c r="B69" s="45"/>
      <c r="C69" s="45"/>
      <c r="D69" s="45"/>
      <c r="E69" s="45"/>
      <c r="F69" s="45"/>
      <c r="G69" s="45"/>
      <c r="H69" s="46"/>
    </row>
    <row r="70" ht="15.75" customHeight="1">
      <c r="A70" s="58"/>
      <c r="H70" s="59"/>
    </row>
    <row r="71" ht="15.75" customHeight="1">
      <c r="A71" s="47"/>
      <c r="B71" s="48"/>
      <c r="C71" s="48"/>
      <c r="D71" s="48"/>
      <c r="E71" s="48"/>
      <c r="F71" s="48"/>
      <c r="G71" s="48"/>
      <c r="H71" s="49"/>
    </row>
    <row r="72" ht="15.75" customHeight="1"/>
    <row r="73" ht="15.75" customHeight="1">
      <c r="A73" s="41" t="s">
        <v>223</v>
      </c>
      <c r="G73" s="35" t="s">
        <v>146</v>
      </c>
      <c r="H73" s="42">
        <v>10.0</v>
      </c>
    </row>
    <row r="74" ht="15.75" customHeight="1">
      <c r="G74" s="25" t="s">
        <v>224</v>
      </c>
    </row>
    <row r="75" ht="15.75" customHeight="1">
      <c r="A75" s="30" t="s">
        <v>146</v>
      </c>
      <c r="B75" s="66">
        <v>10.0</v>
      </c>
      <c r="C75" s="19"/>
      <c r="D75" s="19"/>
      <c r="E75" s="19"/>
      <c r="F75" s="19"/>
      <c r="G75" s="19"/>
      <c r="H75" s="20"/>
    </row>
    <row r="76" ht="15.75" customHeight="1">
      <c r="A76" s="56" t="s">
        <v>225</v>
      </c>
      <c r="B76" s="19"/>
      <c r="C76" s="19"/>
      <c r="D76" s="19"/>
      <c r="E76" s="19"/>
      <c r="F76" s="19"/>
      <c r="G76" s="19"/>
      <c r="H76" s="20"/>
    </row>
    <row r="77" ht="15.75" customHeight="1">
      <c r="A77" s="44" t="s">
        <v>226</v>
      </c>
      <c r="B77" s="45"/>
      <c r="C77" s="45"/>
      <c r="D77" s="45"/>
      <c r="E77" s="45"/>
      <c r="F77" s="45"/>
      <c r="G77" s="45"/>
      <c r="H77" s="46"/>
    </row>
    <row r="78" ht="15.75" customHeight="1">
      <c r="A78" s="47"/>
      <c r="B78" s="48"/>
      <c r="C78" s="48"/>
      <c r="D78" s="48"/>
      <c r="E78" s="48"/>
      <c r="F78" s="48"/>
      <c r="G78" s="48"/>
      <c r="H78" s="49"/>
    </row>
    <row r="79" ht="15.75" customHeight="1">
      <c r="A79" s="25" t="s">
        <v>227</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65">
    <mergeCell ref="D44:H44"/>
    <mergeCell ref="D45:H45"/>
    <mergeCell ref="D46:H46"/>
    <mergeCell ref="D47:H47"/>
    <mergeCell ref="A49:F49"/>
    <mergeCell ref="B52:H52"/>
    <mergeCell ref="B53:H53"/>
    <mergeCell ref="B66:H66"/>
    <mergeCell ref="A68:H68"/>
    <mergeCell ref="A69:H71"/>
    <mergeCell ref="A73:F73"/>
    <mergeCell ref="B75:H75"/>
    <mergeCell ref="A76:H76"/>
    <mergeCell ref="A77:H78"/>
    <mergeCell ref="B54:H54"/>
    <mergeCell ref="B55:H55"/>
    <mergeCell ref="A57:H57"/>
    <mergeCell ref="A58:H60"/>
    <mergeCell ref="B63:H63"/>
    <mergeCell ref="B64:H64"/>
    <mergeCell ref="B65:H65"/>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F35:H35"/>
    <mergeCell ref="F36:H36"/>
    <mergeCell ref="F37:H37"/>
    <mergeCell ref="F38:H38"/>
    <mergeCell ref="D43:H43"/>
  </mergeCells>
  <dataValidations>
    <dataValidation type="list" allowBlank="1" showErrorMessage="1" sqref="B23:B24 B52 B63">
      <formula1>METADATA!$I$17:$I$40</formula1>
    </dataValidation>
    <dataValidation type="list" allowBlank="1" showErrorMessage="1" sqref="B53">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9.0"/>
    <col customWidth="1" min="8" max="8" width="34.25"/>
  </cols>
  <sheetData>
    <row r="1" ht="15.75" customHeight="1"/>
    <row r="2" ht="15.75" customHeight="1">
      <c r="B2" s="39" t="s">
        <v>181</v>
      </c>
    </row>
    <row r="3" ht="15.75" customHeight="1"/>
    <row r="4" ht="15.75" customHeight="1">
      <c r="B4" s="17" t="s">
        <v>1</v>
      </c>
      <c r="C4" s="18" t="str">
        <f>'Diseño'!C4</f>
        <v>975 - Redes de Computadoras 2</v>
      </c>
      <c r="D4" s="19"/>
      <c r="E4" s="19"/>
      <c r="F4" s="19"/>
      <c r="G4" s="20"/>
    </row>
    <row r="5" ht="15.75" customHeight="1">
      <c r="B5" s="21" t="s">
        <v>11</v>
      </c>
      <c r="C5" s="18">
        <v>5.0</v>
      </c>
      <c r="D5" s="19"/>
      <c r="E5" s="19"/>
      <c r="F5" s="19"/>
      <c r="G5" s="20"/>
    </row>
    <row r="6" ht="15.75" customHeight="1">
      <c r="B6" s="40" t="s">
        <v>144</v>
      </c>
      <c r="C6" s="18">
        <f>H10+H21+H47+H71</f>
        <v>100</v>
      </c>
      <c r="D6" s="19"/>
      <c r="E6" s="19"/>
      <c r="F6" s="19"/>
      <c r="G6" s="20"/>
      <c r="I6" s="5"/>
    </row>
    <row r="7" ht="15.75" customHeight="1">
      <c r="B7" s="40" t="s">
        <v>182</v>
      </c>
      <c r="C7" s="18">
        <f>B52+B63</f>
        <v>1</v>
      </c>
      <c r="D7" s="19"/>
      <c r="E7" s="19"/>
      <c r="F7" s="19"/>
      <c r="G7" s="20"/>
    </row>
    <row r="8" ht="15.75" customHeight="1">
      <c r="B8" s="40" t="s">
        <v>183</v>
      </c>
      <c r="C8" s="18" t="str">
        <f>IF(H47&lt;=0, "❌ ERROR: La Actividad 1 debe tener un tiempo mayor a 0.", IF(H21&gt;60, "❌ ERROR: El 'Área de Conocimiento' no puede exceder los 60 min.", IF((H10+H21+H47+H71)&lt;100, "❌ ERROR: El tiempo total debe ser de al menos 100 min.", "✅ VALIDACIÓN CORRECTA")))</f>
        <v>✅ VALIDACIÓN CORRECTA</v>
      </c>
      <c r="D8" s="19"/>
      <c r="E8" s="19"/>
      <c r="F8" s="19"/>
      <c r="G8" s="20"/>
      <c r="I8" s="5"/>
      <c r="J8" s="5"/>
      <c r="K8" s="5"/>
    </row>
    <row r="9" ht="15.75" customHeight="1"/>
    <row r="10" ht="15.75" customHeight="1">
      <c r="A10" s="41" t="s">
        <v>184</v>
      </c>
      <c r="G10" s="35" t="s">
        <v>146</v>
      </c>
      <c r="H10" s="42">
        <v>5.0</v>
      </c>
    </row>
    <row r="11" ht="15.75" customHeight="1">
      <c r="G11" s="25" t="s">
        <v>185</v>
      </c>
    </row>
    <row r="12" ht="15.75" customHeight="1">
      <c r="A12" s="30" t="s">
        <v>186</v>
      </c>
      <c r="B12" s="31" t="s">
        <v>236</v>
      </c>
      <c r="C12" s="19"/>
      <c r="D12" s="19"/>
      <c r="E12" s="19"/>
      <c r="F12" s="19"/>
      <c r="G12" s="19"/>
      <c r="H12" s="20"/>
    </row>
    <row r="13" ht="15.75" customHeight="1">
      <c r="A13" s="32" t="s">
        <v>146</v>
      </c>
      <c r="B13" s="18">
        <f>H10</f>
        <v>5</v>
      </c>
      <c r="C13" s="19"/>
      <c r="D13" s="19"/>
      <c r="E13" s="19"/>
      <c r="F13" s="19"/>
      <c r="G13" s="19"/>
      <c r="H13" s="20"/>
    </row>
    <row r="14" ht="15.75" customHeight="1">
      <c r="A14" s="43" t="s">
        <v>188</v>
      </c>
      <c r="B14" s="19"/>
      <c r="C14" s="19"/>
      <c r="D14" s="19"/>
      <c r="E14" s="19"/>
      <c r="F14" s="19"/>
      <c r="G14" s="19"/>
      <c r="H14" s="20"/>
    </row>
    <row r="15" ht="15.75" customHeight="1">
      <c r="A15" s="44" t="s">
        <v>237</v>
      </c>
      <c r="B15" s="45"/>
      <c r="C15" s="45"/>
      <c r="D15" s="45"/>
      <c r="E15" s="45"/>
      <c r="F15" s="45"/>
      <c r="G15" s="45"/>
      <c r="H15" s="46"/>
    </row>
    <row r="16" ht="15.75" customHeight="1">
      <c r="A16" s="47"/>
      <c r="B16" s="48"/>
      <c r="C16" s="48"/>
      <c r="D16" s="48"/>
      <c r="E16" s="48"/>
      <c r="F16" s="48"/>
      <c r="G16" s="48"/>
      <c r="H16" s="49"/>
    </row>
    <row r="17" ht="15.75" customHeight="1">
      <c r="A17" s="43" t="s">
        <v>190</v>
      </c>
      <c r="B17" s="19"/>
      <c r="C17" s="19"/>
      <c r="D17" s="19"/>
      <c r="E17" s="19"/>
      <c r="F17" s="19"/>
      <c r="G17" s="19"/>
      <c r="H17" s="20"/>
    </row>
    <row r="18" ht="15.75" customHeight="1">
      <c r="A18" s="44" t="s">
        <v>238</v>
      </c>
      <c r="B18" s="45"/>
      <c r="C18" s="45"/>
      <c r="D18" s="45"/>
      <c r="E18" s="45"/>
      <c r="F18" s="45"/>
      <c r="G18" s="45"/>
      <c r="H18" s="46"/>
    </row>
    <row r="19" ht="15.75" customHeight="1">
      <c r="A19" s="47"/>
      <c r="B19" s="48"/>
      <c r="C19" s="48"/>
      <c r="D19" s="48"/>
      <c r="E19" s="48"/>
      <c r="F19" s="48"/>
      <c r="G19" s="48"/>
      <c r="H19" s="49"/>
    </row>
    <row r="20" ht="15.75" customHeight="1"/>
    <row r="21" ht="15.75" customHeight="1">
      <c r="A21" s="41" t="s">
        <v>192</v>
      </c>
      <c r="G21" s="35" t="s">
        <v>146</v>
      </c>
      <c r="H21" s="62">
        <f>D42+D43+D44+D45</f>
        <v>60</v>
      </c>
      <c r="I21" s="5"/>
    </row>
    <row r="22" ht="15.75" customHeight="1">
      <c r="G22" s="25" t="s">
        <v>193</v>
      </c>
    </row>
    <row r="23" ht="15.75" customHeight="1">
      <c r="A23" s="30" t="s">
        <v>194</v>
      </c>
      <c r="B23" s="31" t="s">
        <v>74</v>
      </c>
      <c r="C23" s="19"/>
      <c r="D23" s="19"/>
      <c r="E23" s="19"/>
      <c r="F23" s="19"/>
      <c r="G23" s="19"/>
      <c r="H23" s="20"/>
    </row>
    <row r="24" ht="15.75" customHeight="1">
      <c r="A24" s="30" t="s">
        <v>194</v>
      </c>
      <c r="B24" s="31" t="s">
        <v>37</v>
      </c>
      <c r="C24" s="19"/>
      <c r="D24" s="19"/>
      <c r="E24" s="19"/>
      <c r="F24" s="19"/>
      <c r="G24" s="19"/>
      <c r="H24" s="20"/>
    </row>
    <row r="25" ht="15.75" customHeight="1"/>
    <row r="26" ht="15.75" customHeight="1">
      <c r="A26" s="50" t="s">
        <v>195</v>
      </c>
      <c r="B26" s="5"/>
      <c r="C26" s="5"/>
      <c r="D26" s="5"/>
    </row>
    <row r="27" ht="15.75" customHeight="1">
      <c r="A27" s="51" t="s">
        <v>5</v>
      </c>
      <c r="B27" s="52" t="s">
        <v>196</v>
      </c>
      <c r="C27" s="20"/>
      <c r="D27" s="52" t="s">
        <v>197</v>
      </c>
      <c r="E27" s="20"/>
      <c r="F27" s="52" t="s">
        <v>198</v>
      </c>
      <c r="G27" s="19"/>
      <c r="H27" s="20"/>
    </row>
    <row r="28" ht="15.75" customHeight="1">
      <c r="A28" s="21">
        <v>1.0</v>
      </c>
      <c r="B28" s="18" t="str">
        <f>IFERROR(__xludf.DUMMYFUNCTION("FILTER('Diseño'!D:D,'Diseño'!H:H=$C$5)"),"Unidad 3: Tráfico en capa 3.")</f>
        <v>Unidad 3: Tráfico en capa 3.</v>
      </c>
      <c r="C28" s="20"/>
      <c r="D28" s="18" t="str">
        <f>IFERROR(__xludf.DUMMYFUNCTION("FILTER('Diseño'!E:E,'Diseño'!H:H=$C$5)"),"Segmentación de Redes")</f>
        <v>Segmentación de Redes</v>
      </c>
      <c r="E28" s="20"/>
      <c r="F28" s="18" t="str">
        <f>IFERROR(__xludf.DUMMYFUNCTION("FILTER('Diseño'!F:F,'Diseño'!H:H=$C$5)"),"Técnicas segmentación de redes más comunicas.")</f>
        <v>Técnicas segmentación de redes más comunicas.</v>
      </c>
      <c r="G28" s="19"/>
      <c r="H28" s="20"/>
    </row>
    <row r="29" ht="15.75" customHeight="1">
      <c r="A29" s="21">
        <v>2.0</v>
      </c>
      <c r="B29" s="18" t="str">
        <f>IFERROR(__xludf.DUMMYFUNCTION("""COMPUTED_VALUE"""),"Unidad 3: Tráfico en capa 3.")</f>
        <v>Unidad 3: Tráfico en capa 3.</v>
      </c>
      <c r="C29" s="20"/>
      <c r="D29" s="18" t="str">
        <f>IFERROR(__xludf.DUMMYFUNCTION("""COMPUTED_VALUE"""),"Segmentación de Redes")</f>
        <v>Segmentación de Redes</v>
      </c>
      <c r="E29" s="20"/>
      <c r="F29" s="18" t="str">
        <f>IFERROR(__xludf.DUMMYFUNCTION("""COMPUTED_VALUE"""),"Definición y Funcionamiento de técnica VLSM.")</f>
        <v>Definición y Funcionamiento de técnica VLSM.</v>
      </c>
      <c r="G29" s="19"/>
      <c r="H29" s="20"/>
    </row>
    <row r="30" ht="15.75" customHeight="1">
      <c r="A30" s="21">
        <v>3.0</v>
      </c>
      <c r="B30" s="18" t="str">
        <f>IFERROR(__xludf.DUMMYFUNCTION("""COMPUTED_VALUE"""),"Unidad 3: Tráfico en capa 3.")</f>
        <v>Unidad 3: Tráfico en capa 3.</v>
      </c>
      <c r="C30" s="20"/>
      <c r="D30" s="18" t="str">
        <f>IFERROR(__xludf.DUMMYFUNCTION("""COMPUTED_VALUE"""),"Segmentación de Redes")</f>
        <v>Segmentación de Redes</v>
      </c>
      <c r="E30" s="20"/>
      <c r="F30" s="18" t="str">
        <f>IFERROR(__xludf.DUMMYFUNCTION("""COMPUTED_VALUE"""),"Definición y Funcionamiento de técnica FLSM.")</f>
        <v>Definición y Funcionamiento de técnica FLSM.</v>
      </c>
      <c r="G30" s="19"/>
      <c r="H30" s="20"/>
    </row>
    <row r="31" ht="15.75" customHeight="1">
      <c r="A31" s="21">
        <v>4.0</v>
      </c>
      <c r="B31" s="18" t="str">
        <f>IFERROR(__xludf.DUMMYFUNCTION("""COMPUTED_VALUE"""),"Unidad 3: Tráfico en capa 3.")</f>
        <v>Unidad 3: Tráfico en capa 3.</v>
      </c>
      <c r="C31" s="20"/>
      <c r="D31" s="18" t="str">
        <f>IFERROR(__xludf.DUMMYFUNCTION("""COMPUTED_VALUE"""),"Segmentación de Redes")</f>
        <v>Segmentación de Redes</v>
      </c>
      <c r="E31" s="20"/>
      <c r="F31" s="18" t="str">
        <f>IFERROR(__xludf.DUMMYFUNCTION("""COMPUTED_VALUE"""),"Cálculo de segmentación de redes utilizando ambas técnicas.")</f>
        <v>Cálculo de segmentación de redes utilizando ambas técnicas.</v>
      </c>
      <c r="G31" s="19"/>
      <c r="H31" s="20"/>
    </row>
    <row r="32" ht="15.75" customHeight="1">
      <c r="A32" s="21">
        <v>5.0</v>
      </c>
      <c r="B32" s="18" t="str">
        <f>IFERROR(__xludf.DUMMYFUNCTION("""COMPUTED_VALUE"""),"Unidad 4: Alta disponibilidad en redes.")</f>
        <v>Unidad 4: Alta disponibilidad en redes.</v>
      </c>
      <c r="C32" s="20"/>
      <c r="D32" s="18" t="str">
        <f>IFERROR(__xludf.DUMMYFUNCTION("""COMPUTED_VALUE"""),"Alta disponibilidad en redes")</f>
        <v>Alta disponibilidad en redes</v>
      </c>
      <c r="E32" s="20"/>
      <c r="F32" s="18" t="str">
        <f>IFERROR(__xludf.DUMMYFUNCTION("""COMPUTED_VALUE"""),"Concepto de alta disponibilidad en redes.")</f>
        <v>Concepto de alta disponibilidad en redes.</v>
      </c>
      <c r="G32" s="19"/>
      <c r="H32" s="20"/>
    </row>
    <row r="33" ht="15.75" customHeight="1">
      <c r="A33" s="21">
        <v>6.0</v>
      </c>
      <c r="B33" s="18" t="str">
        <f>IFERROR(__xludf.DUMMYFUNCTION("""COMPUTED_VALUE"""),"Unidad 4: Alta disponibilidad en redes.")</f>
        <v>Unidad 4: Alta disponibilidad en redes.</v>
      </c>
      <c r="C33" s="20"/>
      <c r="D33" s="18" t="str">
        <f>IFERROR(__xludf.DUMMYFUNCTION("""COMPUTED_VALUE"""),"Alta disponibilidad en redes")</f>
        <v>Alta disponibilidad en redes</v>
      </c>
      <c r="E33" s="20"/>
      <c r="F33" s="18" t="str">
        <f>IFERROR(__xludf.DUMMYFUNCTION("""COMPUTED_VALUE"""),"Funcionamiento y configuración de Link Aggregation Control Protocol (LACP).")</f>
        <v>Funcionamiento y configuración de Link Aggregation Control Protocol (LACP).</v>
      </c>
      <c r="G33" s="19"/>
      <c r="H33" s="20"/>
    </row>
    <row r="34" ht="15.75" customHeight="1">
      <c r="A34" s="21">
        <v>7.0</v>
      </c>
      <c r="B34" s="18" t="str">
        <f>IFERROR(__xludf.DUMMYFUNCTION("""COMPUTED_VALUE"""),"Unidad 4: Alta disponibilidad en redes.")</f>
        <v>Unidad 4: Alta disponibilidad en redes.</v>
      </c>
      <c r="C34" s="20"/>
      <c r="D34" s="18" t="str">
        <f>IFERROR(__xludf.DUMMYFUNCTION("""COMPUTED_VALUE"""),"Alta disponibilidad en redes")</f>
        <v>Alta disponibilidad en redes</v>
      </c>
      <c r="E34" s="20"/>
      <c r="F34" s="18" t="str">
        <f>IFERROR(__xludf.DUMMYFUNCTION("""COMPUTED_VALUE"""),"Beneficios de la agregación de enlaces con LACP.")</f>
        <v>Beneficios de la agregación de enlaces con LACP.</v>
      </c>
      <c r="G34" s="19"/>
      <c r="H34" s="20"/>
    </row>
    <row r="35" ht="15.75" customHeight="1">
      <c r="A35" s="53"/>
      <c r="B35" s="53" t="str">
        <f>IFERROR(__xludf.DUMMYFUNCTION("""COMPUTED_VALUE"""),"Unidad 4: Alta disponibilidad en redes.")</f>
        <v>Unidad 4: Alta disponibilidad en redes.</v>
      </c>
      <c r="C35" s="53"/>
      <c r="D35" s="53" t="str">
        <f>IFERROR(__xludf.DUMMYFUNCTION("""COMPUTED_VALUE"""),"Alta disponibilidad en redes")</f>
        <v>Alta disponibilidad en redes</v>
      </c>
      <c r="E35" s="53"/>
      <c r="F35" s="54" t="str">
        <f>IFERROR(__xludf.DUMMYFUNCTION("""COMPUTED_VALUE"""),"Funcionamiento y configuración de Port Aggregation Control Protocol (PAGP).")</f>
        <v>Funcionamiento y configuración de Port Aggregation Control Protocol (PAGP).</v>
      </c>
      <c r="G35" s="19"/>
      <c r="H35" s="20"/>
    </row>
    <row r="36" ht="15.75" customHeight="1">
      <c r="A36" s="53"/>
      <c r="B36" s="53" t="str">
        <f>IFERROR(__xludf.DUMMYFUNCTION("""COMPUTED_VALUE"""),"Unidad 4: Alta disponibilidad en redes.")</f>
        <v>Unidad 4: Alta disponibilidad en redes.</v>
      </c>
      <c r="C36" s="53"/>
      <c r="D36" s="53" t="str">
        <f>IFERROR(__xludf.DUMMYFUNCTION("""COMPUTED_VALUE"""),"Alta disponibilidad en redes")</f>
        <v>Alta disponibilidad en redes</v>
      </c>
      <c r="E36" s="53"/>
      <c r="F36" s="54" t="str">
        <f>IFERROR(__xludf.DUMMYFUNCTION("""COMPUTED_VALUE"""),"Beneficios de la agregación de enlaces con PAGP")</f>
        <v>Beneficios de la agregación de enlaces con PAGP</v>
      </c>
      <c r="G36" s="19"/>
      <c r="H36" s="20"/>
    </row>
    <row r="37" ht="15.75" customHeight="1">
      <c r="A37" s="53"/>
      <c r="B37" s="53" t="str">
        <f>IFERROR(__xludf.DUMMYFUNCTION("""COMPUTED_VALUE"""),"Unidad 4: Alta disponibilidad en redes.")</f>
        <v>Unidad 4: Alta disponibilidad en redes.</v>
      </c>
      <c r="C37" s="53"/>
      <c r="D37" s="53" t="str">
        <f>IFERROR(__xludf.DUMMYFUNCTION("""COMPUTED_VALUE"""),"Alta disponibilidad en redes")</f>
        <v>Alta disponibilidad en redes</v>
      </c>
      <c r="E37" s="53"/>
      <c r="F37" s="54" t="str">
        <f>IFERROR(__xludf.DUMMYFUNCTION("""COMPUTED_VALUE"""),"Configuración de ambos protocolos en redes locales.")</f>
        <v>Configuración de ambos protocolos en redes locales.</v>
      </c>
      <c r="G37" s="19"/>
      <c r="H37" s="20"/>
    </row>
    <row r="38" ht="15.75" customHeight="1"/>
    <row r="39" ht="15.75" customHeight="1">
      <c r="A39" s="50" t="s">
        <v>199</v>
      </c>
    </row>
    <row r="40" ht="15.75" customHeight="1">
      <c r="A40" s="5"/>
      <c r="B40" s="5"/>
      <c r="C40" s="5"/>
      <c r="D40" s="5"/>
      <c r="E40" s="5"/>
      <c r="F40" s="5"/>
      <c r="G40" s="5"/>
      <c r="H40" s="5"/>
    </row>
    <row r="41" ht="15.75" customHeight="1">
      <c r="A41" s="51" t="s">
        <v>200</v>
      </c>
      <c r="B41" s="51" t="s">
        <v>201</v>
      </c>
      <c r="C41" s="55" t="s">
        <v>202</v>
      </c>
      <c r="D41" s="56" t="s">
        <v>146</v>
      </c>
      <c r="E41" s="19"/>
      <c r="F41" s="19"/>
      <c r="G41" s="19"/>
      <c r="H41" s="20"/>
    </row>
    <row r="42" ht="15.75" customHeight="1">
      <c r="A42" s="21" t="s">
        <v>203</v>
      </c>
      <c r="B42" s="21" t="s">
        <v>204</v>
      </c>
      <c r="C42" s="21"/>
      <c r="D42" s="31">
        <v>30.0</v>
      </c>
      <c r="E42" s="19"/>
      <c r="F42" s="19"/>
      <c r="G42" s="19"/>
      <c r="H42" s="20"/>
    </row>
    <row r="43" ht="15.75" customHeight="1">
      <c r="A43" s="21" t="s">
        <v>205</v>
      </c>
      <c r="B43" s="21" t="s">
        <v>204</v>
      </c>
      <c r="C43" s="21" t="s">
        <v>206</v>
      </c>
      <c r="D43" s="31">
        <v>5.0</v>
      </c>
      <c r="E43" s="19"/>
      <c r="F43" s="19"/>
      <c r="G43" s="19"/>
      <c r="H43" s="20"/>
    </row>
    <row r="44" ht="15.75" customHeight="1">
      <c r="A44" s="21" t="s">
        <v>207</v>
      </c>
      <c r="B44" s="21" t="s">
        <v>208</v>
      </c>
      <c r="C44" s="21"/>
      <c r="D44" s="18"/>
      <c r="E44" s="19"/>
      <c r="F44" s="19"/>
      <c r="G44" s="19"/>
      <c r="H44" s="20"/>
    </row>
    <row r="45" ht="15.75" customHeight="1">
      <c r="A45" s="21" t="s">
        <v>209</v>
      </c>
      <c r="B45" s="21" t="s">
        <v>204</v>
      </c>
      <c r="C45" s="21"/>
      <c r="D45" s="31">
        <v>25.0</v>
      </c>
      <c r="E45" s="19"/>
      <c r="F45" s="19"/>
      <c r="G45" s="19"/>
      <c r="H45" s="20"/>
    </row>
    <row r="46" ht="15.75" customHeight="1"/>
    <row r="47" ht="15.75" customHeight="1">
      <c r="A47" s="41" t="s">
        <v>210</v>
      </c>
      <c r="G47" s="35" t="s">
        <v>146</v>
      </c>
      <c r="H47" s="62">
        <f>B53+B64</f>
        <v>25</v>
      </c>
    </row>
    <row r="48" ht="15.75" customHeight="1">
      <c r="G48" s="25" t="s">
        <v>211</v>
      </c>
    </row>
    <row r="49" ht="15.75" customHeight="1">
      <c r="A49" s="25" t="s">
        <v>212</v>
      </c>
    </row>
    <row r="50" ht="15.75" customHeight="1">
      <c r="A50" s="30" t="s">
        <v>213</v>
      </c>
      <c r="B50" s="31" t="s">
        <v>74</v>
      </c>
      <c r="C50" s="19"/>
      <c r="D50" s="19"/>
      <c r="E50" s="19"/>
      <c r="F50" s="19"/>
      <c r="G50" s="19"/>
      <c r="H50" s="20"/>
    </row>
    <row r="51" ht="15.75" customHeight="1">
      <c r="A51" s="30" t="s">
        <v>214</v>
      </c>
      <c r="B51" s="31" t="s">
        <v>215</v>
      </c>
      <c r="C51" s="19"/>
      <c r="D51" s="19"/>
      <c r="E51" s="19"/>
      <c r="F51" s="19"/>
      <c r="G51" s="19"/>
      <c r="H51" s="20"/>
    </row>
    <row r="52" ht="15.75" customHeight="1">
      <c r="A52" s="30" t="s">
        <v>182</v>
      </c>
      <c r="B52" s="63">
        <v>1.0</v>
      </c>
      <c r="C52" s="19"/>
      <c r="D52" s="19"/>
      <c r="E52" s="19"/>
      <c r="F52" s="19"/>
      <c r="G52" s="19"/>
      <c r="H52" s="20"/>
    </row>
    <row r="53" ht="15.75" customHeight="1">
      <c r="A53" s="30" t="s">
        <v>146</v>
      </c>
      <c r="B53" s="63">
        <v>15.0</v>
      </c>
      <c r="C53" s="19"/>
      <c r="D53" s="19"/>
      <c r="E53" s="19"/>
      <c r="F53" s="19"/>
      <c r="G53" s="19"/>
      <c r="H53" s="20"/>
    </row>
    <row r="54" ht="15.75" customHeight="1">
      <c r="A54" s="37" t="s">
        <v>216</v>
      </c>
      <c r="B54" s="5"/>
      <c r="C54" s="5"/>
      <c r="D54" s="5"/>
      <c r="E54" s="5"/>
      <c r="F54" s="5"/>
      <c r="G54" s="5"/>
      <c r="H54" s="5"/>
    </row>
    <row r="55" ht="15.75" customHeight="1">
      <c r="A55" s="43" t="s">
        <v>217</v>
      </c>
      <c r="B55" s="19"/>
      <c r="C55" s="19"/>
      <c r="D55" s="19"/>
      <c r="E55" s="19"/>
      <c r="F55" s="19"/>
      <c r="G55" s="19"/>
      <c r="H55" s="20"/>
    </row>
    <row r="56" ht="15.75" customHeight="1">
      <c r="A56" s="68" t="s">
        <v>218</v>
      </c>
      <c r="B56" s="45"/>
      <c r="C56" s="45"/>
      <c r="D56" s="45"/>
      <c r="E56" s="45"/>
      <c r="F56" s="45"/>
      <c r="G56" s="45"/>
      <c r="H56" s="46"/>
    </row>
    <row r="57" ht="15.75" customHeight="1">
      <c r="A57" s="58"/>
      <c r="H57" s="59"/>
    </row>
    <row r="58" ht="15.75" customHeight="1">
      <c r="A58" s="47"/>
      <c r="B58" s="48"/>
      <c r="C58" s="48"/>
      <c r="D58" s="48"/>
      <c r="E58" s="48"/>
      <c r="F58" s="48"/>
      <c r="G58" s="48"/>
      <c r="H58" s="49"/>
    </row>
    <row r="59" ht="15.75" customHeight="1"/>
    <row r="60" ht="15.75" customHeight="1">
      <c r="A60" s="25" t="s">
        <v>219</v>
      </c>
    </row>
    <row r="61" ht="15.75" customHeight="1">
      <c r="A61" s="30" t="s">
        <v>213</v>
      </c>
      <c r="B61" s="31" t="s">
        <v>74</v>
      </c>
      <c r="C61" s="19"/>
      <c r="D61" s="19"/>
      <c r="E61" s="19"/>
      <c r="F61" s="19"/>
      <c r="G61" s="19"/>
      <c r="H61" s="20"/>
    </row>
    <row r="62" ht="15.75" customHeight="1">
      <c r="A62" s="30" t="s">
        <v>214</v>
      </c>
      <c r="B62" s="28" t="s">
        <v>220</v>
      </c>
      <c r="C62" s="19"/>
      <c r="D62" s="19"/>
      <c r="E62" s="19"/>
      <c r="F62" s="19"/>
      <c r="G62" s="19"/>
      <c r="H62" s="20"/>
    </row>
    <row r="63" ht="15.75" customHeight="1">
      <c r="A63" s="30" t="s">
        <v>182</v>
      </c>
      <c r="B63" s="28"/>
      <c r="C63" s="19"/>
      <c r="D63" s="19"/>
      <c r="E63" s="19"/>
      <c r="F63" s="19"/>
      <c r="G63" s="19"/>
      <c r="H63" s="20"/>
    </row>
    <row r="64" ht="15.75" customHeight="1">
      <c r="A64" s="30" t="s">
        <v>146</v>
      </c>
      <c r="B64" s="67">
        <v>10.0</v>
      </c>
      <c r="C64" s="19"/>
      <c r="D64" s="19"/>
      <c r="E64" s="19"/>
      <c r="F64" s="19"/>
      <c r="G64" s="19"/>
      <c r="H64" s="20"/>
    </row>
    <row r="65" ht="15.75" customHeight="1">
      <c r="A65" s="61" t="s">
        <v>221</v>
      </c>
      <c r="B65" s="5"/>
      <c r="C65" s="5"/>
      <c r="D65" s="5"/>
      <c r="E65" s="5"/>
      <c r="F65" s="5"/>
      <c r="G65" s="5"/>
      <c r="H65" s="5"/>
    </row>
    <row r="66" ht="15.75" customHeight="1">
      <c r="A66" s="43" t="s">
        <v>217</v>
      </c>
      <c r="B66" s="19"/>
      <c r="C66" s="19"/>
      <c r="D66" s="19"/>
      <c r="E66" s="19"/>
      <c r="F66" s="19"/>
      <c r="G66" s="19"/>
      <c r="H66" s="20"/>
    </row>
    <row r="67" ht="15.75" customHeight="1">
      <c r="A67" s="44" t="s">
        <v>239</v>
      </c>
      <c r="B67" s="45"/>
      <c r="C67" s="45"/>
      <c r="D67" s="45"/>
      <c r="E67" s="45"/>
      <c r="F67" s="45"/>
      <c r="G67" s="45"/>
      <c r="H67" s="46"/>
    </row>
    <row r="68" ht="15.75" customHeight="1">
      <c r="A68" s="58"/>
      <c r="H68" s="59"/>
    </row>
    <row r="69" ht="15.75" customHeight="1">
      <c r="A69" s="47"/>
      <c r="B69" s="48"/>
      <c r="C69" s="48"/>
      <c r="D69" s="48"/>
      <c r="E69" s="48"/>
      <c r="F69" s="48"/>
      <c r="G69" s="48"/>
      <c r="H69" s="49"/>
    </row>
    <row r="70" ht="15.75" customHeight="1"/>
    <row r="71" ht="15.75" customHeight="1">
      <c r="A71" s="41" t="s">
        <v>223</v>
      </c>
      <c r="G71" s="35" t="s">
        <v>146</v>
      </c>
      <c r="H71" s="42">
        <v>10.0</v>
      </c>
    </row>
    <row r="72" ht="15.75" customHeight="1">
      <c r="G72" s="25" t="s">
        <v>224</v>
      </c>
    </row>
    <row r="73" ht="15.75" customHeight="1">
      <c r="A73" s="30" t="s">
        <v>146</v>
      </c>
      <c r="B73" s="60"/>
      <c r="C73" s="19"/>
      <c r="D73" s="19"/>
      <c r="E73" s="19"/>
      <c r="F73" s="19"/>
      <c r="G73" s="19"/>
      <c r="H73" s="20"/>
    </row>
    <row r="74" ht="15.75" customHeight="1">
      <c r="A74" s="56" t="s">
        <v>225</v>
      </c>
      <c r="B74" s="19"/>
      <c r="C74" s="19"/>
      <c r="D74" s="19"/>
      <c r="E74" s="19"/>
      <c r="F74" s="19"/>
      <c r="G74" s="19"/>
      <c r="H74" s="20"/>
    </row>
    <row r="75" ht="15.75" customHeight="1">
      <c r="A75" s="44" t="s">
        <v>226</v>
      </c>
      <c r="B75" s="45"/>
      <c r="C75" s="45"/>
      <c r="D75" s="45"/>
      <c r="E75" s="45"/>
      <c r="F75" s="45"/>
      <c r="G75" s="45"/>
      <c r="H75" s="46"/>
    </row>
    <row r="76" ht="15.75" customHeight="1">
      <c r="A76" s="47"/>
      <c r="B76" s="48"/>
      <c r="C76" s="48"/>
      <c r="D76" s="48"/>
      <c r="E76" s="48"/>
      <c r="F76" s="48"/>
      <c r="G76" s="48"/>
      <c r="H76" s="49"/>
    </row>
    <row r="77" ht="15.75" customHeight="1">
      <c r="A77" s="25" t="s">
        <v>227</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64">
    <mergeCell ref="D43:H43"/>
    <mergeCell ref="D44:H44"/>
    <mergeCell ref="D45:H45"/>
    <mergeCell ref="A47:F47"/>
    <mergeCell ref="B50:H50"/>
    <mergeCell ref="B51:H51"/>
    <mergeCell ref="B52:H52"/>
    <mergeCell ref="A66:H66"/>
    <mergeCell ref="A67:H69"/>
    <mergeCell ref="A71:F71"/>
    <mergeCell ref="B73:H73"/>
    <mergeCell ref="A74:H74"/>
    <mergeCell ref="A75:H76"/>
    <mergeCell ref="B53:H53"/>
    <mergeCell ref="A55:H55"/>
    <mergeCell ref="A56:H58"/>
    <mergeCell ref="B61:H61"/>
    <mergeCell ref="B62:H62"/>
    <mergeCell ref="B63:H63"/>
    <mergeCell ref="B64:H64"/>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F35:H35"/>
    <mergeCell ref="F36:H36"/>
    <mergeCell ref="F37:H37"/>
    <mergeCell ref="D41:H41"/>
    <mergeCell ref="D42:H42"/>
  </mergeCells>
  <dataValidations>
    <dataValidation type="list" allowBlank="1" showErrorMessage="1" sqref="B23:B24 B50 B61">
      <formula1>METADATA!$I$17:$I$40</formula1>
    </dataValidation>
    <dataValidation type="list" allowBlank="1" showErrorMessage="1" sqref="B51">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20.63"/>
    <col customWidth="1" min="8" max="8" width="18.38"/>
  </cols>
  <sheetData>
    <row r="1" ht="15.75" customHeight="1"/>
    <row r="2" ht="15.75" customHeight="1">
      <c r="B2" s="39" t="s">
        <v>181</v>
      </c>
    </row>
    <row r="3" ht="15.75" customHeight="1"/>
    <row r="4" ht="15.75" customHeight="1">
      <c r="B4" s="17" t="s">
        <v>1</v>
      </c>
      <c r="C4" s="18" t="str">
        <f>'Diseño'!C4</f>
        <v>975 - Redes de Computadoras 2</v>
      </c>
      <c r="D4" s="19"/>
      <c r="E4" s="19"/>
      <c r="F4" s="19"/>
      <c r="G4" s="20"/>
    </row>
    <row r="5" ht="15.75" customHeight="1">
      <c r="B5" s="21" t="s">
        <v>11</v>
      </c>
      <c r="C5" s="18">
        <v>6.0</v>
      </c>
      <c r="D5" s="19"/>
      <c r="E5" s="19"/>
      <c r="F5" s="19"/>
      <c r="G5" s="20"/>
    </row>
    <row r="6" ht="15.75" customHeight="1">
      <c r="B6" s="40" t="s">
        <v>144</v>
      </c>
      <c r="C6" s="18">
        <f>H10+H21+H44+H68</f>
        <v>100</v>
      </c>
      <c r="D6" s="19"/>
      <c r="E6" s="19"/>
      <c r="F6" s="19"/>
      <c r="G6" s="20"/>
      <c r="I6" s="5"/>
    </row>
    <row r="7" ht="15.75" customHeight="1">
      <c r="B7" s="40" t="s">
        <v>182</v>
      </c>
      <c r="C7" s="18">
        <f>B49+B60</f>
        <v>1</v>
      </c>
      <c r="D7" s="19"/>
      <c r="E7" s="19"/>
      <c r="F7" s="19"/>
      <c r="G7" s="20"/>
    </row>
    <row r="8" ht="15.75" customHeight="1">
      <c r="B8" s="40" t="s">
        <v>183</v>
      </c>
      <c r="C8" s="18" t="str">
        <f>IF(H44&lt;=0, "❌ ERROR: La Actividad 1 debe tener un tiempo mayor a 0.", IF(H21&gt;60, "❌ ERROR: El 'Área de Conocimiento' no puede exceder los 60 min.", IF((H10+H21+H44+H68)&lt;100, "❌ ERROR: El tiempo total debe ser de al menos 100 min.", "✅ VALIDACIÓN CORRECTA")))</f>
        <v>✅ VALIDACIÓN CORRECTA</v>
      </c>
      <c r="D8" s="19"/>
      <c r="E8" s="19"/>
      <c r="F8" s="19"/>
      <c r="G8" s="20"/>
      <c r="I8" s="5"/>
      <c r="J8" s="5"/>
      <c r="K8" s="5"/>
    </row>
    <row r="9" ht="15.75" customHeight="1"/>
    <row r="10" ht="15.75" customHeight="1">
      <c r="A10" s="41" t="s">
        <v>184</v>
      </c>
      <c r="G10" s="35" t="s">
        <v>146</v>
      </c>
      <c r="H10" s="42">
        <v>5.0</v>
      </c>
    </row>
    <row r="11" ht="15.75" customHeight="1">
      <c r="G11" s="25" t="s">
        <v>185</v>
      </c>
    </row>
    <row r="12" ht="15.75" customHeight="1">
      <c r="A12" s="30" t="s">
        <v>186</v>
      </c>
      <c r="B12" s="31" t="s">
        <v>240</v>
      </c>
      <c r="C12" s="19"/>
      <c r="D12" s="19"/>
      <c r="E12" s="19"/>
      <c r="F12" s="19"/>
      <c r="G12" s="19"/>
      <c r="H12" s="20"/>
    </row>
    <row r="13" ht="15.75" customHeight="1">
      <c r="A13" s="32" t="s">
        <v>146</v>
      </c>
      <c r="B13" s="18">
        <f>H10</f>
        <v>5</v>
      </c>
      <c r="C13" s="19"/>
      <c r="D13" s="19"/>
      <c r="E13" s="19"/>
      <c r="F13" s="19"/>
      <c r="G13" s="19"/>
      <c r="H13" s="20"/>
    </row>
    <row r="14" ht="15.75" customHeight="1">
      <c r="A14" s="43" t="s">
        <v>188</v>
      </c>
      <c r="B14" s="19"/>
      <c r="C14" s="19"/>
      <c r="D14" s="19"/>
      <c r="E14" s="19"/>
      <c r="F14" s="19"/>
      <c r="G14" s="19"/>
      <c r="H14" s="20"/>
    </row>
    <row r="15" ht="15.75" customHeight="1">
      <c r="A15" s="44" t="s">
        <v>241</v>
      </c>
      <c r="B15" s="45"/>
      <c r="C15" s="45"/>
      <c r="D15" s="45"/>
      <c r="E15" s="45"/>
      <c r="F15" s="45"/>
      <c r="G15" s="45"/>
      <c r="H15" s="46"/>
    </row>
    <row r="16" ht="15.75" customHeight="1">
      <c r="A16" s="47"/>
      <c r="B16" s="48"/>
      <c r="C16" s="48"/>
      <c r="D16" s="48"/>
      <c r="E16" s="48"/>
      <c r="F16" s="48"/>
      <c r="G16" s="48"/>
      <c r="H16" s="49"/>
    </row>
    <row r="17" ht="15.75" customHeight="1">
      <c r="A17" s="43" t="s">
        <v>190</v>
      </c>
      <c r="B17" s="19"/>
      <c r="C17" s="19"/>
      <c r="D17" s="19"/>
      <c r="E17" s="19"/>
      <c r="F17" s="19"/>
      <c r="G17" s="19"/>
      <c r="H17" s="20"/>
    </row>
    <row r="18" ht="15.75" customHeight="1">
      <c r="A18" s="44" t="s">
        <v>238</v>
      </c>
      <c r="B18" s="45"/>
      <c r="C18" s="45"/>
      <c r="D18" s="45"/>
      <c r="E18" s="45"/>
      <c r="F18" s="45"/>
      <c r="G18" s="45"/>
      <c r="H18" s="46"/>
    </row>
    <row r="19" ht="15.75" customHeight="1">
      <c r="A19" s="47"/>
      <c r="B19" s="48"/>
      <c r="C19" s="48"/>
      <c r="D19" s="48"/>
      <c r="E19" s="48"/>
      <c r="F19" s="48"/>
      <c r="G19" s="48"/>
      <c r="H19" s="49"/>
    </row>
    <row r="20" ht="15.75" customHeight="1"/>
    <row r="21" ht="15.75" customHeight="1">
      <c r="A21" s="41" t="s">
        <v>192</v>
      </c>
      <c r="G21" s="35" t="s">
        <v>146</v>
      </c>
      <c r="H21" s="62">
        <f>D39+D40+D41+D42</f>
        <v>60</v>
      </c>
      <c r="I21" s="5"/>
    </row>
    <row r="22" ht="15.75" customHeight="1">
      <c r="G22" s="25" t="s">
        <v>193</v>
      </c>
    </row>
    <row r="23" ht="15.75" customHeight="1">
      <c r="A23" s="30" t="s">
        <v>194</v>
      </c>
      <c r="B23" s="31" t="s">
        <v>138</v>
      </c>
      <c r="C23" s="19"/>
      <c r="D23" s="19"/>
      <c r="E23" s="19"/>
      <c r="F23" s="19"/>
      <c r="G23" s="19"/>
      <c r="H23" s="20"/>
    </row>
    <row r="24" ht="15.75" customHeight="1">
      <c r="A24" s="30" t="s">
        <v>194</v>
      </c>
      <c r="B24" s="31" t="s">
        <v>12</v>
      </c>
      <c r="C24" s="19"/>
      <c r="D24" s="19"/>
      <c r="E24" s="19"/>
      <c r="F24" s="19"/>
      <c r="G24" s="19"/>
      <c r="H24" s="20"/>
    </row>
    <row r="25" ht="15.75" customHeight="1"/>
    <row r="26" ht="15.75" customHeight="1">
      <c r="A26" s="50" t="s">
        <v>195</v>
      </c>
      <c r="B26" s="5"/>
      <c r="C26" s="5"/>
      <c r="D26" s="5"/>
    </row>
    <row r="27" ht="15.75" customHeight="1">
      <c r="A27" s="51" t="s">
        <v>5</v>
      </c>
      <c r="B27" s="52" t="s">
        <v>196</v>
      </c>
      <c r="C27" s="20"/>
      <c r="D27" s="52" t="s">
        <v>197</v>
      </c>
      <c r="E27" s="20"/>
      <c r="F27" s="52" t="s">
        <v>198</v>
      </c>
      <c r="G27" s="19"/>
      <c r="H27" s="20"/>
    </row>
    <row r="28" ht="15.75" customHeight="1">
      <c r="A28" s="21">
        <v>1.0</v>
      </c>
      <c r="B28" s="18" t="str">
        <f>IFERROR(__xludf.DUMMYFUNCTION("FILTER('Diseño'!D:D,'Diseño'!H:H=$C$5)"),"Unidad 5: Direccionamietno IP dinámico.")</f>
        <v>Unidad 5: Direccionamietno IP dinámico.</v>
      </c>
      <c r="C28" s="20"/>
      <c r="D28" s="18" t="str">
        <f>IFERROR(__xludf.DUMMYFUNCTION("FILTER('Diseño'!E:E,'Diseño'!H:H=$C$5)"),"Direccionamiento IP dinámico.")</f>
        <v>Direccionamiento IP dinámico.</v>
      </c>
      <c r="E28" s="20"/>
      <c r="F28" s="18" t="str">
        <f>IFERROR(__xludf.DUMMYFUNCTION("FILTER('Diseño'!F:F,'Diseño'!H:H=$C$5)"),"Definición y Funcionamiento de protocolo DHCP.")</f>
        <v>Definición y Funcionamiento de protocolo DHCP.</v>
      </c>
      <c r="G28" s="19"/>
      <c r="H28" s="20"/>
    </row>
    <row r="29" ht="15.75" customHeight="1">
      <c r="A29" s="21">
        <v>2.0</v>
      </c>
      <c r="B29" s="18" t="str">
        <f>IFERROR(__xludf.DUMMYFUNCTION("""COMPUTED_VALUE"""),"Unidad 5: Direccionamietno IP dinámico.")</f>
        <v>Unidad 5: Direccionamietno IP dinámico.</v>
      </c>
      <c r="C29" s="20"/>
      <c r="D29" s="18" t="str">
        <f>IFERROR(__xludf.DUMMYFUNCTION("""COMPUTED_VALUE"""),"Direccionamiento IP dinámico.")</f>
        <v>Direccionamiento IP dinámico.</v>
      </c>
      <c r="E29" s="20"/>
      <c r="F29" s="18" t="str">
        <f>IFERROR(__xludf.DUMMYFUNCTION("""COMPUTED_VALUE"""),"Configuración DHCP.")</f>
        <v>Configuración DHCP.</v>
      </c>
      <c r="G29" s="19"/>
      <c r="H29" s="20"/>
    </row>
    <row r="30" ht="15.75" customHeight="1">
      <c r="A30" s="21">
        <v>3.0</v>
      </c>
      <c r="B30" s="18" t="str">
        <f>IFERROR(__xludf.DUMMYFUNCTION("""COMPUTED_VALUE"""),"Unidad 5: Direccionamietno IP dinámico.")</f>
        <v>Unidad 5: Direccionamietno IP dinámico.</v>
      </c>
      <c r="C30" s="20"/>
      <c r="D30" s="18" t="str">
        <f>IFERROR(__xludf.DUMMYFUNCTION("""COMPUTED_VALUE"""),"Direccionamiento IP dinámico.")</f>
        <v>Direccionamiento IP dinámico.</v>
      </c>
      <c r="E30" s="20"/>
      <c r="F30" s="18" t="str">
        <f>IFERROR(__xludf.DUMMYFUNCTION("""COMPUTED_VALUE"""),"Proceso de asignación de direccionamiento DHCP.")</f>
        <v>Proceso de asignación de direccionamiento DHCP.</v>
      </c>
      <c r="G30" s="19"/>
      <c r="H30" s="20"/>
    </row>
    <row r="31" ht="15.75" customHeight="1">
      <c r="A31" s="21">
        <v>4.0</v>
      </c>
      <c r="B31" s="18" t="str">
        <f>IFERROR(__xludf.DUMMYFUNCTION("""COMPUTED_VALUE"""),"Unidad 5: Direccionamietno IP dinámico.")</f>
        <v>Unidad 5: Direccionamietno IP dinámico.</v>
      </c>
      <c r="C31" s="20"/>
      <c r="D31" s="18" t="str">
        <f>IFERROR(__xludf.DUMMYFUNCTION("""COMPUTED_VALUE"""),"Direccionamiento IP dinámico.")</f>
        <v>Direccionamiento IP dinámico.</v>
      </c>
      <c r="E31" s="20"/>
      <c r="F31" s="18" t="str">
        <f>IFERROR(__xludf.DUMMYFUNCTION("""COMPUTED_VALUE"""),"Configuración de protocolo DCHP en redes LAN y WAN.")</f>
        <v>Configuración de protocolo DCHP en redes LAN y WAN.</v>
      </c>
      <c r="G31" s="19"/>
      <c r="H31" s="20"/>
    </row>
    <row r="32" ht="15.75" customHeight="1">
      <c r="A32" s="21">
        <v>5.0</v>
      </c>
      <c r="B32" s="18" t="str">
        <f>IFERROR(__xludf.DUMMYFUNCTION("""COMPUTED_VALUE"""),"Unidad 1: Arquitectura de redes. ")</f>
        <v>Unidad 1: Arquitectura de redes. </v>
      </c>
      <c r="C32" s="20"/>
      <c r="D32" s="18" t="str">
        <f>IFERROR(__xludf.DUMMYFUNCTION("""COMPUTED_VALUE"""),"Arquitectura de redes")</f>
        <v>Arquitectura de redes</v>
      </c>
      <c r="E32" s="20"/>
      <c r="F32" s="18" t="str">
        <f>IFERROR(__xludf.DUMMYFUNCTION("""COMPUTED_VALUE"""),"Definición de modelo jerárquico de Cisco.")</f>
        <v>Definición de modelo jerárquico de Cisco.</v>
      </c>
      <c r="G32" s="19"/>
      <c r="H32" s="20"/>
    </row>
    <row r="33" ht="15.75" customHeight="1">
      <c r="A33" s="21">
        <v>6.0</v>
      </c>
      <c r="B33" s="18" t="str">
        <f>IFERROR(__xludf.DUMMYFUNCTION("""COMPUTED_VALUE"""),"Unidad 1: Arquitectura de redes. ")</f>
        <v>Unidad 1: Arquitectura de redes. </v>
      </c>
      <c r="C33" s="20"/>
      <c r="D33" s="18" t="str">
        <f>IFERROR(__xludf.DUMMYFUNCTION("""COMPUTED_VALUE"""),"Arquitectura de redes")</f>
        <v>Arquitectura de redes</v>
      </c>
      <c r="E33" s="20"/>
      <c r="F33" s="18" t="str">
        <f>IFERROR(__xludf.DUMMYFUNCTION("""COMPUTED_VALUE"""),"Diferencias clave entre capas de modelo jerárquico.")</f>
        <v>Diferencias clave entre capas de modelo jerárquico.</v>
      </c>
      <c r="G33" s="19"/>
      <c r="H33" s="20"/>
    </row>
    <row r="34" ht="15.75" customHeight="1">
      <c r="A34" s="21">
        <v>7.0</v>
      </c>
      <c r="B34" s="18" t="str">
        <f>IFERROR(__xludf.DUMMYFUNCTION("""COMPUTED_VALUE"""),"Unidad 1: Arquitectura de redes. ")</f>
        <v>Unidad 1: Arquitectura de redes. </v>
      </c>
      <c r="C34" s="20"/>
      <c r="D34" s="18" t="str">
        <f>IFERROR(__xludf.DUMMYFUNCTION("""COMPUTED_VALUE"""),"Arquitectura de redes")</f>
        <v>Arquitectura de redes</v>
      </c>
      <c r="E34" s="20"/>
      <c r="F34" s="18" t="str">
        <f>IFERROR(__xludf.DUMMYFUNCTION("""COMPUTED_VALUE"""),"Diseño de redes implementando el modelo jerárquico.")</f>
        <v>Diseño de redes implementando el modelo jerárquico.</v>
      </c>
      <c r="G34" s="19"/>
      <c r="H34" s="20"/>
    </row>
    <row r="35" ht="15.75" customHeight="1"/>
    <row r="36" ht="15.75" customHeight="1">
      <c r="A36" s="50" t="s">
        <v>199</v>
      </c>
    </row>
    <row r="37" ht="15.75" customHeight="1">
      <c r="A37" s="5"/>
      <c r="B37" s="5"/>
      <c r="C37" s="5"/>
      <c r="D37" s="5"/>
      <c r="E37" s="5"/>
      <c r="F37" s="5"/>
      <c r="G37" s="5"/>
      <c r="H37" s="5"/>
    </row>
    <row r="38" ht="15.75" customHeight="1">
      <c r="A38" s="51" t="s">
        <v>200</v>
      </c>
      <c r="B38" s="51" t="s">
        <v>201</v>
      </c>
      <c r="C38" s="55" t="s">
        <v>202</v>
      </c>
      <c r="D38" s="56" t="s">
        <v>146</v>
      </c>
      <c r="E38" s="19"/>
      <c r="F38" s="19"/>
      <c r="G38" s="19"/>
      <c r="H38" s="20"/>
    </row>
    <row r="39" ht="15.75" customHeight="1">
      <c r="A39" s="21" t="s">
        <v>203</v>
      </c>
      <c r="B39" s="21" t="s">
        <v>204</v>
      </c>
      <c r="C39" s="21"/>
      <c r="D39" s="31">
        <v>30.0</v>
      </c>
      <c r="E39" s="19"/>
      <c r="F39" s="19"/>
      <c r="G39" s="19"/>
      <c r="H39" s="20"/>
    </row>
    <row r="40" ht="15.75" customHeight="1">
      <c r="A40" s="21" t="s">
        <v>205</v>
      </c>
      <c r="B40" s="21" t="s">
        <v>204</v>
      </c>
      <c r="C40" s="21" t="s">
        <v>206</v>
      </c>
      <c r="D40" s="31">
        <v>5.0</v>
      </c>
      <c r="E40" s="19"/>
      <c r="F40" s="19"/>
      <c r="G40" s="19"/>
      <c r="H40" s="20"/>
    </row>
    <row r="41" ht="15.75" customHeight="1">
      <c r="A41" s="21" t="s">
        <v>207</v>
      </c>
      <c r="B41" s="21" t="s">
        <v>208</v>
      </c>
      <c r="C41" s="21"/>
      <c r="D41" s="18"/>
      <c r="E41" s="19"/>
      <c r="F41" s="19"/>
      <c r="G41" s="19"/>
      <c r="H41" s="20"/>
    </row>
    <row r="42" ht="15.75" customHeight="1">
      <c r="A42" s="21" t="s">
        <v>209</v>
      </c>
      <c r="B42" s="21" t="s">
        <v>204</v>
      </c>
      <c r="C42" s="21"/>
      <c r="D42" s="31">
        <v>25.0</v>
      </c>
      <c r="E42" s="19"/>
      <c r="F42" s="19"/>
      <c r="G42" s="19"/>
      <c r="H42" s="20"/>
    </row>
    <row r="43" ht="15.75" customHeight="1"/>
    <row r="44" ht="15.75" customHeight="1">
      <c r="A44" s="41" t="s">
        <v>210</v>
      </c>
      <c r="G44" s="35" t="s">
        <v>146</v>
      </c>
      <c r="H44" s="62">
        <f>B50+B61</f>
        <v>25</v>
      </c>
    </row>
    <row r="45" ht="15.75" customHeight="1">
      <c r="G45" s="25" t="s">
        <v>211</v>
      </c>
    </row>
    <row r="46" ht="15.75" customHeight="1">
      <c r="A46" s="25" t="s">
        <v>212</v>
      </c>
    </row>
    <row r="47">
      <c r="A47" s="30" t="s">
        <v>213</v>
      </c>
      <c r="B47" s="31" t="s">
        <v>138</v>
      </c>
      <c r="C47" s="19"/>
      <c r="D47" s="19"/>
      <c r="E47" s="19"/>
      <c r="F47" s="19"/>
      <c r="G47" s="19"/>
      <c r="H47" s="20"/>
    </row>
    <row r="48" ht="15.75" customHeight="1">
      <c r="A48" s="30" t="s">
        <v>214</v>
      </c>
      <c r="B48" s="31" t="s">
        <v>215</v>
      </c>
      <c r="C48" s="19"/>
      <c r="D48" s="19"/>
      <c r="E48" s="19"/>
      <c r="F48" s="19"/>
      <c r="G48" s="19"/>
      <c r="H48" s="20"/>
    </row>
    <row r="49" ht="15.75" customHeight="1">
      <c r="A49" s="30" t="s">
        <v>182</v>
      </c>
      <c r="B49" s="67">
        <v>1.0</v>
      </c>
      <c r="C49" s="19"/>
      <c r="D49" s="19"/>
      <c r="E49" s="19"/>
      <c r="F49" s="19"/>
      <c r="G49" s="19"/>
      <c r="H49" s="20"/>
    </row>
    <row r="50" ht="15.75" customHeight="1">
      <c r="A50" s="30" t="s">
        <v>146</v>
      </c>
      <c r="B50" s="63">
        <v>15.0</v>
      </c>
      <c r="C50" s="19"/>
      <c r="D50" s="19"/>
      <c r="E50" s="19"/>
      <c r="F50" s="19"/>
      <c r="G50" s="19"/>
      <c r="H50" s="20"/>
    </row>
    <row r="51" ht="15.75" customHeight="1">
      <c r="A51" s="37" t="s">
        <v>216</v>
      </c>
      <c r="B51" s="5"/>
      <c r="C51" s="5"/>
      <c r="D51" s="5"/>
      <c r="E51" s="5"/>
      <c r="F51" s="5"/>
      <c r="G51" s="5"/>
      <c r="H51" s="5"/>
    </row>
    <row r="52" ht="15.75" customHeight="1">
      <c r="A52" s="43" t="s">
        <v>217</v>
      </c>
      <c r="B52" s="19"/>
      <c r="C52" s="19"/>
      <c r="D52" s="19"/>
      <c r="E52" s="19"/>
      <c r="F52" s="19"/>
      <c r="G52" s="19"/>
      <c r="H52" s="20"/>
    </row>
    <row r="53" ht="15.75" customHeight="1">
      <c r="A53" s="64" t="s">
        <v>218</v>
      </c>
      <c r="B53" s="45"/>
      <c r="C53" s="45"/>
      <c r="D53" s="45"/>
      <c r="E53" s="45"/>
      <c r="F53" s="45"/>
      <c r="G53" s="45"/>
      <c r="H53" s="46"/>
    </row>
    <row r="54" ht="15.75" customHeight="1">
      <c r="A54" s="58"/>
      <c r="H54" s="59"/>
    </row>
    <row r="55" ht="15.75" customHeight="1">
      <c r="A55" s="47"/>
      <c r="B55" s="48"/>
      <c r="C55" s="48"/>
      <c r="D55" s="48"/>
      <c r="E55" s="48"/>
      <c r="F55" s="48"/>
      <c r="G55" s="48"/>
      <c r="H55" s="49"/>
    </row>
    <row r="56" ht="15.75" customHeight="1"/>
    <row r="57" ht="15.75" customHeight="1">
      <c r="A57" s="25" t="s">
        <v>219</v>
      </c>
    </row>
    <row r="58" ht="15.75" customHeight="1">
      <c r="A58" s="30" t="s">
        <v>213</v>
      </c>
      <c r="B58" s="31" t="s">
        <v>138</v>
      </c>
      <c r="C58" s="19"/>
      <c r="D58" s="19"/>
      <c r="E58" s="19"/>
      <c r="F58" s="19"/>
      <c r="G58" s="19"/>
      <c r="H58" s="20"/>
    </row>
    <row r="59" ht="15.75" customHeight="1">
      <c r="A59" s="30" t="s">
        <v>214</v>
      </c>
      <c r="B59" s="28" t="s">
        <v>220</v>
      </c>
      <c r="C59" s="19"/>
      <c r="D59" s="19"/>
      <c r="E59" s="19"/>
      <c r="F59" s="19"/>
      <c r="G59" s="19"/>
      <c r="H59" s="20"/>
    </row>
    <row r="60" ht="15.75" customHeight="1">
      <c r="A60" s="30" t="s">
        <v>182</v>
      </c>
      <c r="B60" s="28"/>
      <c r="C60" s="19"/>
      <c r="D60" s="19"/>
      <c r="E60" s="19"/>
      <c r="F60" s="19"/>
      <c r="G60" s="19"/>
      <c r="H60" s="20"/>
    </row>
    <row r="61" ht="15.75" customHeight="1">
      <c r="A61" s="30" t="s">
        <v>146</v>
      </c>
      <c r="B61" s="67">
        <v>10.0</v>
      </c>
      <c r="C61" s="19"/>
      <c r="D61" s="19"/>
      <c r="E61" s="19"/>
      <c r="F61" s="19"/>
      <c r="G61" s="19"/>
      <c r="H61" s="20"/>
    </row>
    <row r="62" ht="15.75" customHeight="1">
      <c r="A62" s="61" t="s">
        <v>221</v>
      </c>
      <c r="B62" s="5"/>
      <c r="C62" s="5"/>
      <c r="D62" s="5"/>
      <c r="E62" s="5"/>
      <c r="F62" s="5"/>
      <c r="G62" s="5"/>
      <c r="H62" s="5"/>
    </row>
    <row r="63" ht="15.75" customHeight="1">
      <c r="A63" s="43" t="s">
        <v>217</v>
      </c>
      <c r="B63" s="19"/>
      <c r="C63" s="19"/>
      <c r="D63" s="19"/>
      <c r="E63" s="19"/>
      <c r="F63" s="19"/>
      <c r="G63" s="19"/>
      <c r="H63" s="20"/>
    </row>
    <row r="64" ht="15.75" customHeight="1">
      <c r="A64" s="44" t="s">
        <v>242</v>
      </c>
      <c r="B64" s="45"/>
      <c r="C64" s="45"/>
      <c r="D64" s="45"/>
      <c r="E64" s="45"/>
      <c r="F64" s="45"/>
      <c r="G64" s="45"/>
      <c r="H64" s="46"/>
    </row>
    <row r="65" ht="15.75" customHeight="1">
      <c r="A65" s="58"/>
      <c r="H65" s="59"/>
    </row>
    <row r="66" ht="15.75" customHeight="1">
      <c r="A66" s="47"/>
      <c r="B66" s="48"/>
      <c r="C66" s="48"/>
      <c r="D66" s="48"/>
      <c r="E66" s="48"/>
      <c r="F66" s="48"/>
      <c r="G66" s="48"/>
      <c r="H66" s="49"/>
    </row>
    <row r="67" ht="15.75" customHeight="1"/>
    <row r="68" ht="15.75" customHeight="1">
      <c r="A68" s="41" t="s">
        <v>223</v>
      </c>
      <c r="G68" s="35" t="s">
        <v>146</v>
      </c>
      <c r="H68" s="42">
        <v>10.0</v>
      </c>
    </row>
    <row r="69" ht="15.75" customHeight="1">
      <c r="G69" s="25" t="s">
        <v>224</v>
      </c>
    </row>
    <row r="70" ht="15.75" customHeight="1">
      <c r="A70" s="30" t="s">
        <v>146</v>
      </c>
      <c r="B70" s="66">
        <v>10.0</v>
      </c>
      <c r="C70" s="19"/>
      <c r="D70" s="19"/>
      <c r="E70" s="19"/>
      <c r="F70" s="19"/>
      <c r="G70" s="19"/>
      <c r="H70" s="20"/>
    </row>
    <row r="71" ht="15.75" customHeight="1">
      <c r="A71" s="56" t="s">
        <v>225</v>
      </c>
      <c r="B71" s="19"/>
      <c r="C71" s="19"/>
      <c r="D71" s="19"/>
      <c r="E71" s="19"/>
      <c r="F71" s="19"/>
      <c r="G71" s="19"/>
      <c r="H71" s="20"/>
    </row>
    <row r="72" ht="15.75" customHeight="1">
      <c r="A72" s="44" t="s">
        <v>226</v>
      </c>
      <c r="B72" s="45"/>
      <c r="C72" s="45"/>
      <c r="D72" s="45"/>
      <c r="E72" s="45"/>
      <c r="F72" s="45"/>
      <c r="G72" s="45"/>
      <c r="H72" s="46"/>
    </row>
    <row r="73" ht="15.75" customHeight="1">
      <c r="A73" s="47"/>
      <c r="B73" s="48"/>
      <c r="C73" s="48"/>
      <c r="D73" s="48"/>
      <c r="E73" s="48"/>
      <c r="F73" s="48"/>
      <c r="G73" s="48"/>
      <c r="H73" s="49"/>
    </row>
    <row r="74" ht="15.75" customHeight="1">
      <c r="A74" s="25" t="s">
        <v>227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8" max="8" width="20.88"/>
  </cols>
  <sheetData>
    <row r="1" ht="15.75" customHeight="1"/>
    <row r="2" ht="15.75" customHeight="1">
      <c r="B2" s="39" t="s">
        <v>181</v>
      </c>
    </row>
    <row r="3" ht="15.75" customHeight="1"/>
    <row r="4" ht="15.75" customHeight="1">
      <c r="B4" s="17" t="s">
        <v>1</v>
      </c>
      <c r="C4" s="18" t="str">
        <f>'Diseño'!C4</f>
        <v>975 - Redes de Computadoras 2</v>
      </c>
      <c r="D4" s="19"/>
      <c r="E4" s="19"/>
      <c r="F4" s="19"/>
      <c r="G4" s="20"/>
    </row>
    <row r="5" ht="15.75" customHeight="1">
      <c r="B5" s="21" t="s">
        <v>11</v>
      </c>
      <c r="C5" s="18">
        <v>7.0</v>
      </c>
      <c r="D5" s="19"/>
      <c r="E5" s="19"/>
      <c r="F5" s="19"/>
      <c r="G5" s="20"/>
    </row>
    <row r="6" ht="15.75" customHeight="1">
      <c r="B6" s="40" t="s">
        <v>144</v>
      </c>
      <c r="C6" s="18">
        <f>H10+H21+H44+H68</f>
        <v>100</v>
      </c>
      <c r="D6" s="19"/>
      <c r="E6" s="19"/>
      <c r="F6" s="19"/>
      <c r="G6" s="20"/>
      <c r="I6" s="5"/>
    </row>
    <row r="7" ht="15.75" customHeight="1">
      <c r="B7" s="40" t="s">
        <v>182</v>
      </c>
      <c r="C7" s="18">
        <f>B49+B60</f>
        <v>1</v>
      </c>
      <c r="D7" s="19"/>
      <c r="E7" s="19"/>
      <c r="F7" s="19"/>
      <c r="G7" s="20"/>
    </row>
    <row r="8" ht="15.75" customHeight="1">
      <c r="B8" s="40" t="s">
        <v>183</v>
      </c>
      <c r="C8" s="18" t="str">
        <f>IF(H44&lt;=0, "❌ ERROR: La Actividad 1 debe tener un tiempo mayor a 0.", IF(H21&gt;60, "❌ ERROR: El 'Área de Conocimiento' no puede exceder los 60 min.", IF((H10+H21+H44+H68)&lt;100, "❌ ERROR: El tiempo total debe ser de al menos 100 min.", "✅ VALIDACIÓN CORRECTA")))</f>
        <v>✅ VALIDACIÓN CORRECTA</v>
      </c>
      <c r="D8" s="19"/>
      <c r="E8" s="19"/>
      <c r="F8" s="19"/>
      <c r="G8" s="20"/>
      <c r="I8" s="5"/>
      <c r="J8" s="5"/>
      <c r="K8" s="5"/>
    </row>
    <row r="9" ht="15.75" customHeight="1"/>
    <row r="10" ht="15.75" customHeight="1">
      <c r="A10" s="41" t="s">
        <v>184</v>
      </c>
      <c r="G10" s="35" t="s">
        <v>146</v>
      </c>
      <c r="H10" s="42">
        <v>5.0</v>
      </c>
    </row>
    <row r="11" ht="15.75" customHeight="1">
      <c r="G11" s="25" t="s">
        <v>185</v>
      </c>
    </row>
    <row r="12" ht="15.75" customHeight="1">
      <c r="A12" s="30" t="s">
        <v>186</v>
      </c>
      <c r="B12" s="31" t="s">
        <v>243</v>
      </c>
      <c r="C12" s="19"/>
      <c r="D12" s="19"/>
      <c r="E12" s="19"/>
      <c r="F12" s="19"/>
      <c r="G12" s="19"/>
      <c r="H12" s="20"/>
    </row>
    <row r="13" ht="15.75" customHeight="1">
      <c r="A13" s="32" t="s">
        <v>146</v>
      </c>
      <c r="B13" s="18">
        <f>H10</f>
        <v>5</v>
      </c>
      <c r="C13" s="19"/>
      <c r="D13" s="19"/>
      <c r="E13" s="19"/>
      <c r="F13" s="19"/>
      <c r="G13" s="19"/>
      <c r="H13" s="20"/>
    </row>
    <row r="14" ht="15.75" customHeight="1">
      <c r="A14" s="43" t="s">
        <v>188</v>
      </c>
      <c r="B14" s="19"/>
      <c r="C14" s="19"/>
      <c r="D14" s="19"/>
      <c r="E14" s="19"/>
      <c r="F14" s="19"/>
      <c r="G14" s="19"/>
      <c r="H14" s="20"/>
    </row>
    <row r="15" ht="15.75" customHeight="1">
      <c r="A15" s="44" t="s">
        <v>244</v>
      </c>
      <c r="B15" s="45"/>
      <c r="C15" s="45"/>
      <c r="D15" s="45"/>
      <c r="E15" s="45"/>
      <c r="F15" s="45"/>
      <c r="G15" s="45"/>
      <c r="H15" s="46"/>
    </row>
    <row r="16" ht="15.75" customHeight="1">
      <c r="A16" s="47"/>
      <c r="B16" s="48"/>
      <c r="C16" s="48"/>
      <c r="D16" s="48"/>
      <c r="E16" s="48"/>
      <c r="F16" s="48"/>
      <c r="G16" s="48"/>
      <c r="H16" s="49"/>
    </row>
    <row r="17" ht="15.75" customHeight="1">
      <c r="A17" s="43" t="s">
        <v>190</v>
      </c>
      <c r="B17" s="19"/>
      <c r="C17" s="19"/>
      <c r="D17" s="19"/>
      <c r="E17" s="19"/>
      <c r="F17" s="19"/>
      <c r="G17" s="19"/>
      <c r="H17" s="20"/>
    </row>
    <row r="18" ht="15.75" customHeight="1">
      <c r="A18" s="44" t="s">
        <v>245</v>
      </c>
      <c r="B18" s="45"/>
      <c r="C18" s="45"/>
      <c r="D18" s="45"/>
      <c r="E18" s="45"/>
      <c r="F18" s="45"/>
      <c r="G18" s="45"/>
      <c r="H18" s="46"/>
    </row>
    <row r="19" ht="15.75" customHeight="1">
      <c r="A19" s="47"/>
      <c r="B19" s="48"/>
      <c r="C19" s="48"/>
      <c r="D19" s="48"/>
      <c r="E19" s="48"/>
      <c r="F19" s="48"/>
      <c r="G19" s="48"/>
      <c r="H19" s="49"/>
    </row>
    <row r="20" ht="15.75" customHeight="1"/>
    <row r="21" ht="15.75" customHeight="1">
      <c r="A21" s="41" t="s">
        <v>192</v>
      </c>
      <c r="G21" s="35" t="s">
        <v>146</v>
      </c>
      <c r="H21" s="62">
        <f>D39+D40+D41+D42</f>
        <v>60</v>
      </c>
      <c r="I21" s="5"/>
    </row>
    <row r="22" ht="15.75" customHeight="1">
      <c r="G22" s="25" t="s">
        <v>193</v>
      </c>
    </row>
    <row r="23" ht="15.75" customHeight="1">
      <c r="A23" s="30" t="s">
        <v>194</v>
      </c>
      <c r="B23" s="31" t="s">
        <v>37</v>
      </c>
      <c r="C23" s="19"/>
      <c r="D23" s="19"/>
      <c r="E23" s="19"/>
      <c r="F23" s="19"/>
      <c r="G23" s="19"/>
      <c r="H23" s="20"/>
    </row>
    <row r="24" ht="15.75" customHeight="1">
      <c r="A24" s="30" t="s">
        <v>194</v>
      </c>
      <c r="B24" s="31" t="s">
        <v>12</v>
      </c>
      <c r="C24" s="19"/>
      <c r="D24" s="19"/>
      <c r="E24" s="19"/>
      <c r="F24" s="19"/>
      <c r="G24" s="19"/>
      <c r="H24" s="20"/>
    </row>
    <row r="25" ht="15.75" customHeight="1"/>
    <row r="26" ht="15.75" customHeight="1">
      <c r="A26" s="50" t="s">
        <v>195</v>
      </c>
      <c r="B26" s="5"/>
      <c r="C26" s="5"/>
      <c r="D26" s="5"/>
    </row>
    <row r="27" ht="15.75" customHeight="1">
      <c r="A27" s="51" t="s">
        <v>5</v>
      </c>
      <c r="B27" s="52" t="s">
        <v>196</v>
      </c>
      <c r="C27" s="20"/>
      <c r="D27" s="52" t="s">
        <v>197</v>
      </c>
      <c r="E27" s="20"/>
      <c r="F27" s="52" t="s">
        <v>198</v>
      </c>
      <c r="G27" s="19"/>
      <c r="H27" s="20"/>
    </row>
    <row r="28" ht="15.75" customHeight="1">
      <c r="A28" s="21">
        <v>1.0</v>
      </c>
      <c r="B28" s="18" t="str">
        <f>IFERROR(__xludf.DUMMYFUNCTION("FILTER('Diseño'!D:D,'Diseño'!H:H=$C$5)"),"Unidad 3: Tráfico en capa 3.")</f>
        <v>Unidad 3: Tráfico en capa 3.</v>
      </c>
      <c r="C28" s="20"/>
      <c r="D28" s="18" t="str">
        <f>IFERROR(__xludf.DUMMYFUNCTION("FILTER('Diseño'!E:E,'Diseño'!H:H=$C$5)"),"Seguridad en capa 3")</f>
        <v>Seguridad en capa 3</v>
      </c>
      <c r="E28" s="20"/>
      <c r="F28" s="18" t="str">
        <f>IFERROR(__xludf.DUMMYFUNCTION("FILTER('Diseño'!F:F,'Diseño'!H:H=$C$5)"),"Definicion de Listas de Control de Acceso.")</f>
        <v>Definicion de Listas de Control de Acceso.</v>
      </c>
      <c r="G28" s="19"/>
      <c r="H28" s="20"/>
    </row>
    <row r="29" ht="15.75" customHeight="1">
      <c r="A29" s="21">
        <v>2.0</v>
      </c>
      <c r="B29" s="18" t="str">
        <f>IFERROR(__xludf.DUMMYFUNCTION("""COMPUTED_VALUE"""),"Unidad 3: Tráfico en capa 3.")</f>
        <v>Unidad 3: Tráfico en capa 3.</v>
      </c>
      <c r="C29" s="20"/>
      <c r="D29" s="18" t="str">
        <f>IFERROR(__xludf.DUMMYFUNCTION("""COMPUTED_VALUE"""),"Seguridad en capa 3")</f>
        <v>Seguridad en capa 3</v>
      </c>
      <c r="E29" s="20"/>
      <c r="F29" s="18" t="str">
        <f>IFERROR(__xludf.DUMMYFUNCTION("""COMPUTED_VALUE"""),"Reglas de direccionamiento de tráfico de entrada y salida.")</f>
        <v>Reglas de direccionamiento de tráfico de entrada y salida.</v>
      </c>
      <c r="G29" s="19"/>
      <c r="H29" s="20"/>
    </row>
    <row r="30" ht="15.75" customHeight="1">
      <c r="A30" s="21">
        <v>3.0</v>
      </c>
      <c r="B30" s="18" t="str">
        <f>IFERROR(__xludf.DUMMYFUNCTION("""COMPUTED_VALUE"""),"Unidad 3: Tráfico en capa 3.")</f>
        <v>Unidad 3: Tráfico en capa 3.</v>
      </c>
      <c r="C30" s="20"/>
      <c r="D30" s="18" t="str">
        <f>IFERROR(__xludf.DUMMYFUNCTION("""COMPUTED_VALUE"""),"Seguridad en capa 3")</f>
        <v>Seguridad en capa 3</v>
      </c>
      <c r="E30" s="20"/>
      <c r="F30" s="18" t="str">
        <f>IFERROR(__xludf.DUMMYFUNCTION("""COMPUTED_VALUE"""),"Listas de Control de Acceso estándar")</f>
        <v>Listas de Control de Acceso estándar</v>
      </c>
      <c r="G30" s="19"/>
      <c r="H30" s="20"/>
    </row>
    <row r="31" ht="15.75" customHeight="1">
      <c r="A31" s="21">
        <v>4.0</v>
      </c>
      <c r="B31" s="18" t="str">
        <f>IFERROR(__xludf.DUMMYFUNCTION("""COMPUTED_VALUE"""),"Unidad 3: Tráfico en capa 3.")</f>
        <v>Unidad 3: Tráfico en capa 3.</v>
      </c>
      <c r="C31" s="20"/>
      <c r="D31" s="18" t="str">
        <f>IFERROR(__xludf.DUMMYFUNCTION("""COMPUTED_VALUE"""),"Seguridad en capa 3")</f>
        <v>Seguridad en capa 3</v>
      </c>
      <c r="E31" s="20"/>
      <c r="F31" s="18" t="str">
        <f>IFERROR(__xludf.DUMMYFUNCTION("""COMPUTED_VALUE"""),"Listas de control de acceso extendidas")</f>
        <v>Listas de control de acceso extendidas</v>
      </c>
      <c r="G31" s="19"/>
      <c r="H31" s="20"/>
    </row>
    <row r="32" ht="15.75" customHeight="1">
      <c r="A32" s="21">
        <v>5.0</v>
      </c>
      <c r="B32" s="18" t="str">
        <f>IFERROR(__xludf.DUMMYFUNCTION("""COMPUTED_VALUE"""),"Unidad 3: Tráfico en capa 3.")</f>
        <v>Unidad 3: Tráfico en capa 3.</v>
      </c>
      <c r="C32" s="20"/>
      <c r="D32" s="18" t="str">
        <f>IFERROR(__xludf.DUMMYFUNCTION("""COMPUTED_VALUE"""),"Seguridad en capa 3")</f>
        <v>Seguridad en capa 3</v>
      </c>
      <c r="E32" s="20"/>
      <c r="F32" s="18" t="str">
        <f>IFERROR(__xludf.DUMMYFUNCTION("""COMPUTED_VALUE"""),"Reglas de tráfico entre puertos ")</f>
        <v>Reglas de tráfico entre puertos </v>
      </c>
      <c r="G32" s="19"/>
      <c r="H32" s="20"/>
    </row>
    <row r="33" ht="15.75" customHeight="1">
      <c r="A33" s="21">
        <v>6.0</v>
      </c>
      <c r="B33" s="18" t="str">
        <f>IFERROR(__xludf.DUMMYFUNCTION("""COMPUTED_VALUE"""),"Unidad 3: Tráfico en capa 3.")</f>
        <v>Unidad 3: Tráfico en capa 3.</v>
      </c>
      <c r="C33" s="20"/>
      <c r="D33" s="18" t="str">
        <f>IFERROR(__xludf.DUMMYFUNCTION("""COMPUTED_VALUE"""),"Seguridad en capa 3")</f>
        <v>Seguridad en capa 3</v>
      </c>
      <c r="E33" s="20"/>
      <c r="F33" s="18" t="str">
        <f>IFERROR(__xludf.DUMMYFUNCTION("""COMPUTED_VALUE"""),"Configuración de ACL en prácticas de Cisco Packet Tracer.")</f>
        <v>Configuración de ACL en prácticas de Cisco Packet Tracer.</v>
      </c>
      <c r="G33" s="19"/>
      <c r="H33" s="20"/>
    </row>
    <row r="34" ht="15.75" customHeight="1">
      <c r="A34" s="21">
        <v>7.0</v>
      </c>
      <c r="B34" s="18"/>
      <c r="C34" s="20"/>
      <c r="D34" s="18"/>
      <c r="E34" s="20"/>
      <c r="F34" s="18"/>
      <c r="G34" s="19"/>
      <c r="H34" s="20"/>
    </row>
    <row r="35" ht="15.75" customHeight="1"/>
    <row r="36" ht="15.75" customHeight="1">
      <c r="A36" s="50" t="s">
        <v>199</v>
      </c>
    </row>
    <row r="37" ht="15.75" customHeight="1">
      <c r="A37" s="5"/>
      <c r="B37" s="5"/>
      <c r="C37" s="5"/>
      <c r="D37" s="5"/>
      <c r="E37" s="5"/>
      <c r="F37" s="5"/>
      <c r="G37" s="5"/>
      <c r="H37" s="5"/>
    </row>
    <row r="38" ht="15.75" customHeight="1">
      <c r="A38" s="51" t="s">
        <v>200</v>
      </c>
      <c r="B38" s="51" t="s">
        <v>201</v>
      </c>
      <c r="C38" s="55" t="s">
        <v>202</v>
      </c>
      <c r="D38" s="56" t="s">
        <v>146</v>
      </c>
      <c r="E38" s="19"/>
      <c r="F38" s="19"/>
      <c r="G38" s="19"/>
      <c r="H38" s="20"/>
    </row>
    <row r="39" ht="15.75" customHeight="1">
      <c r="A39" s="21" t="s">
        <v>203</v>
      </c>
      <c r="B39" s="21" t="s">
        <v>204</v>
      </c>
      <c r="C39" s="21"/>
      <c r="D39" s="31">
        <v>30.0</v>
      </c>
      <c r="E39" s="19"/>
      <c r="F39" s="19"/>
      <c r="G39" s="19"/>
      <c r="H39" s="20"/>
    </row>
    <row r="40" ht="15.75" customHeight="1">
      <c r="A40" s="21" t="s">
        <v>205</v>
      </c>
      <c r="B40" s="21" t="s">
        <v>204</v>
      </c>
      <c r="C40" s="21" t="s">
        <v>206</v>
      </c>
      <c r="D40" s="31">
        <v>5.0</v>
      </c>
      <c r="E40" s="19"/>
      <c r="F40" s="19"/>
      <c r="G40" s="19"/>
      <c r="H40" s="20"/>
    </row>
    <row r="41" ht="15.75" customHeight="1">
      <c r="A41" s="21" t="s">
        <v>207</v>
      </c>
      <c r="B41" s="21" t="s">
        <v>208</v>
      </c>
      <c r="C41" s="21"/>
      <c r="D41" s="18"/>
      <c r="E41" s="19"/>
      <c r="F41" s="19"/>
      <c r="G41" s="19"/>
      <c r="H41" s="20"/>
    </row>
    <row r="42" ht="15.75" customHeight="1">
      <c r="A42" s="21" t="s">
        <v>209</v>
      </c>
      <c r="B42" s="21" t="s">
        <v>204</v>
      </c>
      <c r="C42" s="21"/>
      <c r="D42" s="31">
        <v>25.0</v>
      </c>
      <c r="E42" s="19"/>
      <c r="F42" s="19"/>
      <c r="G42" s="19"/>
      <c r="H42" s="20"/>
    </row>
    <row r="43" ht="15.75" customHeight="1"/>
    <row r="44" ht="15.75" customHeight="1">
      <c r="A44" s="41" t="s">
        <v>210</v>
      </c>
      <c r="G44" s="35" t="s">
        <v>146</v>
      </c>
      <c r="H44" s="62">
        <f>B50+B61</f>
        <v>25</v>
      </c>
    </row>
    <row r="45" ht="15.75" customHeight="1">
      <c r="G45" s="25" t="s">
        <v>211</v>
      </c>
    </row>
    <row r="46" ht="15.75" customHeight="1">
      <c r="A46" s="25" t="s">
        <v>212</v>
      </c>
    </row>
    <row r="47" ht="15.75" customHeight="1">
      <c r="A47" s="30" t="s">
        <v>213</v>
      </c>
      <c r="B47" s="31" t="s">
        <v>37</v>
      </c>
      <c r="C47" s="19"/>
      <c r="D47" s="19"/>
      <c r="E47" s="19"/>
      <c r="F47" s="19"/>
      <c r="G47" s="19"/>
      <c r="H47" s="20"/>
    </row>
    <row r="48" ht="15.75" customHeight="1">
      <c r="A48" s="30" t="s">
        <v>214</v>
      </c>
      <c r="B48" s="31" t="s">
        <v>215</v>
      </c>
      <c r="C48" s="19"/>
      <c r="D48" s="19"/>
      <c r="E48" s="19"/>
      <c r="F48" s="19"/>
      <c r="G48" s="19"/>
      <c r="H48" s="20"/>
    </row>
    <row r="49" ht="15.75" customHeight="1">
      <c r="A49" s="30" t="s">
        <v>182</v>
      </c>
      <c r="B49" s="63">
        <v>1.0</v>
      </c>
      <c r="C49" s="19"/>
      <c r="D49" s="19"/>
      <c r="E49" s="19"/>
      <c r="F49" s="19"/>
      <c r="G49" s="19"/>
      <c r="H49" s="20"/>
    </row>
    <row r="50" ht="15.75" customHeight="1">
      <c r="A50" s="30" t="s">
        <v>146</v>
      </c>
      <c r="B50" s="63">
        <v>15.0</v>
      </c>
      <c r="C50" s="19"/>
      <c r="D50" s="19"/>
      <c r="E50" s="19"/>
      <c r="F50" s="19"/>
      <c r="G50" s="19"/>
      <c r="H50" s="20"/>
    </row>
    <row r="51" ht="15.75" customHeight="1">
      <c r="A51" s="37" t="s">
        <v>216</v>
      </c>
      <c r="B51" s="5"/>
      <c r="C51" s="5"/>
      <c r="D51" s="5"/>
      <c r="E51" s="5"/>
      <c r="F51" s="5"/>
      <c r="G51" s="5"/>
      <c r="H51" s="5"/>
    </row>
    <row r="52" ht="15.75" customHeight="1">
      <c r="A52" s="43" t="s">
        <v>217</v>
      </c>
      <c r="B52" s="19"/>
      <c r="C52" s="19"/>
      <c r="D52" s="19"/>
      <c r="E52" s="19"/>
      <c r="F52" s="19"/>
      <c r="G52" s="19"/>
      <c r="H52" s="20"/>
    </row>
    <row r="53" ht="15.75" customHeight="1">
      <c r="A53" s="64" t="s">
        <v>218</v>
      </c>
      <c r="B53" s="45"/>
      <c r="C53" s="45"/>
      <c r="D53" s="45"/>
      <c r="E53" s="45"/>
      <c r="F53" s="45"/>
      <c r="G53" s="45"/>
      <c r="H53" s="46"/>
    </row>
    <row r="54" ht="15.75" customHeight="1">
      <c r="A54" s="58"/>
      <c r="H54" s="59"/>
    </row>
    <row r="55" ht="15.75" customHeight="1">
      <c r="A55" s="47"/>
      <c r="B55" s="48"/>
      <c r="C55" s="48"/>
      <c r="D55" s="48"/>
      <c r="E55" s="48"/>
      <c r="F55" s="48"/>
      <c r="G55" s="48"/>
      <c r="H55" s="49"/>
    </row>
    <row r="56" ht="15.75" customHeight="1"/>
    <row r="57" ht="15.75" customHeight="1">
      <c r="A57" s="25" t="s">
        <v>219</v>
      </c>
    </row>
    <row r="58" ht="15.75" customHeight="1">
      <c r="A58" s="30" t="s">
        <v>213</v>
      </c>
      <c r="B58" s="31" t="s">
        <v>37</v>
      </c>
      <c r="C58" s="19"/>
      <c r="D58" s="19"/>
      <c r="E58" s="19"/>
      <c r="F58" s="19"/>
      <c r="G58" s="19"/>
      <c r="H58" s="20"/>
    </row>
    <row r="59" ht="15.75" customHeight="1">
      <c r="A59" s="30" t="s">
        <v>214</v>
      </c>
      <c r="B59" s="28" t="s">
        <v>220</v>
      </c>
      <c r="C59" s="19"/>
      <c r="D59" s="19"/>
      <c r="E59" s="19"/>
      <c r="F59" s="19"/>
      <c r="G59" s="19"/>
      <c r="H59" s="20"/>
    </row>
    <row r="60" ht="15.75" customHeight="1">
      <c r="A60" s="30" t="s">
        <v>182</v>
      </c>
      <c r="B60" s="28"/>
      <c r="C60" s="19"/>
      <c r="D60" s="19"/>
      <c r="E60" s="19"/>
      <c r="F60" s="19"/>
      <c r="G60" s="19"/>
      <c r="H60" s="20"/>
    </row>
    <row r="61" ht="15.75" customHeight="1">
      <c r="A61" s="30" t="s">
        <v>146</v>
      </c>
      <c r="B61" s="67">
        <v>10.0</v>
      </c>
      <c r="C61" s="19"/>
      <c r="D61" s="19"/>
      <c r="E61" s="19"/>
      <c r="F61" s="19"/>
      <c r="G61" s="19"/>
      <c r="H61" s="20"/>
    </row>
    <row r="62" ht="15.75" customHeight="1">
      <c r="A62" s="61" t="s">
        <v>221</v>
      </c>
      <c r="B62" s="5"/>
      <c r="C62" s="5"/>
      <c r="D62" s="5"/>
      <c r="E62" s="5"/>
      <c r="F62" s="5"/>
      <c r="G62" s="5"/>
      <c r="H62" s="5"/>
    </row>
    <row r="63" ht="15.75" customHeight="1">
      <c r="A63" s="43" t="s">
        <v>217</v>
      </c>
      <c r="B63" s="19"/>
      <c r="C63" s="19"/>
      <c r="D63" s="19"/>
      <c r="E63" s="19"/>
      <c r="F63" s="19"/>
      <c r="G63" s="19"/>
      <c r="H63" s="20"/>
    </row>
    <row r="64" ht="15.75" customHeight="1">
      <c r="A64" s="44" t="s">
        <v>246</v>
      </c>
      <c r="B64" s="45"/>
      <c r="C64" s="45"/>
      <c r="D64" s="45"/>
      <c r="E64" s="45"/>
      <c r="F64" s="45"/>
      <c r="G64" s="45"/>
      <c r="H64" s="46"/>
    </row>
    <row r="65" ht="15.75" customHeight="1">
      <c r="A65" s="58"/>
      <c r="H65" s="59"/>
    </row>
    <row r="66" ht="15.75" customHeight="1">
      <c r="A66" s="47"/>
      <c r="B66" s="48"/>
      <c r="C66" s="48"/>
      <c r="D66" s="48"/>
      <c r="E66" s="48"/>
      <c r="F66" s="48"/>
      <c r="G66" s="48"/>
      <c r="H66" s="49"/>
    </row>
    <row r="67" ht="15.75" customHeight="1"/>
    <row r="68" ht="15.75" customHeight="1">
      <c r="A68" s="41" t="s">
        <v>223</v>
      </c>
      <c r="G68" s="35" t="s">
        <v>146</v>
      </c>
      <c r="H68" s="42">
        <v>10.0</v>
      </c>
    </row>
    <row r="69" ht="15.75" customHeight="1">
      <c r="G69" s="25" t="s">
        <v>224</v>
      </c>
    </row>
    <row r="70" ht="15.75" customHeight="1">
      <c r="A70" s="30" t="s">
        <v>146</v>
      </c>
      <c r="B70" s="66">
        <v>10.0</v>
      </c>
      <c r="C70" s="19"/>
      <c r="D70" s="19"/>
      <c r="E70" s="19"/>
      <c r="F70" s="19"/>
      <c r="G70" s="19"/>
      <c r="H70" s="20"/>
    </row>
    <row r="71" ht="15.75" customHeight="1">
      <c r="A71" s="56" t="s">
        <v>225</v>
      </c>
      <c r="B71" s="19"/>
      <c r="C71" s="19"/>
      <c r="D71" s="19"/>
      <c r="E71" s="19"/>
      <c r="F71" s="19"/>
      <c r="G71" s="19"/>
      <c r="H71" s="20"/>
    </row>
    <row r="72" ht="15.75" customHeight="1">
      <c r="A72" s="44" t="s">
        <v>226</v>
      </c>
      <c r="B72" s="45"/>
      <c r="C72" s="45"/>
      <c r="D72" s="45"/>
      <c r="E72" s="45"/>
      <c r="F72" s="45"/>
      <c r="G72" s="45"/>
      <c r="H72" s="46"/>
    </row>
    <row r="73" ht="15.75" customHeight="1">
      <c r="A73" s="47"/>
      <c r="B73" s="48"/>
      <c r="C73" s="48"/>
      <c r="D73" s="48"/>
      <c r="E73" s="48"/>
      <c r="F73" s="48"/>
      <c r="G73" s="48"/>
      <c r="H73" s="49"/>
    </row>
    <row r="74" ht="15.75" customHeight="1">
      <c r="A74" s="25" t="s">
        <v>227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8" max="8" width="35.75"/>
  </cols>
  <sheetData>
    <row r="1" ht="15.75" customHeight="1"/>
    <row r="2" ht="15.75" customHeight="1">
      <c r="B2" s="39" t="s">
        <v>181</v>
      </c>
    </row>
    <row r="3" ht="15.75" customHeight="1"/>
    <row r="4" ht="15.75" customHeight="1">
      <c r="B4" s="17" t="s">
        <v>1</v>
      </c>
      <c r="C4" s="18" t="str">
        <f>'Diseño'!C4</f>
        <v>975 - Redes de Computadoras 2</v>
      </c>
      <c r="D4" s="19"/>
      <c r="E4" s="19"/>
      <c r="F4" s="19"/>
      <c r="G4" s="20"/>
    </row>
    <row r="5" ht="15.75" customHeight="1">
      <c r="B5" s="21" t="s">
        <v>11</v>
      </c>
      <c r="C5" s="18">
        <v>8.0</v>
      </c>
      <c r="D5" s="19"/>
      <c r="E5" s="19"/>
      <c r="F5" s="19"/>
      <c r="G5" s="20"/>
    </row>
    <row r="6" ht="15.75" customHeight="1">
      <c r="B6" s="40" t="s">
        <v>144</v>
      </c>
      <c r="C6" s="18">
        <f>H10+H21+H45+H69</f>
        <v>100</v>
      </c>
      <c r="D6" s="19"/>
      <c r="E6" s="19"/>
      <c r="F6" s="19"/>
      <c r="G6" s="20"/>
      <c r="I6" s="5"/>
    </row>
    <row r="7" ht="15.75" customHeight="1">
      <c r="B7" s="40" t="s">
        <v>182</v>
      </c>
      <c r="C7" s="18">
        <f>B50+B61</f>
        <v>6</v>
      </c>
      <c r="D7" s="19"/>
      <c r="E7" s="19"/>
      <c r="F7" s="19"/>
      <c r="G7" s="20"/>
    </row>
    <row r="8" ht="15.75" customHeight="1">
      <c r="B8" s="40" t="s">
        <v>183</v>
      </c>
      <c r="C8" s="18" t="str">
        <f>IF(H45&lt;=0, "❌ ERROR: La Actividad 1 debe tener un tiempo mayor a 0.", IF(H21&gt;60, "❌ ERROR: El 'Área de Conocimiento' no puede exceder los 60 min.", IF((H10+H21+H45+H69)&lt;100, "❌ ERROR: El tiempo total debe ser de al menos 100 min.", "✅ VALIDACIÓN CORRECTA")))</f>
        <v>✅ VALIDACIÓN CORRECTA</v>
      </c>
      <c r="D8" s="19"/>
      <c r="E8" s="19"/>
      <c r="F8" s="19"/>
      <c r="G8" s="20"/>
      <c r="I8" s="5"/>
      <c r="J8" s="5"/>
      <c r="K8" s="5"/>
    </row>
    <row r="9" ht="15.75" customHeight="1"/>
    <row r="10" ht="15.75" customHeight="1">
      <c r="A10" s="41" t="s">
        <v>184</v>
      </c>
      <c r="G10" s="35" t="s">
        <v>146</v>
      </c>
      <c r="H10" s="42">
        <v>5.0</v>
      </c>
    </row>
    <row r="11" ht="15.75" customHeight="1">
      <c r="G11" s="25" t="s">
        <v>185</v>
      </c>
    </row>
    <row r="12" ht="15.75" customHeight="1">
      <c r="A12" s="30" t="s">
        <v>186</v>
      </c>
      <c r="B12" s="31" t="s">
        <v>247</v>
      </c>
      <c r="C12" s="19"/>
      <c r="D12" s="19"/>
      <c r="E12" s="19"/>
      <c r="F12" s="19"/>
      <c r="G12" s="19"/>
      <c r="H12" s="20"/>
    </row>
    <row r="13" ht="15.75" customHeight="1">
      <c r="A13" s="32" t="s">
        <v>146</v>
      </c>
      <c r="B13" s="18">
        <f>H10</f>
        <v>5</v>
      </c>
      <c r="C13" s="19"/>
      <c r="D13" s="19"/>
      <c r="E13" s="19"/>
      <c r="F13" s="19"/>
      <c r="G13" s="19"/>
      <c r="H13" s="20"/>
    </row>
    <row r="14" ht="15.75" customHeight="1">
      <c r="A14" s="43" t="s">
        <v>188</v>
      </c>
      <c r="B14" s="19"/>
      <c r="C14" s="19"/>
      <c r="D14" s="19"/>
      <c r="E14" s="19"/>
      <c r="F14" s="19"/>
      <c r="G14" s="19"/>
      <c r="H14" s="20"/>
    </row>
    <row r="15" ht="15.75" customHeight="1">
      <c r="A15" s="44" t="s">
        <v>248</v>
      </c>
      <c r="B15" s="45"/>
      <c r="C15" s="45"/>
      <c r="D15" s="45"/>
      <c r="E15" s="45"/>
      <c r="F15" s="45"/>
      <c r="G15" s="45"/>
      <c r="H15" s="46"/>
    </row>
    <row r="16" ht="15.75" customHeight="1">
      <c r="A16" s="47"/>
      <c r="B16" s="48"/>
      <c r="C16" s="48"/>
      <c r="D16" s="48"/>
      <c r="E16" s="48"/>
      <c r="F16" s="48"/>
      <c r="G16" s="48"/>
      <c r="H16" s="49"/>
    </row>
    <row r="17" ht="15.75" customHeight="1">
      <c r="A17" s="43" t="s">
        <v>190</v>
      </c>
      <c r="B17" s="19"/>
      <c r="C17" s="19"/>
      <c r="D17" s="19"/>
      <c r="E17" s="19"/>
      <c r="F17" s="19"/>
      <c r="G17" s="19"/>
      <c r="H17" s="20"/>
    </row>
    <row r="18" ht="15.75" customHeight="1">
      <c r="A18" s="44" t="s">
        <v>249</v>
      </c>
      <c r="B18" s="45"/>
      <c r="C18" s="45"/>
      <c r="D18" s="45"/>
      <c r="E18" s="45"/>
      <c r="F18" s="45"/>
      <c r="G18" s="45"/>
      <c r="H18" s="46"/>
    </row>
    <row r="19" ht="15.75" customHeight="1">
      <c r="A19" s="47"/>
      <c r="B19" s="48"/>
      <c r="C19" s="48"/>
      <c r="D19" s="48"/>
      <c r="E19" s="48"/>
      <c r="F19" s="48"/>
      <c r="G19" s="48"/>
      <c r="H19" s="49"/>
    </row>
    <row r="20" ht="15.75" customHeight="1"/>
    <row r="21" ht="15.75" customHeight="1">
      <c r="A21" s="41" t="s">
        <v>192</v>
      </c>
      <c r="G21" s="35" t="s">
        <v>146</v>
      </c>
      <c r="H21" s="62">
        <f>D40+D41+D42+D43</f>
        <v>60</v>
      </c>
      <c r="I21" s="5"/>
    </row>
    <row r="22" ht="15.75" customHeight="1">
      <c r="G22" s="25" t="s">
        <v>193</v>
      </c>
    </row>
    <row r="23" ht="15.75" customHeight="1">
      <c r="A23" s="30" t="s">
        <v>194</v>
      </c>
      <c r="B23" s="31" t="s">
        <v>106</v>
      </c>
      <c r="C23" s="19"/>
      <c r="D23" s="19"/>
      <c r="E23" s="19"/>
      <c r="F23" s="19"/>
      <c r="G23" s="19"/>
      <c r="H23" s="20"/>
    </row>
    <row r="24" ht="15.75" customHeight="1">
      <c r="A24" s="30" t="s">
        <v>194</v>
      </c>
      <c r="B24" s="31" t="s">
        <v>12</v>
      </c>
      <c r="C24" s="19"/>
      <c r="D24" s="19"/>
      <c r="E24" s="19"/>
      <c r="F24" s="19"/>
      <c r="G24" s="19"/>
      <c r="H24" s="20"/>
    </row>
    <row r="25" ht="15.75" customHeight="1"/>
    <row r="26" ht="15.75" customHeight="1">
      <c r="A26" s="50" t="s">
        <v>195</v>
      </c>
      <c r="B26" s="5"/>
      <c r="C26" s="5"/>
      <c r="D26" s="5"/>
    </row>
    <row r="27" ht="15.75" customHeight="1">
      <c r="A27" s="51" t="s">
        <v>5</v>
      </c>
      <c r="B27" s="52" t="s">
        <v>196</v>
      </c>
      <c r="C27" s="20"/>
      <c r="D27" s="52" t="s">
        <v>197</v>
      </c>
      <c r="E27" s="20"/>
      <c r="F27" s="52" t="s">
        <v>198</v>
      </c>
      <c r="G27" s="19"/>
      <c r="H27" s="20"/>
    </row>
    <row r="28" ht="15.75" customHeight="1">
      <c r="A28" s="21">
        <v>1.0</v>
      </c>
      <c r="B28" s="18" t="str">
        <f>IFERROR(__xludf.DUMMYFUNCTION("FILTER('Diseño'!D:D,'Diseño'!H:H=$C$5)"),"Unidad 6: Redes inalámbricas.")</f>
        <v>Unidad 6: Redes inalámbricas.</v>
      </c>
      <c r="C28" s="20"/>
      <c r="D28" s="18" t="str">
        <f>IFERROR(__xludf.DUMMYFUNCTION("FILTER('Diseño'!E:E,'Diseño'!H:H=$C$5)"),"Redes Inalámbricas ")</f>
        <v>Redes Inalámbricas </v>
      </c>
      <c r="E28" s="20"/>
      <c r="F28" s="18" t="str">
        <f>IFERROR(__xludf.DUMMYFUNCTION("FILTER('Diseño'!F:F,'Diseño'!H:H=$C$5)"),"Introducción a redes inalámbricas.")</f>
        <v>Introducción a redes inalámbricas.</v>
      </c>
      <c r="G28" s="19"/>
      <c r="H28" s="20"/>
    </row>
    <row r="29" ht="15.75" customHeight="1">
      <c r="A29" s="21">
        <v>2.0</v>
      </c>
      <c r="B29" s="18" t="str">
        <f>IFERROR(__xludf.DUMMYFUNCTION("""COMPUTED_VALUE"""),"Unidad 6: Redes inalámbricas.")</f>
        <v>Unidad 6: Redes inalámbricas.</v>
      </c>
      <c r="C29" s="20"/>
      <c r="D29" s="18" t="str">
        <f>IFERROR(__xludf.DUMMYFUNCTION("""COMPUTED_VALUE"""),"Redes Inalámbricas ")</f>
        <v>Redes Inalámbricas </v>
      </c>
      <c r="E29" s="20"/>
      <c r="F29" s="18" t="str">
        <f>IFERROR(__xludf.DUMMYFUNCTION("""COMPUTED_VALUE"""),"Diferencias clave entre redes cableadas e inalámrbicas.")</f>
        <v>Diferencias clave entre redes cableadas e inalámrbicas.</v>
      </c>
      <c r="G29" s="19"/>
      <c r="H29" s="20"/>
    </row>
    <row r="30" ht="15.75" customHeight="1">
      <c r="A30" s="21">
        <v>3.0</v>
      </c>
      <c r="B30" s="18" t="str">
        <f>IFERROR(__xludf.DUMMYFUNCTION("""COMPUTED_VALUE"""),"Unidad 6: Redes inalámbricas.")</f>
        <v>Unidad 6: Redes inalámbricas.</v>
      </c>
      <c r="C30" s="20"/>
      <c r="D30" s="18" t="str">
        <f>IFERROR(__xludf.DUMMYFUNCTION("""COMPUTED_VALUE"""),"Redes Inalámbricas ")</f>
        <v>Redes Inalámbricas </v>
      </c>
      <c r="E30" s="20"/>
      <c r="F30" s="18" t="str">
        <f>IFERROR(__xludf.DUMMYFUNCTION("""COMPUTED_VALUE"""),"Definición y funcionamiento de redes Wifi")</f>
        <v>Definición y funcionamiento de redes Wifi</v>
      </c>
      <c r="G30" s="19"/>
      <c r="H30" s="20"/>
    </row>
    <row r="31" ht="15.75" customHeight="1">
      <c r="A31" s="21">
        <v>4.0</v>
      </c>
      <c r="B31" s="18" t="str">
        <f>IFERROR(__xludf.DUMMYFUNCTION("""COMPUTED_VALUE"""),"Unidad 6: Redes inalámbricas.")</f>
        <v>Unidad 6: Redes inalámbricas.</v>
      </c>
      <c r="C31" s="20"/>
      <c r="D31" s="18" t="str">
        <f>IFERROR(__xludf.DUMMYFUNCTION("""COMPUTED_VALUE"""),"Redes Inalámbricas ")</f>
        <v>Redes Inalámbricas </v>
      </c>
      <c r="E31" s="20"/>
      <c r="F31" s="18" t="str">
        <f>IFERROR(__xludf.DUMMYFUNCTION("""COMPUTED_VALUE"""),"Seguridad en routers inalámbricos")</f>
        <v>Seguridad en routers inalámbricos</v>
      </c>
      <c r="G31" s="19"/>
      <c r="H31" s="20"/>
    </row>
    <row r="32" ht="15.75" customHeight="1">
      <c r="A32" s="21">
        <v>5.0</v>
      </c>
      <c r="B32" s="18" t="str">
        <f>IFERROR(__xludf.DUMMYFUNCTION("""COMPUTED_VALUE"""),"Unidad 6: Redes inalámbricas.")</f>
        <v>Unidad 6: Redes inalámbricas.</v>
      </c>
      <c r="C32" s="20"/>
      <c r="D32" s="18" t="str">
        <f>IFERROR(__xludf.DUMMYFUNCTION("""COMPUTED_VALUE"""),"Redes Inalámbricas ")</f>
        <v>Redes Inalámbricas </v>
      </c>
      <c r="E32" s="20"/>
      <c r="F32" s="18" t="str">
        <f>IFERROR(__xludf.DUMMYFUNCTION("""COMPUTED_VALUE"""),"Estándares de conexión de Wifi.")</f>
        <v>Estándares de conexión de Wifi.</v>
      </c>
      <c r="G32" s="19"/>
      <c r="H32" s="20"/>
    </row>
    <row r="33" ht="15.75" customHeight="1">
      <c r="A33" s="21">
        <v>6.0</v>
      </c>
      <c r="B33" s="18" t="str">
        <f>IFERROR(__xludf.DUMMYFUNCTION("""COMPUTED_VALUE"""),"Unidad 6: Redes inalámbricas.")</f>
        <v>Unidad 6: Redes inalámbricas.</v>
      </c>
      <c r="C33" s="20"/>
      <c r="D33" s="18" t="str">
        <f>IFERROR(__xludf.DUMMYFUNCTION("""COMPUTED_VALUE"""),"Redes Inalámbricas ")</f>
        <v>Redes Inalámbricas </v>
      </c>
      <c r="E33" s="20"/>
      <c r="F33" s="18" t="str">
        <f>IFERROR(__xludf.DUMMYFUNCTION("""COMPUTED_VALUE"""),"Cifrado de contraseñas en redes Wifi.")</f>
        <v>Cifrado de contraseñas en redes Wifi.</v>
      </c>
      <c r="G33" s="19"/>
      <c r="H33" s="20"/>
    </row>
    <row r="34" ht="15.75" customHeight="1">
      <c r="A34" s="21">
        <v>7.0</v>
      </c>
      <c r="B34" s="18" t="str">
        <f>IFERROR(__xludf.DUMMYFUNCTION("""COMPUTED_VALUE"""),"Unidad 6: Redes inalámbricas.")</f>
        <v>Unidad 6: Redes inalámbricas.</v>
      </c>
      <c r="C34" s="20"/>
      <c r="D34" s="18" t="str">
        <f>IFERROR(__xludf.DUMMYFUNCTION("""COMPUTED_VALUE"""),"Redes Inalámbricas ")</f>
        <v>Redes Inalámbricas </v>
      </c>
      <c r="E34" s="20"/>
      <c r="F34" s="18" t="str">
        <f>IFERROR(__xludf.DUMMYFUNCTION("""COMPUTED_VALUE"""),"Configuración de routers inalámbricos en Cisco Packet Tracer.")</f>
        <v>Configuración de routers inalámbricos en Cisco Packet Tracer.</v>
      </c>
      <c r="G34" s="19"/>
      <c r="H34" s="20"/>
    </row>
    <row r="35" ht="15.75" customHeight="1">
      <c r="A35" s="21">
        <v>8.0</v>
      </c>
      <c r="B35" s="53" t="str">
        <f>IFERROR(__xludf.DUMMYFUNCTION("""COMPUTED_VALUE"""),"Unidad 6: Redes inalámbricas.")</f>
        <v>Unidad 6: Redes inalámbricas.</v>
      </c>
      <c r="C35" s="53"/>
      <c r="D35" s="53" t="str">
        <f>IFERROR(__xludf.DUMMYFUNCTION("""COMPUTED_VALUE"""),"Redes Inalámbricas ")</f>
        <v>Redes Inalámbricas </v>
      </c>
      <c r="E35" s="53"/>
      <c r="F35" s="54" t="str">
        <f>IFERROR(__xludf.DUMMYFUNCTION("""COMPUTED_VALUE"""),"Integración de redes inalámrbicas con redes cableadas en Cisco Packer Tracer.")</f>
        <v>Integración de redes inalámrbicas con redes cableadas en Cisco Packer Tracer.</v>
      </c>
      <c r="G35" s="19"/>
      <c r="H35" s="20"/>
    </row>
    <row r="36" ht="15.75" customHeight="1"/>
    <row r="37" ht="15.75" customHeight="1">
      <c r="A37" s="50" t="s">
        <v>199</v>
      </c>
    </row>
    <row r="38" ht="15.75" customHeight="1">
      <c r="A38" s="5"/>
      <c r="B38" s="5"/>
      <c r="C38" s="5"/>
      <c r="D38" s="5"/>
      <c r="E38" s="5"/>
      <c r="F38" s="5"/>
      <c r="G38" s="5"/>
      <c r="H38" s="5"/>
    </row>
    <row r="39" ht="15.75" customHeight="1">
      <c r="A39" s="51" t="s">
        <v>200</v>
      </c>
      <c r="B39" s="51" t="s">
        <v>201</v>
      </c>
      <c r="C39" s="55" t="s">
        <v>202</v>
      </c>
      <c r="D39" s="56" t="s">
        <v>146</v>
      </c>
      <c r="E39" s="19"/>
      <c r="F39" s="19"/>
      <c r="G39" s="19"/>
      <c r="H39" s="20"/>
    </row>
    <row r="40" ht="15.75" customHeight="1">
      <c r="A40" s="21" t="s">
        <v>203</v>
      </c>
      <c r="B40" s="21" t="s">
        <v>204</v>
      </c>
      <c r="C40" s="21"/>
      <c r="D40" s="31">
        <v>30.0</v>
      </c>
      <c r="E40" s="19"/>
      <c r="F40" s="19"/>
      <c r="G40" s="19"/>
      <c r="H40" s="20"/>
    </row>
    <row r="41" ht="15.75" customHeight="1">
      <c r="A41" s="21" t="s">
        <v>205</v>
      </c>
      <c r="B41" s="21" t="s">
        <v>204</v>
      </c>
      <c r="C41" s="21" t="s">
        <v>206</v>
      </c>
      <c r="D41" s="31">
        <v>5.0</v>
      </c>
      <c r="E41" s="19"/>
      <c r="F41" s="19"/>
      <c r="G41" s="19"/>
      <c r="H41" s="20"/>
    </row>
    <row r="42" ht="15.75" customHeight="1">
      <c r="A42" s="21" t="s">
        <v>207</v>
      </c>
      <c r="B42" s="21" t="s">
        <v>208</v>
      </c>
      <c r="C42" s="21"/>
      <c r="D42" s="18"/>
      <c r="E42" s="19"/>
      <c r="F42" s="19"/>
      <c r="G42" s="19"/>
      <c r="H42" s="20"/>
    </row>
    <row r="43" ht="15.75" customHeight="1">
      <c r="A43" s="21" t="s">
        <v>209</v>
      </c>
      <c r="B43" s="21" t="s">
        <v>204</v>
      </c>
      <c r="C43" s="21"/>
      <c r="D43" s="31">
        <v>25.0</v>
      </c>
      <c r="E43" s="19"/>
      <c r="F43" s="19"/>
      <c r="G43" s="19"/>
      <c r="H43" s="20"/>
    </row>
    <row r="44" ht="15.75" customHeight="1"/>
    <row r="45" ht="15.75" customHeight="1">
      <c r="A45" s="41" t="s">
        <v>210</v>
      </c>
      <c r="G45" s="35" t="s">
        <v>146</v>
      </c>
      <c r="H45" s="62">
        <f>B51+B62</f>
        <v>30</v>
      </c>
    </row>
    <row r="46" ht="15.75" customHeight="1">
      <c r="G46" s="25" t="s">
        <v>211</v>
      </c>
    </row>
    <row r="47" ht="15.75" customHeight="1">
      <c r="A47" s="25" t="s">
        <v>212</v>
      </c>
    </row>
    <row r="48" ht="15.75" customHeight="1">
      <c r="A48" s="30" t="s">
        <v>213</v>
      </c>
      <c r="B48" s="31" t="s">
        <v>106</v>
      </c>
      <c r="C48" s="19"/>
      <c r="D48" s="19"/>
      <c r="E48" s="19"/>
      <c r="F48" s="19"/>
      <c r="G48" s="19"/>
      <c r="H48" s="20"/>
    </row>
    <row r="49" ht="15.75" customHeight="1">
      <c r="A49" s="30" t="s">
        <v>214</v>
      </c>
      <c r="B49" s="31" t="s">
        <v>215</v>
      </c>
      <c r="C49" s="19"/>
      <c r="D49" s="19"/>
      <c r="E49" s="19"/>
      <c r="F49" s="19"/>
      <c r="G49" s="19"/>
      <c r="H49" s="20"/>
    </row>
    <row r="50" ht="15.75" customHeight="1">
      <c r="A50" s="30" t="s">
        <v>182</v>
      </c>
      <c r="B50" s="57">
        <v>5.0</v>
      </c>
      <c r="C50" s="19"/>
      <c r="D50" s="19"/>
      <c r="E50" s="19"/>
      <c r="F50" s="19"/>
      <c r="G50" s="19"/>
      <c r="H50" s="20"/>
    </row>
    <row r="51" ht="15.75" customHeight="1">
      <c r="A51" s="30" t="s">
        <v>146</v>
      </c>
      <c r="B51" s="31">
        <v>20.0</v>
      </c>
      <c r="C51" s="19"/>
      <c r="D51" s="19"/>
      <c r="E51" s="19"/>
      <c r="F51" s="19"/>
      <c r="G51" s="19"/>
      <c r="H51" s="20"/>
    </row>
    <row r="52" ht="15.75" customHeight="1">
      <c r="A52" s="37" t="s">
        <v>216</v>
      </c>
      <c r="B52" s="5"/>
      <c r="C52" s="5"/>
      <c r="D52" s="5"/>
      <c r="E52" s="5"/>
      <c r="F52" s="5"/>
      <c r="G52" s="5"/>
      <c r="H52" s="5"/>
    </row>
    <row r="53" ht="15.75" customHeight="1">
      <c r="A53" s="43" t="s">
        <v>217</v>
      </c>
      <c r="B53" s="19"/>
      <c r="C53" s="19"/>
      <c r="D53" s="19"/>
      <c r="E53" s="19"/>
      <c r="F53" s="19"/>
      <c r="G53" s="19"/>
      <c r="H53" s="20"/>
    </row>
    <row r="54" ht="15.75" customHeight="1">
      <c r="A54" s="44" t="s">
        <v>250</v>
      </c>
      <c r="B54" s="45"/>
      <c r="C54" s="45"/>
      <c r="D54" s="45"/>
      <c r="E54" s="45"/>
      <c r="F54" s="45"/>
      <c r="G54" s="45"/>
      <c r="H54" s="46"/>
    </row>
    <row r="55" ht="15.75" customHeight="1">
      <c r="A55" s="58"/>
      <c r="H55" s="59"/>
    </row>
    <row r="56" ht="15.75" customHeight="1">
      <c r="A56" s="47"/>
      <c r="B56" s="48"/>
      <c r="C56" s="48"/>
      <c r="D56" s="48"/>
      <c r="E56" s="48"/>
      <c r="F56" s="48"/>
      <c r="G56" s="48"/>
      <c r="H56" s="49"/>
    </row>
    <row r="57" ht="15.75" customHeight="1"/>
    <row r="58" ht="15.75" customHeight="1">
      <c r="A58" s="25" t="s">
        <v>219</v>
      </c>
    </row>
    <row r="59" ht="15.75" customHeight="1">
      <c r="A59" s="30" t="s">
        <v>213</v>
      </c>
      <c r="B59" s="31" t="s">
        <v>106</v>
      </c>
      <c r="C59" s="19"/>
      <c r="D59" s="19"/>
      <c r="E59" s="19"/>
      <c r="F59" s="19"/>
      <c r="G59" s="19"/>
      <c r="H59" s="20"/>
    </row>
    <row r="60" ht="15.75" customHeight="1">
      <c r="A60" s="30" t="s">
        <v>214</v>
      </c>
      <c r="B60" s="28" t="s">
        <v>220</v>
      </c>
      <c r="C60" s="19"/>
      <c r="D60" s="19"/>
      <c r="E60" s="19"/>
      <c r="F60" s="19"/>
      <c r="G60" s="19"/>
      <c r="H60" s="20"/>
    </row>
    <row r="61" ht="15.75" customHeight="1">
      <c r="A61" s="30" t="s">
        <v>182</v>
      </c>
      <c r="B61" s="27">
        <v>1.0</v>
      </c>
      <c r="C61" s="19"/>
      <c r="D61" s="19"/>
      <c r="E61" s="19"/>
      <c r="F61" s="19"/>
      <c r="G61" s="19"/>
      <c r="H61" s="20"/>
    </row>
    <row r="62" ht="15.75" customHeight="1">
      <c r="A62" s="30" t="s">
        <v>146</v>
      </c>
      <c r="B62" s="67">
        <v>10.0</v>
      </c>
      <c r="C62" s="19"/>
      <c r="D62" s="19"/>
      <c r="E62" s="19"/>
      <c r="F62" s="19"/>
      <c r="G62" s="19"/>
      <c r="H62" s="20"/>
    </row>
    <row r="63" ht="15.75" customHeight="1">
      <c r="A63" s="61" t="s">
        <v>221</v>
      </c>
      <c r="B63" s="5"/>
      <c r="C63" s="5"/>
      <c r="D63" s="5"/>
      <c r="E63" s="5"/>
      <c r="F63" s="5"/>
      <c r="G63" s="5"/>
      <c r="H63" s="5"/>
    </row>
    <row r="64" ht="15.75" customHeight="1">
      <c r="A64" s="43" t="s">
        <v>217</v>
      </c>
      <c r="B64" s="19"/>
      <c r="C64" s="19"/>
      <c r="D64" s="19"/>
      <c r="E64" s="19"/>
      <c r="F64" s="19"/>
      <c r="G64" s="19"/>
      <c r="H64" s="20"/>
    </row>
    <row r="65" ht="15.75" customHeight="1">
      <c r="A65" s="44" t="s">
        <v>251</v>
      </c>
      <c r="B65" s="45"/>
      <c r="C65" s="45"/>
      <c r="D65" s="45"/>
      <c r="E65" s="45"/>
      <c r="F65" s="45"/>
      <c r="G65" s="45"/>
      <c r="H65" s="46"/>
    </row>
    <row r="66" ht="15.75" customHeight="1">
      <c r="A66" s="58"/>
      <c r="H66" s="59"/>
    </row>
    <row r="67" ht="15.75" customHeight="1">
      <c r="A67" s="47"/>
      <c r="B67" s="48"/>
      <c r="C67" s="48"/>
      <c r="D67" s="48"/>
      <c r="E67" s="48"/>
      <c r="F67" s="48"/>
      <c r="G67" s="48"/>
      <c r="H67" s="49"/>
    </row>
    <row r="68" ht="15.75" customHeight="1"/>
    <row r="69" ht="15.75" customHeight="1">
      <c r="A69" s="41" t="s">
        <v>223</v>
      </c>
      <c r="G69" s="35" t="s">
        <v>146</v>
      </c>
      <c r="H69" s="42">
        <v>5.0</v>
      </c>
    </row>
    <row r="70" ht="15.75" customHeight="1">
      <c r="G70" s="25" t="s">
        <v>224</v>
      </c>
    </row>
    <row r="71" ht="15.75" customHeight="1">
      <c r="A71" s="30" t="s">
        <v>146</v>
      </c>
      <c r="B71" s="60"/>
      <c r="C71" s="19"/>
      <c r="D71" s="19"/>
      <c r="E71" s="19"/>
      <c r="F71" s="19"/>
      <c r="G71" s="19"/>
      <c r="H71" s="20"/>
    </row>
    <row r="72" ht="15.75" customHeight="1">
      <c r="A72" s="56" t="s">
        <v>225</v>
      </c>
      <c r="B72" s="19"/>
      <c r="C72" s="19"/>
      <c r="D72" s="19"/>
      <c r="E72" s="19"/>
      <c r="F72" s="19"/>
      <c r="G72" s="19"/>
      <c r="H72" s="20"/>
    </row>
    <row r="73" ht="15.75" customHeight="1">
      <c r="A73" s="44" t="s">
        <v>226</v>
      </c>
      <c r="B73" s="45"/>
      <c r="C73" s="45"/>
      <c r="D73" s="45"/>
      <c r="E73" s="45"/>
      <c r="F73" s="45"/>
      <c r="G73" s="45"/>
      <c r="H73" s="46"/>
    </row>
    <row r="74" ht="15.75" customHeight="1">
      <c r="A74" s="47"/>
      <c r="B74" s="48"/>
      <c r="C74" s="48"/>
      <c r="D74" s="48"/>
      <c r="E74" s="48"/>
      <c r="F74" s="48"/>
      <c r="G74" s="48"/>
      <c r="H74" s="49"/>
    </row>
    <row r="75" ht="15.75" customHeight="1">
      <c r="A75" s="25" t="s">
        <v>227</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62">
    <mergeCell ref="D43:H43"/>
    <mergeCell ref="A45:F45"/>
    <mergeCell ref="B48:H48"/>
    <mergeCell ref="B49:H49"/>
    <mergeCell ref="B50:H50"/>
    <mergeCell ref="B51:H51"/>
    <mergeCell ref="A53:H53"/>
    <mergeCell ref="A69:F69"/>
    <mergeCell ref="B71:H71"/>
    <mergeCell ref="A72:H72"/>
    <mergeCell ref="A73:H74"/>
    <mergeCell ref="A54:H56"/>
    <mergeCell ref="B59:H59"/>
    <mergeCell ref="B60:H60"/>
    <mergeCell ref="B61:H61"/>
    <mergeCell ref="B62:H62"/>
    <mergeCell ref="A64:H64"/>
    <mergeCell ref="A65:H67"/>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F35:H35"/>
    <mergeCell ref="D39:H39"/>
    <mergeCell ref="D40:H40"/>
    <mergeCell ref="D41:H41"/>
    <mergeCell ref="D42:H42"/>
  </mergeCells>
  <dataValidations>
    <dataValidation type="list" allowBlank="1" showErrorMessage="1" sqref="B23:B24 B48 B59">
      <formula1>METADATA!$I$17:$I$40</formula1>
    </dataValidation>
    <dataValidation type="list" allowBlank="1" showErrorMessage="1" sqref="B49">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7.88"/>
    <col customWidth="1" min="5" max="5" width="20.13"/>
    <col customWidth="1" min="8" max="8" width="32.88"/>
  </cols>
  <sheetData>
    <row r="1" ht="15.75" customHeight="1"/>
    <row r="2" ht="15.75" customHeight="1">
      <c r="B2" s="39" t="s">
        <v>181</v>
      </c>
    </row>
    <row r="3" ht="15.75" customHeight="1"/>
    <row r="4" ht="15.75" customHeight="1">
      <c r="B4" s="17" t="s">
        <v>1</v>
      </c>
      <c r="C4" s="18" t="str">
        <f>'Diseño'!C4</f>
        <v>975 - Redes de Computadoras 2</v>
      </c>
      <c r="D4" s="19"/>
      <c r="E4" s="19"/>
      <c r="F4" s="19"/>
      <c r="G4" s="20"/>
    </row>
    <row r="5" ht="15.75" customHeight="1">
      <c r="B5" s="21" t="s">
        <v>11</v>
      </c>
      <c r="C5" s="18">
        <v>9.0</v>
      </c>
      <c r="D5" s="19"/>
      <c r="E5" s="19"/>
      <c r="F5" s="19"/>
      <c r="G5" s="20"/>
    </row>
    <row r="6" ht="15.75" customHeight="1">
      <c r="B6" s="40" t="s">
        <v>144</v>
      </c>
      <c r="C6" s="18">
        <f>H10+H21+H49+H73</f>
        <v>100</v>
      </c>
      <c r="D6" s="19"/>
      <c r="E6" s="19"/>
      <c r="F6" s="19"/>
      <c r="G6" s="20"/>
      <c r="I6" s="5"/>
    </row>
    <row r="7" ht="15.75" customHeight="1">
      <c r="B7" s="40" t="s">
        <v>182</v>
      </c>
      <c r="C7" s="18">
        <f>B54+B65</f>
        <v>1</v>
      </c>
      <c r="D7" s="19"/>
      <c r="E7" s="19"/>
      <c r="F7" s="19"/>
      <c r="G7" s="20"/>
    </row>
    <row r="8" ht="15.75" customHeight="1">
      <c r="B8" s="40" t="s">
        <v>183</v>
      </c>
      <c r="C8" s="18" t="str">
        <f>IF(H49&lt;=0, "❌ ERROR: La Actividad 1 debe tener un tiempo mayor a 0.", IF(H21&gt;60, "❌ ERROR: El 'Área de Conocimiento' no puede exceder los 60 min.", IF((H10+H21+H49+H73)&lt;100, "❌ ERROR: El tiempo total debe ser de al menos 100 min.", "✅ VALIDACIÓN CORRECTA")))</f>
        <v>✅ VALIDACIÓN CORRECTA</v>
      </c>
      <c r="D8" s="19"/>
      <c r="E8" s="19"/>
      <c r="F8" s="19"/>
      <c r="G8" s="20"/>
      <c r="I8" s="5"/>
      <c r="J8" s="5"/>
      <c r="K8" s="5"/>
    </row>
    <row r="9" ht="15.75" customHeight="1"/>
    <row r="10" ht="15.75" customHeight="1">
      <c r="A10" s="41" t="s">
        <v>184</v>
      </c>
      <c r="G10" s="35" t="s">
        <v>146</v>
      </c>
      <c r="H10" s="42">
        <v>5.0</v>
      </c>
    </row>
    <row r="11" ht="15.75" customHeight="1">
      <c r="G11" s="25" t="s">
        <v>185</v>
      </c>
    </row>
    <row r="12" ht="15.75" customHeight="1">
      <c r="A12" s="30" t="s">
        <v>186</v>
      </c>
      <c r="B12" s="31" t="s">
        <v>252</v>
      </c>
      <c r="C12" s="19"/>
      <c r="D12" s="19"/>
      <c r="E12" s="19"/>
      <c r="F12" s="19"/>
      <c r="G12" s="19"/>
      <c r="H12" s="20"/>
    </row>
    <row r="13" ht="15.75" customHeight="1">
      <c r="A13" s="32" t="s">
        <v>146</v>
      </c>
      <c r="B13" s="18">
        <f>H10</f>
        <v>5</v>
      </c>
      <c r="C13" s="19"/>
      <c r="D13" s="19"/>
      <c r="E13" s="19"/>
      <c r="F13" s="19"/>
      <c r="G13" s="19"/>
      <c r="H13" s="20"/>
    </row>
    <row r="14" ht="15.75" customHeight="1">
      <c r="A14" s="43" t="s">
        <v>188</v>
      </c>
      <c r="B14" s="19"/>
      <c r="C14" s="19"/>
      <c r="D14" s="19"/>
      <c r="E14" s="19"/>
      <c r="F14" s="19"/>
      <c r="G14" s="19"/>
      <c r="H14" s="20"/>
    </row>
    <row r="15" ht="15.75" customHeight="1">
      <c r="A15" s="44" t="s">
        <v>253</v>
      </c>
      <c r="B15" s="45"/>
      <c r="C15" s="45"/>
      <c r="D15" s="45"/>
      <c r="E15" s="45"/>
      <c r="F15" s="45"/>
      <c r="G15" s="45"/>
      <c r="H15" s="46"/>
    </row>
    <row r="16" ht="15.75" customHeight="1">
      <c r="A16" s="47"/>
      <c r="B16" s="48"/>
      <c r="C16" s="48"/>
      <c r="D16" s="48"/>
      <c r="E16" s="48"/>
      <c r="F16" s="48"/>
      <c r="G16" s="48"/>
      <c r="H16" s="49"/>
    </row>
    <row r="17" ht="15.75" customHeight="1">
      <c r="A17" s="43" t="s">
        <v>190</v>
      </c>
      <c r="B17" s="19"/>
      <c r="C17" s="19"/>
      <c r="D17" s="19"/>
      <c r="E17" s="19"/>
      <c r="F17" s="19"/>
      <c r="G17" s="19"/>
      <c r="H17" s="20"/>
    </row>
    <row r="18" ht="15.75" customHeight="1">
      <c r="A18" s="44" t="s">
        <v>254</v>
      </c>
      <c r="B18" s="45"/>
      <c r="C18" s="45"/>
      <c r="D18" s="45"/>
      <c r="E18" s="45"/>
      <c r="F18" s="45"/>
      <c r="G18" s="45"/>
      <c r="H18" s="46"/>
    </row>
    <row r="19" ht="15.75" customHeight="1">
      <c r="A19" s="47"/>
      <c r="B19" s="48"/>
      <c r="C19" s="48"/>
      <c r="D19" s="48"/>
      <c r="E19" s="48"/>
      <c r="F19" s="48"/>
      <c r="G19" s="48"/>
      <c r="H19" s="49"/>
    </row>
    <row r="20" ht="15.75" customHeight="1"/>
    <row r="21" ht="15.75" customHeight="1">
      <c r="A21" s="41" t="s">
        <v>192</v>
      </c>
      <c r="G21" s="35" t="s">
        <v>146</v>
      </c>
      <c r="H21" s="62">
        <f>D44+D45+D46+D47</f>
        <v>60</v>
      </c>
      <c r="I21" s="5"/>
    </row>
    <row r="22" ht="15.75" customHeight="1">
      <c r="G22" s="25" t="s">
        <v>193</v>
      </c>
    </row>
    <row r="23" ht="15.75" customHeight="1">
      <c r="A23" s="30" t="s">
        <v>194</v>
      </c>
      <c r="B23" s="31" t="s">
        <v>109</v>
      </c>
      <c r="C23" s="19"/>
      <c r="D23" s="19"/>
      <c r="E23" s="19"/>
      <c r="F23" s="19"/>
      <c r="G23" s="19"/>
      <c r="H23" s="20"/>
    </row>
    <row r="24" ht="15.75" customHeight="1">
      <c r="A24" s="30" t="s">
        <v>194</v>
      </c>
      <c r="B24" s="31" t="s">
        <v>117</v>
      </c>
      <c r="C24" s="19"/>
      <c r="D24" s="19"/>
      <c r="E24" s="19"/>
      <c r="F24" s="19"/>
      <c r="G24" s="19"/>
      <c r="H24" s="20"/>
    </row>
    <row r="25" ht="15.75" customHeight="1"/>
    <row r="26" ht="15.75" customHeight="1">
      <c r="A26" s="50" t="s">
        <v>195</v>
      </c>
      <c r="B26" s="5"/>
      <c r="C26" s="5"/>
      <c r="D26" s="5"/>
    </row>
    <row r="27" ht="15.75" customHeight="1">
      <c r="A27" s="51" t="s">
        <v>5</v>
      </c>
      <c r="B27" s="52" t="s">
        <v>196</v>
      </c>
      <c r="C27" s="20"/>
      <c r="D27" s="52" t="s">
        <v>197</v>
      </c>
      <c r="E27" s="20"/>
      <c r="F27" s="52" t="s">
        <v>198</v>
      </c>
      <c r="G27" s="19"/>
      <c r="H27" s="20"/>
    </row>
    <row r="28" ht="15.75" customHeight="1">
      <c r="A28" s="21">
        <v>1.0</v>
      </c>
      <c r="B28" s="18" t="str">
        <f>IFERROR(__xludf.DUMMYFUNCTION("FILTER('Diseño'!D:D,'Diseño'!H:H=$C$5)"),"Unidad 4: Alta disponibilidad en redes.")</f>
        <v>Unidad 4: Alta disponibilidad en redes.</v>
      </c>
      <c r="C28" s="20"/>
      <c r="D28" s="18" t="str">
        <f>IFERROR(__xludf.DUMMYFUNCTION("FILTER('Diseño'!E:E,'Diseño'!H:H=$C$5)"),"Alta disponibilidad en redes")</f>
        <v>Alta disponibilidad en redes</v>
      </c>
      <c r="E28" s="20"/>
      <c r="F28" s="18" t="str">
        <f>IFERROR(__xludf.DUMMYFUNCTION("FILTER('Diseño'!F:F,'Diseño'!H:H=$C$5)"),"Introducción a la redundancia de capa 3.")</f>
        <v>Introducción a la redundancia de capa 3.</v>
      </c>
      <c r="G28" s="19"/>
      <c r="H28" s="20"/>
    </row>
    <row r="29" ht="15.75" customHeight="1">
      <c r="A29" s="21">
        <v>2.0</v>
      </c>
      <c r="B29" s="18" t="str">
        <f>IFERROR(__xludf.DUMMYFUNCTION("""COMPUTED_VALUE"""),"Unidad 4: Alta disponibilidad en redes.")</f>
        <v>Unidad 4: Alta disponibilidad en redes.</v>
      </c>
      <c r="C29" s="20"/>
      <c r="D29" s="18" t="str">
        <f>IFERROR(__xludf.DUMMYFUNCTION("""COMPUTED_VALUE"""),"Alta disponibilidad en redes")</f>
        <v>Alta disponibilidad en redes</v>
      </c>
      <c r="E29" s="20"/>
      <c r="F29" s="18" t="str">
        <f>IFERROR(__xludf.DUMMYFUNCTION("""COMPUTED_VALUE"""),"Diferencias clave entre VRRP y HSRP.")</f>
        <v>Diferencias clave entre VRRP y HSRP.</v>
      </c>
      <c r="G29" s="19"/>
      <c r="H29" s="20"/>
    </row>
    <row r="30" ht="15.75" customHeight="1">
      <c r="A30" s="21">
        <v>3.0</v>
      </c>
      <c r="B30" s="18" t="str">
        <f>IFERROR(__xludf.DUMMYFUNCTION("""COMPUTED_VALUE"""),"Unidad 4: Alta disponibilidad en redes.")</f>
        <v>Unidad 4: Alta disponibilidad en redes.</v>
      </c>
      <c r="C30" s="20"/>
      <c r="D30" s="18" t="str">
        <f>IFERROR(__xludf.DUMMYFUNCTION("""COMPUTED_VALUE"""),"Alta disponibilidad en redes")</f>
        <v>Alta disponibilidad en redes</v>
      </c>
      <c r="E30" s="20"/>
      <c r="F30" s="18" t="str">
        <f>IFERROR(__xludf.DUMMYFUNCTION("""COMPUTED_VALUE"""),"Introducción al Virtual Router Redundancy Protocol (VRRP).")</f>
        <v>Introducción al Virtual Router Redundancy Protocol (VRRP).</v>
      </c>
      <c r="G30" s="19"/>
      <c r="H30" s="20"/>
    </row>
    <row r="31" ht="15.75" customHeight="1">
      <c r="A31" s="21">
        <v>4.0</v>
      </c>
      <c r="B31" s="18" t="str">
        <f>IFERROR(__xludf.DUMMYFUNCTION("""COMPUTED_VALUE"""),"Unidad 4: Alta disponibilidad en redes.")</f>
        <v>Unidad 4: Alta disponibilidad en redes.</v>
      </c>
      <c r="C31" s="20"/>
      <c r="D31" s="18" t="str">
        <f>IFERROR(__xludf.DUMMYFUNCTION("""COMPUTED_VALUE"""),"Alta disponibilidad en redes")</f>
        <v>Alta disponibilidad en redes</v>
      </c>
      <c r="E31" s="20"/>
      <c r="F31" s="18" t="str">
        <f>IFERROR(__xludf.DUMMYFUNCTION("""COMPUTED_VALUE"""),"Configuración de VRRP para la redundancia de routers.")</f>
        <v>Configuración de VRRP para la redundancia de routers.</v>
      </c>
      <c r="G31" s="19"/>
      <c r="H31" s="20"/>
    </row>
    <row r="32" ht="15.75" customHeight="1">
      <c r="A32" s="21">
        <v>5.0</v>
      </c>
      <c r="B32" s="18" t="str">
        <f>IFERROR(__xludf.DUMMYFUNCTION("""COMPUTED_VALUE"""),"Unidad 4: Alta disponibilidad en redes.")</f>
        <v>Unidad 4: Alta disponibilidad en redes.</v>
      </c>
      <c r="C32" s="20"/>
      <c r="D32" s="18" t="str">
        <f>IFERROR(__xludf.DUMMYFUNCTION("""COMPUTED_VALUE"""),"Alta disponibilidad en redes")</f>
        <v>Alta disponibilidad en redes</v>
      </c>
      <c r="E32" s="20"/>
      <c r="F32" s="18" t="str">
        <f>IFERROR(__xludf.DUMMYFUNCTION("""COMPUTED_VALUE"""),"Introducción al Hot Standby Redundancy Protocol (HSRP).")</f>
        <v>Introducción al Hot Standby Redundancy Protocol (HSRP).</v>
      </c>
      <c r="G32" s="19"/>
      <c r="H32" s="20"/>
    </row>
    <row r="33" ht="15.75" customHeight="1">
      <c r="A33" s="21">
        <v>6.0</v>
      </c>
      <c r="B33" s="18" t="str">
        <f>IFERROR(__xludf.DUMMYFUNCTION("""COMPUTED_VALUE"""),"Unidad 4: Alta disponibilidad en redes.")</f>
        <v>Unidad 4: Alta disponibilidad en redes.</v>
      </c>
      <c r="C33" s="20"/>
      <c r="D33" s="18" t="str">
        <f>IFERROR(__xludf.DUMMYFUNCTION("""COMPUTED_VALUE"""),"Alta disponibilidad en redes")</f>
        <v>Alta disponibilidad en redes</v>
      </c>
      <c r="E33" s="20"/>
      <c r="F33" s="18" t="str">
        <f>IFERROR(__xludf.DUMMYFUNCTION("""COMPUTED_VALUE"""),"Configuración de HSRP para la redundancia de routers.")</f>
        <v>Configuración de HSRP para la redundancia de routers.</v>
      </c>
      <c r="G33" s="19"/>
      <c r="H33" s="20"/>
    </row>
    <row r="34" ht="15.75" customHeight="1">
      <c r="A34" s="21">
        <v>7.0</v>
      </c>
      <c r="B34" s="18" t="str">
        <f>IFERROR(__xludf.DUMMYFUNCTION("""COMPUTED_VALUE"""),"Unidad 4: Alta disponibilidad en redes.")</f>
        <v>Unidad 4: Alta disponibilidad en redes.</v>
      </c>
      <c r="C34" s="20"/>
      <c r="D34" s="18" t="str">
        <f>IFERROR(__xludf.DUMMYFUNCTION("""COMPUTED_VALUE"""),"Alta disponibilidad en redes")</f>
        <v>Alta disponibilidad en redes</v>
      </c>
      <c r="E34" s="20"/>
      <c r="F34" s="18" t="str">
        <f>IFERROR(__xludf.DUMMYFUNCTION("""COMPUTED_VALUE"""),"Integración de protocolo HSRP en redes locales en Cisco Packer Tracer.")</f>
        <v>Integración de protocolo HSRP en redes locales en Cisco Packer Tracer.</v>
      </c>
      <c r="G34" s="19"/>
      <c r="H34" s="20"/>
    </row>
    <row r="35" ht="15.75" customHeight="1">
      <c r="A35" s="21">
        <v>8.0</v>
      </c>
      <c r="B35" s="53" t="str">
        <f>IFERROR(__xludf.DUMMYFUNCTION("""COMPUTED_VALUE"""),"Unidad 4: Alta disponibilidad en redes.")</f>
        <v>Unidad 4: Alta disponibilidad en redes.</v>
      </c>
      <c r="C35" s="53"/>
      <c r="D35" s="53" t="str">
        <f>IFERROR(__xludf.DUMMYFUNCTION("""COMPUTED_VALUE"""),"DNS y servicios de nombres de dominio")</f>
        <v>DNS y servicios de nombres de dominio</v>
      </c>
      <c r="E35" s="53"/>
      <c r="F35" s="54" t="str">
        <f>IFERROR(__xludf.DUMMYFUNCTION("""COMPUTED_VALUE"""),"Concepto y función del sistema de nombres de dominio (DNS).")</f>
        <v>Concepto y función del sistema de nombres de dominio (DNS).</v>
      </c>
      <c r="G35" s="19"/>
      <c r="H35" s="20"/>
    </row>
    <row r="36" ht="15.75" customHeight="1">
      <c r="A36" s="21">
        <v>9.0</v>
      </c>
      <c r="B36" s="53" t="str">
        <f>IFERROR(__xludf.DUMMYFUNCTION("""COMPUTED_VALUE"""),"Unidad 7:Internet.")</f>
        <v>Unidad 7:Internet.</v>
      </c>
      <c r="C36" s="53"/>
      <c r="D36" s="53" t="str">
        <f>IFERROR(__xludf.DUMMYFUNCTION("""COMPUTED_VALUE"""),"DNS y servicios de nombres de dominio")</f>
        <v>DNS y servicios de nombres de dominio</v>
      </c>
      <c r="E36" s="53"/>
      <c r="F36" s="54" t="str">
        <f>IFERROR(__xludf.DUMMYFUNCTION("""COMPUTED_VALUE"""),"Estructura jerárquica del DNS: dominios y subdominios.")</f>
        <v>Estructura jerárquica del DNS: dominios y subdominios.</v>
      </c>
      <c r="G36" s="19"/>
      <c r="H36" s="20"/>
    </row>
    <row r="37" ht="15.75" customHeight="1">
      <c r="A37" s="21">
        <v>10.0</v>
      </c>
      <c r="B37" s="53" t="str">
        <f>IFERROR(__xludf.DUMMYFUNCTION("""COMPUTED_VALUE"""),"Unidad 7:Internet.")</f>
        <v>Unidad 7:Internet.</v>
      </c>
      <c r="C37" s="53"/>
      <c r="D37" s="53" t="str">
        <f>IFERROR(__xludf.DUMMYFUNCTION("""COMPUTED_VALUE"""),"DNS y servicios de nombres de dominio")</f>
        <v>DNS y servicios de nombres de dominio</v>
      </c>
      <c r="E37" s="53"/>
      <c r="F37" s="54" t="str">
        <f>IFERROR(__xludf.DUMMYFUNCTION("""COMPUTED_VALUE"""),"Funcionamiento básico del DNS: resolución de nombres y tipos de registros.")</f>
        <v>Funcionamiento básico del DNS: resolución de nombres y tipos de registros.</v>
      </c>
      <c r="G37" s="19"/>
      <c r="H37" s="20"/>
    </row>
    <row r="38" ht="15.75" customHeight="1">
      <c r="A38" s="21">
        <v>11.0</v>
      </c>
      <c r="B38" s="53" t="str">
        <f>IFERROR(__xludf.DUMMYFUNCTION("""COMPUTED_VALUE"""),"Unidad 7:Internet.")</f>
        <v>Unidad 7:Internet.</v>
      </c>
      <c r="C38" s="53"/>
      <c r="D38" s="53" t="str">
        <f>IFERROR(__xludf.DUMMYFUNCTION("""COMPUTED_VALUE"""),"DNS y servicios de nombres de dominio")</f>
        <v>DNS y servicios de nombres de dominio</v>
      </c>
      <c r="E38" s="53"/>
      <c r="F38" s="54" t="str">
        <f>IFERROR(__xludf.DUMMYFUNCTION("""COMPUTED_VALUE"""),"Configuración de servidores DNS en redes locales.")</f>
        <v>Configuración de servidores DNS en redes locales.</v>
      </c>
      <c r="G38" s="19"/>
      <c r="H38" s="20"/>
    </row>
    <row r="39" ht="15.75" customHeight="1">
      <c r="A39" s="21">
        <v>12.0</v>
      </c>
      <c r="B39" s="53" t="str">
        <f>IFERROR(__xludf.DUMMYFUNCTION("""COMPUTED_VALUE"""),"Unidad 7:Internet.")</f>
        <v>Unidad 7:Internet.</v>
      </c>
      <c r="C39" s="53"/>
      <c r="D39" s="53" t="str">
        <f>IFERROR(__xludf.DUMMYFUNCTION("""COMPUTED_VALUE"""),"DNS y servicios de nombres de dominio")</f>
        <v>DNS y servicios de nombres de dominio</v>
      </c>
      <c r="E39" s="53"/>
      <c r="F39" s="54" t="str">
        <f>IFERROR(__xludf.DUMMYFUNCTION("""COMPUTED_VALUE"""),"Tipos de servidores DNS: primario, secundario y caché.")</f>
        <v>Tipos de servidores DNS: primario, secundario y caché.</v>
      </c>
      <c r="G39" s="19"/>
      <c r="H39" s="20"/>
    </row>
    <row r="40" ht="15.75" customHeight="1"/>
    <row r="41" ht="15.75" customHeight="1">
      <c r="A41" s="50" t="s">
        <v>199</v>
      </c>
    </row>
    <row r="42" ht="15.75" customHeight="1">
      <c r="A42" s="5"/>
      <c r="B42" s="5"/>
      <c r="C42" s="5"/>
      <c r="D42" s="5"/>
      <c r="E42" s="5"/>
      <c r="F42" s="5"/>
      <c r="G42" s="5"/>
      <c r="H42" s="5"/>
    </row>
    <row r="43" ht="15.75" customHeight="1">
      <c r="A43" s="51" t="s">
        <v>200</v>
      </c>
      <c r="B43" s="51" t="s">
        <v>201</v>
      </c>
      <c r="C43" s="55" t="s">
        <v>202</v>
      </c>
      <c r="D43" s="56" t="s">
        <v>146</v>
      </c>
      <c r="E43" s="19"/>
      <c r="F43" s="19"/>
      <c r="G43" s="19"/>
      <c r="H43" s="20"/>
    </row>
    <row r="44" ht="15.75" customHeight="1">
      <c r="A44" s="21" t="s">
        <v>203</v>
      </c>
      <c r="B44" s="21" t="s">
        <v>204</v>
      </c>
      <c r="C44" s="21"/>
      <c r="D44" s="31">
        <v>30.0</v>
      </c>
      <c r="E44" s="19"/>
      <c r="F44" s="19"/>
      <c r="G44" s="19"/>
      <c r="H44" s="20"/>
    </row>
    <row r="45" ht="15.75" customHeight="1">
      <c r="A45" s="21" t="s">
        <v>205</v>
      </c>
      <c r="B45" s="21" t="s">
        <v>204</v>
      </c>
      <c r="C45" s="21" t="s">
        <v>206</v>
      </c>
      <c r="D45" s="31">
        <v>5.0</v>
      </c>
      <c r="E45" s="19"/>
      <c r="F45" s="19"/>
      <c r="G45" s="19"/>
      <c r="H45" s="20"/>
    </row>
    <row r="46" ht="15.75" customHeight="1">
      <c r="A46" s="21" t="s">
        <v>207</v>
      </c>
      <c r="B46" s="21" t="s">
        <v>208</v>
      </c>
      <c r="C46" s="21"/>
      <c r="D46" s="18"/>
      <c r="E46" s="19"/>
      <c r="F46" s="19"/>
      <c r="G46" s="19"/>
      <c r="H46" s="20"/>
    </row>
    <row r="47" ht="15.75" customHeight="1">
      <c r="A47" s="21" t="s">
        <v>209</v>
      </c>
      <c r="B47" s="21" t="s">
        <v>204</v>
      </c>
      <c r="C47" s="21"/>
      <c r="D47" s="31">
        <v>25.0</v>
      </c>
      <c r="E47" s="19"/>
      <c r="F47" s="19"/>
      <c r="G47" s="19"/>
      <c r="H47" s="20"/>
    </row>
    <row r="48" ht="15.75" customHeight="1"/>
    <row r="49" ht="15.75" customHeight="1">
      <c r="A49" s="41" t="s">
        <v>210</v>
      </c>
      <c r="G49" s="35" t="s">
        <v>146</v>
      </c>
      <c r="H49" s="62">
        <f>B55+B66</f>
        <v>25</v>
      </c>
    </row>
    <row r="50" ht="15.75" customHeight="1">
      <c r="G50" s="25" t="s">
        <v>211</v>
      </c>
    </row>
    <row r="51" ht="15.75" customHeight="1">
      <c r="A51" s="25" t="s">
        <v>212</v>
      </c>
    </row>
    <row r="52" ht="15.75" customHeight="1">
      <c r="A52" s="30" t="s">
        <v>213</v>
      </c>
      <c r="B52" s="31" t="s">
        <v>117</v>
      </c>
      <c r="C52" s="19"/>
      <c r="D52" s="19"/>
      <c r="E52" s="19"/>
      <c r="F52" s="19"/>
      <c r="G52" s="19"/>
      <c r="H52" s="20"/>
    </row>
    <row r="53" ht="15.75" customHeight="1">
      <c r="A53" s="30" t="s">
        <v>214</v>
      </c>
      <c r="B53" s="31" t="s">
        <v>215</v>
      </c>
      <c r="C53" s="19"/>
      <c r="D53" s="19"/>
      <c r="E53" s="19"/>
      <c r="F53" s="19"/>
      <c r="G53" s="19"/>
      <c r="H53" s="20"/>
    </row>
    <row r="54" ht="15.75" customHeight="1">
      <c r="A54" s="30" t="s">
        <v>182</v>
      </c>
      <c r="B54" s="63">
        <v>1.0</v>
      </c>
      <c r="C54" s="19"/>
      <c r="D54" s="19"/>
      <c r="E54" s="19"/>
      <c r="F54" s="19"/>
      <c r="G54" s="19"/>
      <c r="H54" s="20"/>
    </row>
    <row r="55" ht="15.75" customHeight="1">
      <c r="A55" s="30" t="s">
        <v>146</v>
      </c>
      <c r="B55" s="63">
        <v>15.0</v>
      </c>
      <c r="C55" s="19"/>
      <c r="D55" s="19"/>
      <c r="E55" s="19"/>
      <c r="F55" s="19"/>
      <c r="G55" s="19"/>
      <c r="H55" s="20"/>
    </row>
    <row r="56" ht="15.75" customHeight="1">
      <c r="A56" s="37" t="s">
        <v>216</v>
      </c>
      <c r="B56" s="5"/>
      <c r="C56" s="5"/>
      <c r="D56" s="5"/>
      <c r="E56" s="5"/>
      <c r="F56" s="5"/>
      <c r="G56" s="5"/>
      <c r="H56" s="5"/>
    </row>
    <row r="57" ht="15.75" customHeight="1">
      <c r="A57" s="43" t="s">
        <v>217</v>
      </c>
      <c r="B57" s="19"/>
      <c r="C57" s="19"/>
      <c r="D57" s="19"/>
      <c r="E57" s="19"/>
      <c r="F57" s="19"/>
      <c r="G57" s="19"/>
      <c r="H57" s="20"/>
    </row>
    <row r="58" ht="15.75" customHeight="1">
      <c r="A58" s="64" t="s">
        <v>218</v>
      </c>
      <c r="B58" s="45"/>
      <c r="C58" s="45"/>
      <c r="D58" s="45"/>
      <c r="E58" s="45"/>
      <c r="F58" s="45"/>
      <c r="G58" s="45"/>
      <c r="H58" s="46"/>
    </row>
    <row r="59" ht="15.75" customHeight="1">
      <c r="A59" s="58"/>
      <c r="H59" s="59"/>
    </row>
    <row r="60" ht="15.75" customHeight="1">
      <c r="A60" s="47"/>
      <c r="B60" s="48"/>
      <c r="C60" s="48"/>
      <c r="D60" s="48"/>
      <c r="E60" s="48"/>
      <c r="F60" s="48"/>
      <c r="G60" s="48"/>
      <c r="H60" s="49"/>
    </row>
    <row r="61" ht="15.75" customHeight="1"/>
    <row r="62" ht="15.75" customHeight="1">
      <c r="A62" s="25" t="s">
        <v>219</v>
      </c>
    </row>
    <row r="63" ht="15.75" customHeight="1">
      <c r="A63" s="30" t="s">
        <v>213</v>
      </c>
      <c r="B63" s="31" t="s">
        <v>109</v>
      </c>
      <c r="C63" s="19"/>
      <c r="D63" s="19"/>
      <c r="E63" s="19"/>
      <c r="F63" s="19"/>
      <c r="G63" s="19"/>
      <c r="H63" s="20"/>
    </row>
    <row r="64" ht="15.75" customHeight="1">
      <c r="A64" s="30" t="s">
        <v>214</v>
      </c>
      <c r="B64" s="28" t="s">
        <v>220</v>
      </c>
      <c r="C64" s="19"/>
      <c r="D64" s="19"/>
      <c r="E64" s="19"/>
      <c r="F64" s="19"/>
      <c r="G64" s="19"/>
      <c r="H64" s="20"/>
    </row>
    <row r="65" ht="15.75" customHeight="1">
      <c r="A65" s="30" t="s">
        <v>182</v>
      </c>
      <c r="B65" s="28"/>
      <c r="C65" s="19"/>
      <c r="D65" s="19"/>
      <c r="E65" s="19"/>
      <c r="F65" s="19"/>
      <c r="G65" s="19"/>
      <c r="H65" s="20"/>
    </row>
    <row r="66" ht="15.75" customHeight="1">
      <c r="A66" s="30" t="s">
        <v>146</v>
      </c>
      <c r="B66" s="67">
        <v>10.0</v>
      </c>
      <c r="C66" s="19"/>
      <c r="D66" s="19"/>
      <c r="E66" s="19"/>
      <c r="F66" s="19"/>
      <c r="G66" s="19"/>
      <c r="H66" s="20"/>
    </row>
    <row r="67" ht="15.75" customHeight="1">
      <c r="A67" s="61" t="s">
        <v>221</v>
      </c>
      <c r="B67" s="5"/>
      <c r="C67" s="5"/>
      <c r="D67" s="5"/>
      <c r="E67" s="5"/>
      <c r="F67" s="5"/>
      <c r="G67" s="5"/>
      <c r="H67" s="5"/>
    </row>
    <row r="68" ht="15.75" customHeight="1">
      <c r="A68" s="43" t="s">
        <v>217</v>
      </c>
      <c r="B68" s="19"/>
      <c r="C68" s="19"/>
      <c r="D68" s="19"/>
      <c r="E68" s="19"/>
      <c r="F68" s="19"/>
      <c r="G68" s="19"/>
      <c r="H68" s="20"/>
    </row>
    <row r="69" ht="15.75" customHeight="1">
      <c r="A69" s="44" t="s">
        <v>255</v>
      </c>
      <c r="B69" s="45"/>
      <c r="C69" s="45"/>
      <c r="D69" s="45"/>
      <c r="E69" s="45"/>
      <c r="F69" s="45"/>
      <c r="G69" s="45"/>
      <c r="H69" s="46"/>
    </row>
    <row r="70" ht="15.75" customHeight="1">
      <c r="A70" s="58"/>
      <c r="H70" s="59"/>
    </row>
    <row r="71" ht="15.75" customHeight="1">
      <c r="A71" s="47"/>
      <c r="B71" s="48"/>
      <c r="C71" s="48"/>
      <c r="D71" s="48"/>
      <c r="E71" s="48"/>
      <c r="F71" s="48"/>
      <c r="G71" s="48"/>
      <c r="H71" s="49"/>
    </row>
    <row r="72" ht="15.75" customHeight="1"/>
    <row r="73" ht="15.75" customHeight="1">
      <c r="A73" s="41" t="s">
        <v>223</v>
      </c>
      <c r="G73" s="35" t="s">
        <v>146</v>
      </c>
      <c r="H73" s="42">
        <v>10.0</v>
      </c>
    </row>
    <row r="74" ht="15.75" customHeight="1">
      <c r="G74" s="25" t="s">
        <v>224</v>
      </c>
    </row>
    <row r="75" ht="15.75" customHeight="1">
      <c r="A75" s="30" t="s">
        <v>146</v>
      </c>
      <c r="B75" s="60"/>
      <c r="C75" s="19"/>
      <c r="D75" s="19"/>
      <c r="E75" s="19"/>
      <c r="F75" s="19"/>
      <c r="G75" s="19"/>
      <c r="H75" s="20"/>
    </row>
    <row r="76" ht="15.75" customHeight="1">
      <c r="A76" s="56" t="s">
        <v>225</v>
      </c>
      <c r="B76" s="19"/>
      <c r="C76" s="19"/>
      <c r="D76" s="19"/>
      <c r="E76" s="19"/>
      <c r="F76" s="19"/>
      <c r="G76" s="19"/>
      <c r="H76" s="20"/>
    </row>
    <row r="77" ht="15.75" customHeight="1">
      <c r="A77" s="44" t="s">
        <v>226</v>
      </c>
      <c r="B77" s="45"/>
      <c r="C77" s="45"/>
      <c r="D77" s="45"/>
      <c r="E77" s="45"/>
      <c r="F77" s="45"/>
      <c r="G77" s="45"/>
      <c r="H77" s="46"/>
    </row>
    <row r="78" ht="15.75" customHeight="1">
      <c r="A78" s="47"/>
      <c r="B78" s="48"/>
      <c r="C78" s="48"/>
      <c r="D78" s="48"/>
      <c r="E78" s="48"/>
      <c r="F78" s="48"/>
      <c r="G78" s="48"/>
      <c r="H78" s="49"/>
    </row>
    <row r="79" ht="15.75" customHeight="1">
      <c r="A79" s="25" t="s">
        <v>227</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66">
    <mergeCell ref="D43:H43"/>
    <mergeCell ref="D44:H44"/>
    <mergeCell ref="D45:H45"/>
    <mergeCell ref="D46:H46"/>
    <mergeCell ref="D47:H47"/>
    <mergeCell ref="A49:F49"/>
    <mergeCell ref="B52:H52"/>
    <mergeCell ref="B65:H65"/>
    <mergeCell ref="B66:H66"/>
    <mergeCell ref="A68:H68"/>
    <mergeCell ref="A69:H71"/>
    <mergeCell ref="A73:F73"/>
    <mergeCell ref="B75:H75"/>
    <mergeCell ref="A76:H76"/>
    <mergeCell ref="A77:H78"/>
    <mergeCell ref="B53:H53"/>
    <mergeCell ref="B54:H54"/>
    <mergeCell ref="B55:H55"/>
    <mergeCell ref="A57:H57"/>
    <mergeCell ref="A58:H60"/>
    <mergeCell ref="B63:H63"/>
    <mergeCell ref="B64:H64"/>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F35:H35"/>
    <mergeCell ref="F36:H36"/>
    <mergeCell ref="F37:H37"/>
    <mergeCell ref="F38:H38"/>
    <mergeCell ref="F39:H39"/>
  </mergeCells>
  <dataValidations>
    <dataValidation type="list" allowBlank="1" showErrorMessage="1" sqref="B23:B24 B52 B63">
      <formula1>METADATA!$I$17:$I$40</formula1>
    </dataValidation>
    <dataValidation type="list" allowBlank="1" showErrorMessage="1" sqref="B53">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2.5"/>
    <col customWidth="1" min="5" max="5" width="23.25"/>
    <col customWidth="1" min="8" max="8" width="35.25"/>
  </cols>
  <sheetData>
    <row r="1" ht="15.75" customHeight="1"/>
    <row r="2" ht="15.75" customHeight="1">
      <c r="B2" s="39" t="s">
        <v>181</v>
      </c>
    </row>
    <row r="3" ht="15.75" customHeight="1"/>
    <row r="4" ht="15.75" customHeight="1">
      <c r="B4" s="17" t="s">
        <v>1</v>
      </c>
      <c r="C4" s="18" t="str">
        <f>'Diseño'!C4</f>
        <v>975 - Redes de Computadoras 2</v>
      </c>
      <c r="D4" s="19"/>
      <c r="E4" s="19"/>
      <c r="F4" s="19"/>
      <c r="G4" s="20"/>
    </row>
    <row r="5" ht="15.75" customHeight="1">
      <c r="B5" s="21" t="s">
        <v>11</v>
      </c>
      <c r="C5" s="18">
        <v>10.0</v>
      </c>
      <c r="D5" s="19"/>
      <c r="E5" s="19"/>
      <c r="F5" s="19"/>
      <c r="G5" s="20"/>
    </row>
    <row r="6" ht="15.75" customHeight="1">
      <c r="B6" s="40" t="s">
        <v>144</v>
      </c>
      <c r="C6" s="18">
        <f>H10+H21+H49+H73</f>
        <v>100</v>
      </c>
      <c r="D6" s="19"/>
      <c r="E6" s="19"/>
      <c r="F6" s="19"/>
      <c r="G6" s="20"/>
      <c r="I6" s="5"/>
    </row>
    <row r="7" ht="15.75" customHeight="1">
      <c r="B7" s="40" t="s">
        <v>182</v>
      </c>
      <c r="C7" s="18">
        <f>B54+B65</f>
        <v>6</v>
      </c>
      <c r="D7" s="19"/>
      <c r="E7" s="19"/>
      <c r="F7" s="19"/>
      <c r="G7" s="20"/>
    </row>
    <row r="8" ht="15.75" customHeight="1">
      <c r="B8" s="40" t="s">
        <v>183</v>
      </c>
      <c r="C8" s="18" t="str">
        <f>IF(H49&lt;=0, "❌ ERROR: La Actividad 1 debe tener un tiempo mayor a 0.", IF(H21&gt;60, "❌ ERROR: El 'Área de Conocimiento' no puede exceder los 60 min.", IF((H10+H21+H49+H73)&lt;100, "❌ ERROR: El tiempo total debe ser de al menos 100 min.", "✅ VALIDACIÓN CORRECTA")))</f>
        <v>✅ VALIDACIÓN CORRECTA</v>
      </c>
      <c r="D8" s="19"/>
      <c r="E8" s="19"/>
      <c r="F8" s="19"/>
      <c r="G8" s="20"/>
      <c r="I8" s="5"/>
      <c r="J8" s="5"/>
      <c r="K8" s="5"/>
    </row>
    <row r="9" ht="15.75" customHeight="1"/>
    <row r="10" ht="15.75" customHeight="1">
      <c r="A10" s="41" t="s">
        <v>184</v>
      </c>
      <c r="G10" s="35" t="s">
        <v>146</v>
      </c>
      <c r="H10" s="42">
        <v>5.0</v>
      </c>
    </row>
    <row r="11" ht="15.75" customHeight="1">
      <c r="G11" s="25" t="s">
        <v>185</v>
      </c>
    </row>
    <row r="12" ht="15.75" customHeight="1">
      <c r="A12" s="30" t="s">
        <v>186</v>
      </c>
      <c r="B12" s="31" t="s">
        <v>256</v>
      </c>
      <c r="C12" s="19"/>
      <c r="D12" s="19"/>
      <c r="E12" s="19"/>
      <c r="F12" s="19"/>
      <c r="G12" s="19"/>
      <c r="H12" s="20"/>
    </row>
    <row r="13" ht="15.75" customHeight="1">
      <c r="A13" s="32" t="s">
        <v>146</v>
      </c>
      <c r="B13" s="18">
        <f>H10</f>
        <v>5</v>
      </c>
      <c r="C13" s="19"/>
      <c r="D13" s="19"/>
      <c r="E13" s="19"/>
      <c r="F13" s="19"/>
      <c r="G13" s="19"/>
      <c r="H13" s="20"/>
    </row>
    <row r="14" ht="15.75" customHeight="1">
      <c r="A14" s="43" t="s">
        <v>188</v>
      </c>
      <c r="B14" s="19"/>
      <c r="C14" s="19"/>
      <c r="D14" s="19"/>
      <c r="E14" s="19"/>
      <c r="F14" s="19"/>
      <c r="G14" s="19"/>
      <c r="H14" s="20"/>
    </row>
    <row r="15" ht="15.75" customHeight="1">
      <c r="A15" s="44" t="s">
        <v>257</v>
      </c>
      <c r="B15" s="45"/>
      <c r="C15" s="45"/>
      <c r="D15" s="45"/>
      <c r="E15" s="45"/>
      <c r="F15" s="45"/>
      <c r="G15" s="45"/>
      <c r="H15" s="46"/>
    </row>
    <row r="16" ht="15.75" customHeight="1">
      <c r="A16" s="47"/>
      <c r="B16" s="48"/>
      <c r="C16" s="48"/>
      <c r="D16" s="48"/>
      <c r="E16" s="48"/>
      <c r="F16" s="48"/>
      <c r="G16" s="48"/>
      <c r="H16" s="49"/>
    </row>
    <row r="17" ht="15.75" customHeight="1">
      <c r="A17" s="43" t="s">
        <v>190</v>
      </c>
      <c r="B17" s="19"/>
      <c r="C17" s="19"/>
      <c r="D17" s="19"/>
      <c r="E17" s="19"/>
      <c r="F17" s="19"/>
      <c r="G17" s="19"/>
      <c r="H17" s="20"/>
    </row>
    <row r="18" ht="15.75" customHeight="1">
      <c r="A18" s="44" t="s">
        <v>258</v>
      </c>
      <c r="B18" s="45"/>
      <c r="C18" s="45"/>
      <c r="D18" s="45"/>
      <c r="E18" s="45"/>
      <c r="F18" s="45"/>
      <c r="G18" s="45"/>
      <c r="H18" s="46"/>
    </row>
    <row r="19" ht="15.75" customHeight="1">
      <c r="A19" s="47"/>
      <c r="B19" s="48"/>
      <c r="C19" s="48"/>
      <c r="D19" s="48"/>
      <c r="E19" s="48"/>
      <c r="F19" s="48"/>
      <c r="G19" s="48"/>
      <c r="H19" s="49"/>
    </row>
    <row r="20" ht="15.75" customHeight="1"/>
    <row r="21" ht="15.75" customHeight="1">
      <c r="A21" s="41" t="s">
        <v>192</v>
      </c>
      <c r="G21" s="35" t="s">
        <v>146</v>
      </c>
      <c r="H21" s="62">
        <f>D44+D45+D46+D47</f>
        <v>60</v>
      </c>
      <c r="I21" s="5"/>
    </row>
    <row r="22" ht="15.75" customHeight="1">
      <c r="G22" s="25" t="s">
        <v>193</v>
      </c>
    </row>
    <row r="23" ht="15.75" customHeight="1">
      <c r="A23" s="30" t="s">
        <v>194</v>
      </c>
      <c r="B23" s="31" t="s">
        <v>49</v>
      </c>
      <c r="C23" s="19"/>
      <c r="D23" s="19"/>
      <c r="E23" s="19"/>
      <c r="F23" s="19"/>
      <c r="G23" s="19"/>
      <c r="H23" s="20"/>
    </row>
    <row r="24" ht="15.75" customHeight="1">
      <c r="A24" s="30" t="s">
        <v>194</v>
      </c>
      <c r="B24" s="31" t="s">
        <v>138</v>
      </c>
      <c r="C24" s="19"/>
      <c r="D24" s="19"/>
      <c r="E24" s="19"/>
      <c r="F24" s="19"/>
      <c r="G24" s="19"/>
      <c r="H24" s="20"/>
    </row>
    <row r="25" ht="15.75" customHeight="1"/>
    <row r="26" ht="15.75" customHeight="1">
      <c r="A26" s="50" t="s">
        <v>195</v>
      </c>
      <c r="B26" s="5"/>
      <c r="C26" s="5"/>
      <c r="D26" s="5"/>
    </row>
    <row r="27" ht="15.75" customHeight="1">
      <c r="A27" s="51" t="s">
        <v>5</v>
      </c>
      <c r="B27" s="52" t="s">
        <v>196</v>
      </c>
      <c r="C27" s="20"/>
      <c r="D27" s="52" t="s">
        <v>197</v>
      </c>
      <c r="E27" s="20"/>
      <c r="F27" s="52" t="s">
        <v>198</v>
      </c>
      <c r="G27" s="19"/>
      <c r="H27" s="20"/>
    </row>
    <row r="28" ht="15.75" customHeight="1">
      <c r="A28" s="21">
        <v>1.0</v>
      </c>
      <c r="B28" s="18" t="str">
        <f>IFERROR(__xludf.DUMMYFUNCTION("FILTER('Diseño'!D:D,'Diseño'!H:H=$C$5)"),"Unidad 3: Tráfico en capa 3.")</f>
        <v>Unidad 3: Tráfico en capa 3.</v>
      </c>
      <c r="C28" s="20"/>
      <c r="D28" s="18" t="str">
        <f>IFERROR(__xludf.DUMMYFUNCTION("FILTER('Diseño'!E:E,'Diseño'!H:H=$C$5)"),"Protocolos de enrutamiento dinámico")</f>
        <v>Protocolos de enrutamiento dinámico</v>
      </c>
      <c r="E28" s="20"/>
      <c r="F28" s="18" t="str">
        <f>IFERROR(__xludf.DUMMYFUNCTION("FILTER('Diseño'!F:F,'Diseño'!H:H=$C$5)"),"Fundamentos de Border Gateway Protocol (BGP).")</f>
        <v>Fundamentos de Border Gateway Protocol (BGP).</v>
      </c>
      <c r="G28" s="19"/>
      <c r="H28" s="20"/>
    </row>
    <row r="29" ht="15.75" customHeight="1">
      <c r="A29" s="21">
        <v>2.0</v>
      </c>
      <c r="B29" s="18" t="str">
        <f>IFERROR(__xludf.DUMMYFUNCTION("""COMPUTED_VALUE"""),"Unidad 3: Tráfico en capa 3.")</f>
        <v>Unidad 3: Tráfico en capa 3.</v>
      </c>
      <c r="C29" s="20"/>
      <c r="D29" s="18" t="str">
        <f>IFERROR(__xludf.DUMMYFUNCTION("""COMPUTED_VALUE"""),"Protocolos de enrutamiento dinámico")</f>
        <v>Protocolos de enrutamiento dinámico</v>
      </c>
      <c r="E29" s="20"/>
      <c r="F29" s="18" t="str">
        <f>IFERROR(__xludf.DUMMYFUNCTION("""COMPUTED_VALUE"""),"Tipos de BGP: Interno (iBGP) y Externo (eBGP).")</f>
        <v>Tipos de BGP: Interno (iBGP) y Externo (eBGP).</v>
      </c>
      <c r="G29" s="19"/>
      <c r="H29" s="20"/>
    </row>
    <row r="30" ht="15.75" customHeight="1">
      <c r="A30" s="21">
        <v>3.0</v>
      </c>
      <c r="B30" s="18" t="str">
        <f>IFERROR(__xludf.DUMMYFUNCTION("""COMPUTED_VALUE"""),"Unidad 3: Tráfico en capa 3.")</f>
        <v>Unidad 3: Tráfico en capa 3.</v>
      </c>
      <c r="C30" s="20"/>
      <c r="D30" s="18" t="str">
        <f>IFERROR(__xludf.DUMMYFUNCTION("""COMPUTED_VALUE"""),"Protocolos de enrutamiento dinámico")</f>
        <v>Protocolos de enrutamiento dinámico</v>
      </c>
      <c r="E30" s="20"/>
      <c r="F30" s="18" t="str">
        <f>IFERROR(__xludf.DUMMYFUNCTION("""COMPUTED_VALUE"""),"Configuración básica de BGP en routers.")</f>
        <v>Configuración básica de BGP en routers.</v>
      </c>
      <c r="G30" s="19"/>
      <c r="H30" s="20"/>
    </row>
    <row r="31" ht="15.75" customHeight="1">
      <c r="A31" s="21">
        <v>4.0</v>
      </c>
      <c r="B31" s="18" t="str">
        <f>IFERROR(__xludf.DUMMYFUNCTION("""COMPUTED_VALUE"""),"Unidad 3: Tráfico en capa 3.")</f>
        <v>Unidad 3: Tráfico en capa 3.</v>
      </c>
      <c r="C31" s="20"/>
      <c r="D31" s="18" t="str">
        <f>IFERROR(__xludf.DUMMYFUNCTION("""COMPUTED_VALUE"""),"Protocolos de enrutamiento dinámico")</f>
        <v>Protocolos de enrutamiento dinámico</v>
      </c>
      <c r="E31" s="20"/>
      <c r="F31" s="18" t="str">
        <f>IFERROR(__xludf.DUMMYFUNCTION("""COMPUTED_VALUE"""),"Políticas de enrutamiento y atributos en BGP.")</f>
        <v>Políticas de enrutamiento y atributos en BGP.</v>
      </c>
      <c r="G31" s="19"/>
      <c r="H31" s="20"/>
    </row>
    <row r="32" ht="15.75" customHeight="1">
      <c r="A32" s="21">
        <v>5.0</v>
      </c>
      <c r="B32" s="18" t="str">
        <f>IFERROR(__xludf.DUMMYFUNCTION("""COMPUTED_VALUE"""),"Unidad 3: Tráfico en capa 3.")</f>
        <v>Unidad 3: Tráfico en capa 3.</v>
      </c>
      <c r="C32" s="20"/>
      <c r="D32" s="18" t="str">
        <f>IFERROR(__xludf.DUMMYFUNCTION("""COMPUTED_VALUE"""),"Protocolos de enrutamiento dinámico")</f>
        <v>Protocolos de enrutamiento dinámico</v>
      </c>
      <c r="E32" s="20"/>
      <c r="F32" s="18" t="str">
        <f>IFERROR(__xludf.DUMMYFUNCTION("""COMPUTED_VALUE"""),"Comparación entre BGP y RIP en entornos de red.")</f>
        <v>Comparación entre BGP y RIP en entornos de red.</v>
      </c>
      <c r="G32" s="19"/>
      <c r="H32" s="20"/>
    </row>
    <row r="33" ht="15.75" customHeight="1">
      <c r="A33" s="21">
        <v>6.0</v>
      </c>
      <c r="B33" s="18" t="str">
        <f>IFERROR(__xludf.DUMMYFUNCTION("""COMPUTED_VALUE"""),"Unidad 7:Internet.")</f>
        <v>Unidad 7:Internet.</v>
      </c>
      <c r="C33" s="20"/>
      <c r="D33" s="18" t="str">
        <f>IFERROR(__xludf.DUMMYFUNCTION("""COMPUTED_VALUE"""),"Seguridad en redes con certificados SSL/TLS")</f>
        <v>Seguridad en redes con certificados SSL/TLS</v>
      </c>
      <c r="E33" s="20"/>
      <c r="F33" s="18" t="str">
        <f>IFERROR(__xludf.DUMMYFUNCTION("""COMPUTED_VALUE"""),"Introducción a SSL/TLS: historia y evolución.")</f>
        <v>Introducción a SSL/TLS: historia y evolución.</v>
      </c>
      <c r="G33" s="19"/>
      <c r="H33" s="20"/>
    </row>
    <row r="34" ht="15.75" customHeight="1">
      <c r="A34" s="21">
        <v>7.0</v>
      </c>
      <c r="B34" s="18" t="str">
        <f>IFERROR(__xludf.DUMMYFUNCTION("""COMPUTED_VALUE"""),"Unidad 7:Internet.")</f>
        <v>Unidad 7:Internet.</v>
      </c>
      <c r="C34" s="20"/>
      <c r="D34" s="18" t="str">
        <f>IFERROR(__xludf.DUMMYFUNCTION("""COMPUTED_VALUE"""),"Seguridad en redes con certificados SSL/TLS")</f>
        <v>Seguridad en redes con certificados SSL/TLS</v>
      </c>
      <c r="E34" s="20"/>
      <c r="F34" s="18" t="str">
        <f>IFERROR(__xludf.DUMMYFUNCTION("""COMPUTED_VALUE"""),"Funcionamiento de SSL/TLS: capas de seguridad en las comunicaciones.")</f>
        <v>Funcionamiento de SSL/TLS: capas de seguridad en las comunicaciones.</v>
      </c>
      <c r="G34" s="19"/>
      <c r="H34" s="20"/>
    </row>
    <row r="35" ht="15.75" customHeight="1">
      <c r="A35" s="21">
        <v>8.0</v>
      </c>
      <c r="B35" s="53" t="str">
        <f>IFERROR(__xludf.DUMMYFUNCTION("""COMPUTED_VALUE"""),"Unidad 7:Internet.")</f>
        <v>Unidad 7:Internet.</v>
      </c>
      <c r="C35" s="53"/>
      <c r="D35" s="53" t="str">
        <f>IFERROR(__xludf.DUMMYFUNCTION("""COMPUTED_VALUE"""),"Seguridad en redes con certificados SSL/TLS")</f>
        <v>Seguridad en redes con certificados SSL/TLS</v>
      </c>
      <c r="E35" s="53"/>
      <c r="F35" s="54" t="str">
        <f>IFERROR(__xludf.DUMMYFUNCTION("""COMPUTED_VALUE"""),"Tipos de certificados SSL/TLS: estándar, wildcard y EV (Extended Validation).")</f>
        <v>Tipos de certificados SSL/TLS: estándar, wildcard y EV (Extended Validation).</v>
      </c>
      <c r="G35" s="19"/>
      <c r="H35" s="20"/>
    </row>
    <row r="36" ht="15.75" customHeight="1">
      <c r="A36" s="21">
        <v>9.0</v>
      </c>
      <c r="B36" s="53" t="str">
        <f>IFERROR(__xludf.DUMMYFUNCTION("""COMPUTED_VALUE"""),"Unidad 7:Internet.")</f>
        <v>Unidad 7:Internet.</v>
      </c>
      <c r="C36" s="53"/>
      <c r="D36" s="53" t="str">
        <f>IFERROR(__xludf.DUMMYFUNCTION("""COMPUTED_VALUE"""),"Seguridad en redes con certificados SSL/TLS")</f>
        <v>Seguridad en redes con certificados SSL/TLS</v>
      </c>
      <c r="E36" s="53"/>
      <c r="F36" s="54" t="str">
        <f>IFERROR(__xludf.DUMMYFUNCTION("""COMPUTED_VALUE"""),"Validación de certificados: cómo funcionan las autoridades de certificación (CA).")</f>
        <v>Validación de certificados: cómo funcionan las autoridades de certificación (CA).</v>
      </c>
      <c r="G36" s="19"/>
      <c r="H36" s="20"/>
    </row>
    <row r="37" ht="15.75" customHeight="1">
      <c r="A37" s="21">
        <v>10.0</v>
      </c>
      <c r="B37" s="53" t="str">
        <f>IFERROR(__xludf.DUMMYFUNCTION("""COMPUTED_VALUE"""),"Unidad 7:Internet.")</f>
        <v>Unidad 7:Internet.</v>
      </c>
      <c r="C37" s="53"/>
      <c r="D37" s="53" t="str">
        <f>IFERROR(__xludf.DUMMYFUNCTION("""COMPUTED_VALUE"""),"Seguridad en redes con certificados SSL/TLS")</f>
        <v>Seguridad en redes con certificados SSL/TLS</v>
      </c>
      <c r="E37" s="53"/>
      <c r="F37" s="54" t="str">
        <f>IFERROR(__xludf.DUMMYFUNCTION("""COMPUTED_VALUE"""),"Importancia de HTTPS: beneficios de la seguridad en la web.")</f>
        <v>Importancia de HTTPS: beneficios de la seguridad en la web.</v>
      </c>
      <c r="G37" s="19"/>
      <c r="H37" s="20"/>
    </row>
    <row r="38" ht="15.75" customHeight="1">
      <c r="A38" s="21">
        <v>11.0</v>
      </c>
      <c r="B38" s="53" t="str">
        <f>IFERROR(__xludf.DUMMYFUNCTION("""COMPUTED_VALUE"""),"Unidad 7:Internet.")</f>
        <v>Unidad 7:Internet.</v>
      </c>
      <c r="C38" s="53"/>
      <c r="D38" s="53" t="str">
        <f>IFERROR(__xludf.DUMMYFUNCTION("""COMPUTED_VALUE"""),"Seguridad en redes con certificados SSL/TLS")</f>
        <v>Seguridad en redes con certificados SSL/TLS</v>
      </c>
      <c r="E38" s="53"/>
      <c r="F38" s="54" t="str">
        <f>IFERROR(__xludf.DUMMYFUNCTION("""COMPUTED_VALUE"""),"Solución de problemas comunes relacionados con SSL/TLS en servidores web.")</f>
        <v>Solución de problemas comunes relacionados con SSL/TLS en servidores web.</v>
      </c>
      <c r="G38" s="19"/>
      <c r="H38" s="20"/>
    </row>
    <row r="39" ht="15.75" customHeight="1"/>
    <row r="40" ht="15.75" customHeight="1"/>
    <row r="41" ht="15.75" customHeight="1">
      <c r="A41" s="50" t="s">
        <v>199</v>
      </c>
    </row>
    <row r="42" ht="15.75" customHeight="1">
      <c r="A42" s="5"/>
      <c r="B42" s="5"/>
      <c r="C42" s="5"/>
      <c r="D42" s="5"/>
      <c r="E42" s="5"/>
      <c r="F42" s="5"/>
      <c r="G42" s="5"/>
      <c r="H42" s="5"/>
    </row>
    <row r="43" ht="15.75" customHeight="1">
      <c r="A43" s="51" t="s">
        <v>200</v>
      </c>
      <c r="B43" s="51" t="s">
        <v>201</v>
      </c>
      <c r="C43" s="55" t="s">
        <v>202</v>
      </c>
      <c r="D43" s="56" t="s">
        <v>146</v>
      </c>
      <c r="E43" s="19"/>
      <c r="F43" s="19"/>
      <c r="G43" s="19"/>
      <c r="H43" s="20"/>
    </row>
    <row r="44" ht="15.75" customHeight="1">
      <c r="A44" s="21" t="s">
        <v>203</v>
      </c>
      <c r="B44" s="21" t="s">
        <v>204</v>
      </c>
      <c r="C44" s="21"/>
      <c r="D44" s="31">
        <v>30.0</v>
      </c>
      <c r="E44" s="19"/>
      <c r="F44" s="19"/>
      <c r="G44" s="19"/>
      <c r="H44" s="20"/>
    </row>
    <row r="45" ht="15.75" customHeight="1">
      <c r="A45" s="21" t="s">
        <v>205</v>
      </c>
      <c r="B45" s="21" t="s">
        <v>204</v>
      </c>
      <c r="C45" s="21" t="s">
        <v>206</v>
      </c>
      <c r="D45" s="31">
        <v>5.0</v>
      </c>
      <c r="E45" s="19"/>
      <c r="F45" s="19"/>
      <c r="G45" s="19"/>
      <c r="H45" s="20"/>
    </row>
    <row r="46" ht="15.75" customHeight="1">
      <c r="A46" s="21" t="s">
        <v>207</v>
      </c>
      <c r="B46" s="21" t="s">
        <v>208</v>
      </c>
      <c r="C46" s="21"/>
      <c r="D46" s="18"/>
      <c r="E46" s="19"/>
      <c r="F46" s="19"/>
      <c r="G46" s="19"/>
      <c r="H46" s="20"/>
    </row>
    <row r="47" ht="15.75" customHeight="1">
      <c r="A47" s="21" t="s">
        <v>209</v>
      </c>
      <c r="B47" s="21" t="s">
        <v>204</v>
      </c>
      <c r="C47" s="21"/>
      <c r="D47" s="31">
        <v>25.0</v>
      </c>
      <c r="E47" s="19"/>
      <c r="F47" s="19"/>
      <c r="G47" s="19"/>
      <c r="H47" s="20"/>
    </row>
    <row r="48" ht="15.75" customHeight="1"/>
    <row r="49" ht="15.75" customHeight="1">
      <c r="A49" s="41" t="s">
        <v>210</v>
      </c>
      <c r="G49" s="35" t="s">
        <v>146</v>
      </c>
      <c r="H49" s="62">
        <f>B55+B66</f>
        <v>30</v>
      </c>
    </row>
    <row r="50" ht="15.75" customHeight="1">
      <c r="G50" s="25" t="s">
        <v>211</v>
      </c>
    </row>
    <row r="51" ht="15.75" customHeight="1">
      <c r="A51" s="25" t="s">
        <v>212</v>
      </c>
    </row>
    <row r="52" ht="15.75" customHeight="1">
      <c r="A52" s="30" t="s">
        <v>213</v>
      </c>
      <c r="B52" s="31" t="s">
        <v>37</v>
      </c>
      <c r="C52" s="19"/>
      <c r="D52" s="19"/>
      <c r="E52" s="19"/>
      <c r="F52" s="19"/>
      <c r="G52" s="19"/>
      <c r="H52" s="20"/>
    </row>
    <row r="53" ht="15.75" customHeight="1">
      <c r="A53" s="30" t="s">
        <v>214</v>
      </c>
      <c r="B53" s="31" t="s">
        <v>215</v>
      </c>
      <c r="C53" s="19"/>
      <c r="D53" s="19"/>
      <c r="E53" s="19"/>
      <c r="F53" s="19"/>
      <c r="G53" s="19"/>
      <c r="H53" s="20"/>
    </row>
    <row r="54" ht="15.75" customHeight="1">
      <c r="A54" s="30" t="s">
        <v>182</v>
      </c>
      <c r="B54" s="57">
        <v>5.0</v>
      </c>
      <c r="C54" s="19"/>
      <c r="D54" s="19"/>
      <c r="E54" s="19"/>
      <c r="F54" s="19"/>
      <c r="G54" s="19"/>
      <c r="H54" s="20"/>
    </row>
    <row r="55" ht="15.75" customHeight="1">
      <c r="A55" s="30" t="s">
        <v>146</v>
      </c>
      <c r="B55" s="31">
        <v>20.0</v>
      </c>
      <c r="C55" s="19"/>
      <c r="D55" s="19"/>
      <c r="E55" s="19"/>
      <c r="F55" s="19"/>
      <c r="G55" s="19"/>
      <c r="H55" s="20"/>
    </row>
    <row r="56" ht="15.75" customHeight="1">
      <c r="A56" s="37" t="s">
        <v>216</v>
      </c>
      <c r="B56" s="5"/>
      <c r="C56" s="5"/>
      <c r="D56" s="5"/>
      <c r="E56" s="5"/>
      <c r="F56" s="5"/>
      <c r="G56" s="5"/>
      <c r="H56" s="5"/>
    </row>
    <row r="57" ht="15.75" customHeight="1">
      <c r="A57" s="43" t="s">
        <v>217</v>
      </c>
      <c r="B57" s="19"/>
      <c r="C57" s="19"/>
      <c r="D57" s="19"/>
      <c r="E57" s="19"/>
      <c r="F57" s="19"/>
      <c r="G57" s="19"/>
      <c r="H57" s="20"/>
    </row>
    <row r="58" ht="15.75" customHeight="1">
      <c r="A58" s="44" t="s">
        <v>259</v>
      </c>
      <c r="B58" s="45"/>
      <c r="C58" s="45"/>
      <c r="D58" s="45"/>
      <c r="E58" s="45"/>
      <c r="F58" s="45"/>
      <c r="G58" s="45"/>
      <c r="H58" s="46"/>
    </row>
    <row r="59" ht="15.75" customHeight="1">
      <c r="A59" s="58"/>
      <c r="H59" s="59"/>
    </row>
    <row r="60" ht="15.75" customHeight="1">
      <c r="A60" s="47"/>
      <c r="B60" s="48"/>
      <c r="C60" s="48"/>
      <c r="D60" s="48"/>
      <c r="E60" s="48"/>
      <c r="F60" s="48"/>
      <c r="G60" s="48"/>
      <c r="H60" s="49"/>
    </row>
    <row r="61" ht="15.75" customHeight="1"/>
    <row r="62" ht="15.75" customHeight="1">
      <c r="A62" s="25" t="s">
        <v>219</v>
      </c>
    </row>
    <row r="63" ht="15.75" customHeight="1">
      <c r="A63" s="30" t="s">
        <v>213</v>
      </c>
      <c r="B63" s="31" t="s">
        <v>12</v>
      </c>
      <c r="C63" s="19"/>
      <c r="D63" s="19"/>
      <c r="E63" s="19"/>
      <c r="F63" s="19"/>
      <c r="G63" s="19"/>
      <c r="H63" s="20"/>
    </row>
    <row r="64" ht="15.75" customHeight="1">
      <c r="A64" s="30" t="s">
        <v>214</v>
      </c>
      <c r="B64" s="28" t="s">
        <v>220</v>
      </c>
      <c r="C64" s="19"/>
      <c r="D64" s="19"/>
      <c r="E64" s="19"/>
      <c r="F64" s="19"/>
      <c r="G64" s="19"/>
      <c r="H64" s="20"/>
    </row>
    <row r="65" ht="15.75" customHeight="1">
      <c r="A65" s="30" t="s">
        <v>182</v>
      </c>
      <c r="B65" s="27">
        <v>1.0</v>
      </c>
      <c r="C65" s="19"/>
      <c r="D65" s="19"/>
      <c r="E65" s="19"/>
      <c r="F65" s="19"/>
      <c r="G65" s="19"/>
      <c r="H65" s="20"/>
    </row>
    <row r="66" ht="15.75" customHeight="1">
      <c r="A66" s="30" t="s">
        <v>146</v>
      </c>
      <c r="B66" s="67">
        <v>10.0</v>
      </c>
      <c r="C66" s="19"/>
      <c r="D66" s="19"/>
      <c r="E66" s="19"/>
      <c r="F66" s="19"/>
      <c r="G66" s="19"/>
      <c r="H66" s="20"/>
    </row>
    <row r="67" ht="15.75" customHeight="1">
      <c r="A67" s="61" t="s">
        <v>221</v>
      </c>
      <c r="B67" s="5"/>
      <c r="C67" s="5"/>
      <c r="D67" s="5"/>
      <c r="E67" s="5"/>
      <c r="F67" s="5"/>
      <c r="G67" s="5"/>
      <c r="H67" s="5"/>
    </row>
    <row r="68" ht="15.75" customHeight="1">
      <c r="A68" s="43" t="s">
        <v>217</v>
      </c>
      <c r="B68" s="19"/>
      <c r="C68" s="19"/>
      <c r="D68" s="19"/>
      <c r="E68" s="19"/>
      <c r="F68" s="19"/>
      <c r="G68" s="19"/>
      <c r="H68" s="20"/>
    </row>
    <row r="69" ht="15.75" customHeight="1">
      <c r="A69" s="44" t="s">
        <v>260</v>
      </c>
      <c r="B69" s="45"/>
      <c r="C69" s="45"/>
      <c r="D69" s="45"/>
      <c r="E69" s="45"/>
      <c r="F69" s="45"/>
      <c r="G69" s="45"/>
      <c r="H69" s="46"/>
    </row>
    <row r="70" ht="15.75" customHeight="1">
      <c r="A70" s="58"/>
      <c r="H70" s="59"/>
    </row>
    <row r="71" ht="15.75" customHeight="1">
      <c r="A71" s="47"/>
      <c r="B71" s="48"/>
      <c r="C71" s="48"/>
      <c r="D71" s="48"/>
      <c r="E71" s="48"/>
      <c r="F71" s="48"/>
      <c r="G71" s="48"/>
      <c r="H71" s="49"/>
    </row>
    <row r="72" ht="15.75" customHeight="1"/>
    <row r="73" ht="15.75" customHeight="1">
      <c r="A73" s="41" t="s">
        <v>223</v>
      </c>
      <c r="G73" s="35" t="s">
        <v>146</v>
      </c>
      <c r="H73" s="42">
        <v>5.0</v>
      </c>
    </row>
    <row r="74" ht="15.75" customHeight="1">
      <c r="G74" s="25" t="s">
        <v>224</v>
      </c>
    </row>
    <row r="75" ht="15.75" customHeight="1">
      <c r="A75" s="30" t="s">
        <v>146</v>
      </c>
      <c r="B75" s="60"/>
      <c r="C75" s="19"/>
      <c r="D75" s="19"/>
      <c r="E75" s="19"/>
      <c r="F75" s="19"/>
      <c r="G75" s="19"/>
      <c r="H75" s="20"/>
    </row>
    <row r="76" ht="15.75" customHeight="1">
      <c r="A76" s="56" t="s">
        <v>225</v>
      </c>
      <c r="B76" s="19"/>
      <c r="C76" s="19"/>
      <c r="D76" s="19"/>
      <c r="E76" s="19"/>
      <c r="F76" s="19"/>
      <c r="G76" s="19"/>
      <c r="H76" s="20"/>
    </row>
    <row r="77" ht="15.75" customHeight="1">
      <c r="A77" s="44" t="s">
        <v>226</v>
      </c>
      <c r="B77" s="45"/>
      <c r="C77" s="45"/>
      <c r="D77" s="45"/>
      <c r="E77" s="45"/>
      <c r="F77" s="45"/>
      <c r="G77" s="45"/>
      <c r="H77" s="46"/>
    </row>
    <row r="78" ht="15.75" customHeight="1">
      <c r="A78" s="47"/>
      <c r="B78" s="48"/>
      <c r="C78" s="48"/>
      <c r="D78" s="48"/>
      <c r="E78" s="48"/>
      <c r="F78" s="48"/>
      <c r="G78" s="48"/>
      <c r="H78" s="49"/>
    </row>
    <row r="79" ht="15.75" customHeight="1">
      <c r="A79" s="25" t="s">
        <v>227</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65">
    <mergeCell ref="D44:H44"/>
    <mergeCell ref="D45:H45"/>
    <mergeCell ref="D46:H46"/>
    <mergeCell ref="D47:H47"/>
    <mergeCell ref="A49:F49"/>
    <mergeCell ref="B52:H52"/>
    <mergeCell ref="B53:H53"/>
    <mergeCell ref="B66:H66"/>
    <mergeCell ref="A68:H68"/>
    <mergeCell ref="A69:H71"/>
    <mergeCell ref="A73:F73"/>
    <mergeCell ref="B75:H75"/>
    <mergeCell ref="A76:H76"/>
    <mergeCell ref="A77:H78"/>
    <mergeCell ref="B54:H54"/>
    <mergeCell ref="B55:H55"/>
    <mergeCell ref="A57:H57"/>
    <mergeCell ref="A58:H60"/>
    <mergeCell ref="B63:H63"/>
    <mergeCell ref="B64:H64"/>
    <mergeCell ref="B65:H65"/>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F35:H35"/>
    <mergeCell ref="F36:H36"/>
    <mergeCell ref="F37:H37"/>
    <mergeCell ref="F38:H38"/>
    <mergeCell ref="D43:H43"/>
  </mergeCells>
  <dataValidations>
    <dataValidation type="list" allowBlank="1" showErrorMessage="1" sqref="B23:B24 B52 B63">
      <formula1>METADATA!$I$17:$I$40</formula1>
    </dataValidation>
    <dataValidation type="list" allowBlank="1" showErrorMessage="1" sqref="B53">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8" max="8" width="33.75"/>
  </cols>
  <sheetData>
    <row r="1" ht="15.75" customHeight="1"/>
    <row r="2" ht="15.75" customHeight="1">
      <c r="B2" s="39" t="s">
        <v>181</v>
      </c>
    </row>
    <row r="3" ht="15.75" customHeight="1"/>
    <row r="4" ht="15.75" customHeight="1">
      <c r="B4" s="17" t="s">
        <v>1</v>
      </c>
      <c r="C4" s="18" t="str">
        <f>'Diseño'!C4</f>
        <v>975 - Redes de Computadoras 2</v>
      </c>
      <c r="D4" s="19"/>
      <c r="E4" s="19"/>
      <c r="F4" s="19"/>
      <c r="G4" s="20"/>
    </row>
    <row r="5" ht="15.75" customHeight="1">
      <c r="B5" s="21" t="s">
        <v>11</v>
      </c>
      <c r="C5" s="18">
        <v>11.0</v>
      </c>
      <c r="D5" s="19"/>
      <c r="E5" s="19"/>
      <c r="F5" s="19"/>
      <c r="G5" s="20"/>
    </row>
    <row r="6" ht="15.75" customHeight="1">
      <c r="B6" s="40" t="s">
        <v>144</v>
      </c>
      <c r="C6" s="18">
        <f>H10+H21+H44+H68</f>
        <v>100</v>
      </c>
      <c r="D6" s="19"/>
      <c r="E6" s="19"/>
      <c r="F6" s="19"/>
      <c r="G6" s="20"/>
      <c r="I6" s="5"/>
    </row>
    <row r="7" ht="15.75" customHeight="1">
      <c r="B7" s="40" t="s">
        <v>182</v>
      </c>
      <c r="C7" s="18">
        <f>B49+B60</f>
        <v>11</v>
      </c>
      <c r="D7" s="19"/>
      <c r="E7" s="19"/>
      <c r="F7" s="19"/>
      <c r="G7" s="20"/>
    </row>
    <row r="8" ht="15.75" customHeight="1">
      <c r="B8" s="40" t="s">
        <v>183</v>
      </c>
      <c r="C8" s="18" t="str">
        <f>IF(H44&lt;=0, "❌ ERROR: La Actividad 1 debe tener un tiempo mayor a 0.", IF(H21&gt;60, "❌ ERROR: El 'Área de Conocimiento' no puede exceder los 60 min.", IF((H10+H21+H44+H68)&lt;100, "❌ ERROR: El tiempo total debe ser de al menos 100 min.", "✅ VALIDACIÓN CORRECTA")))</f>
        <v>✅ VALIDACIÓN CORRECTA</v>
      </c>
      <c r="D8" s="19"/>
      <c r="E8" s="19"/>
      <c r="F8" s="19"/>
      <c r="G8" s="20"/>
      <c r="I8" s="5"/>
      <c r="J8" s="5"/>
      <c r="K8" s="5"/>
    </row>
    <row r="9" ht="15.75" customHeight="1"/>
    <row r="10" ht="15.75" customHeight="1">
      <c r="A10" s="41" t="s">
        <v>184</v>
      </c>
      <c r="G10" s="35" t="s">
        <v>146</v>
      </c>
      <c r="H10" s="42">
        <v>5.0</v>
      </c>
    </row>
    <row r="11" ht="15.75" customHeight="1">
      <c r="G11" s="25" t="s">
        <v>185</v>
      </c>
    </row>
    <row r="12" ht="15.75" customHeight="1">
      <c r="A12" s="30" t="s">
        <v>186</v>
      </c>
      <c r="B12" s="31" t="s">
        <v>261</v>
      </c>
      <c r="C12" s="19"/>
      <c r="D12" s="19"/>
      <c r="E12" s="19"/>
      <c r="F12" s="19"/>
      <c r="G12" s="19"/>
      <c r="H12" s="20"/>
    </row>
    <row r="13" ht="15.75" customHeight="1">
      <c r="A13" s="32" t="s">
        <v>146</v>
      </c>
      <c r="B13" s="18">
        <f>H10</f>
        <v>5</v>
      </c>
      <c r="C13" s="19"/>
      <c r="D13" s="19"/>
      <c r="E13" s="19"/>
      <c r="F13" s="19"/>
      <c r="G13" s="19"/>
      <c r="H13" s="20"/>
    </row>
    <row r="14" ht="15.75" customHeight="1">
      <c r="A14" s="43" t="s">
        <v>188</v>
      </c>
      <c r="B14" s="19"/>
      <c r="C14" s="19"/>
      <c r="D14" s="19"/>
      <c r="E14" s="19"/>
      <c r="F14" s="19"/>
      <c r="G14" s="19"/>
      <c r="H14" s="20"/>
    </row>
    <row r="15" ht="15.75" customHeight="1">
      <c r="A15" s="44" t="s">
        <v>262</v>
      </c>
      <c r="B15" s="45"/>
      <c r="C15" s="45"/>
      <c r="D15" s="45"/>
      <c r="E15" s="45"/>
      <c r="F15" s="45"/>
      <c r="G15" s="45"/>
      <c r="H15" s="46"/>
    </row>
    <row r="16" ht="15.75" customHeight="1">
      <c r="A16" s="47"/>
      <c r="B16" s="48"/>
      <c r="C16" s="48"/>
      <c r="D16" s="48"/>
      <c r="E16" s="48"/>
      <c r="F16" s="48"/>
      <c r="G16" s="48"/>
      <c r="H16" s="49"/>
    </row>
    <row r="17" ht="15.75" customHeight="1">
      <c r="A17" s="43" t="s">
        <v>190</v>
      </c>
      <c r="B17" s="19"/>
      <c r="C17" s="19"/>
      <c r="D17" s="19"/>
      <c r="E17" s="19"/>
      <c r="F17" s="19"/>
      <c r="G17" s="19"/>
      <c r="H17" s="20"/>
    </row>
    <row r="18" ht="15.75" customHeight="1">
      <c r="A18" s="44" t="s">
        <v>263</v>
      </c>
      <c r="B18" s="45"/>
      <c r="C18" s="45"/>
      <c r="D18" s="45"/>
      <c r="E18" s="45"/>
      <c r="F18" s="45"/>
      <c r="G18" s="45"/>
      <c r="H18" s="46"/>
    </row>
    <row r="19" ht="15.75" customHeight="1">
      <c r="A19" s="47"/>
      <c r="B19" s="48"/>
      <c r="C19" s="48"/>
      <c r="D19" s="48"/>
      <c r="E19" s="48"/>
      <c r="F19" s="48"/>
      <c r="G19" s="48"/>
      <c r="H19" s="49"/>
    </row>
    <row r="20" ht="15.75" customHeight="1"/>
    <row r="21" ht="15.75" customHeight="1">
      <c r="A21" s="41" t="s">
        <v>192</v>
      </c>
      <c r="G21" s="35" t="s">
        <v>146</v>
      </c>
      <c r="H21" s="62">
        <f>D39+D40+D41+D42</f>
        <v>45</v>
      </c>
      <c r="I21" s="5"/>
    </row>
    <row r="22" ht="15.75" customHeight="1">
      <c r="G22" s="25" t="s">
        <v>193</v>
      </c>
    </row>
    <row r="23" ht="15.75" customHeight="1">
      <c r="A23" s="30" t="s">
        <v>194</v>
      </c>
      <c r="B23" s="31" t="s">
        <v>138</v>
      </c>
      <c r="C23" s="19"/>
      <c r="D23" s="19"/>
      <c r="E23" s="19"/>
      <c r="F23" s="19"/>
      <c r="G23" s="19"/>
      <c r="H23" s="20"/>
    </row>
    <row r="24" ht="15.75" customHeight="1">
      <c r="A24" s="30" t="s">
        <v>194</v>
      </c>
      <c r="B24" s="31" t="s">
        <v>12</v>
      </c>
      <c r="C24" s="19"/>
      <c r="D24" s="19"/>
      <c r="E24" s="19"/>
      <c r="F24" s="19"/>
      <c r="G24" s="19"/>
      <c r="H24" s="20"/>
    </row>
    <row r="25" ht="15.75" customHeight="1"/>
    <row r="26" ht="15.75" customHeight="1">
      <c r="A26" s="50" t="s">
        <v>195</v>
      </c>
      <c r="B26" s="5"/>
      <c r="C26" s="5"/>
      <c r="D26" s="5"/>
    </row>
    <row r="27" ht="15.75" customHeight="1">
      <c r="A27" s="51" t="s">
        <v>5</v>
      </c>
      <c r="B27" s="52" t="s">
        <v>196</v>
      </c>
      <c r="C27" s="20"/>
      <c r="D27" s="52" t="s">
        <v>197</v>
      </c>
      <c r="E27" s="20"/>
      <c r="F27" s="52" t="s">
        <v>198</v>
      </c>
      <c r="G27" s="19"/>
      <c r="H27" s="20"/>
    </row>
    <row r="28" ht="15.75" customHeight="1">
      <c r="A28" s="21">
        <v>1.0</v>
      </c>
      <c r="B28" s="18" t="str">
        <f>IFERROR(__xludf.DUMMYFUNCTION("FILTER('Diseño'!D:D,'Diseño'!H:H=$C$5)"),"Unidad 7:Internet.")</f>
        <v>Unidad 7:Internet.</v>
      </c>
      <c r="C28" s="20"/>
      <c r="D28" s="18" t="str">
        <f>IFERROR(__xludf.DUMMYFUNCTION("FILTER('Diseño'!E:E,'Diseño'!H:H=$C$5)"),"Introducción a redes en la nube")</f>
        <v>Introducción a redes en la nube</v>
      </c>
      <c r="E28" s="20"/>
      <c r="F28" s="18" t="str">
        <f>IFERROR(__xludf.DUMMYFUNCTION("FILTER('Diseño'!F:F,'Diseño'!H:H=$C$5)"),"Definición y características de redes en la nube: virtualización y escalabilidad.")</f>
        <v>Definición y características de redes en la nube: virtualización y escalabilidad.</v>
      </c>
      <c r="G28" s="19"/>
      <c r="H28" s="20"/>
    </row>
    <row r="29" ht="15.75" customHeight="1">
      <c r="A29" s="21">
        <v>2.0</v>
      </c>
      <c r="B29" s="18" t="str">
        <f>IFERROR(__xludf.DUMMYFUNCTION("""COMPUTED_VALUE"""),"Unidad 7:Internet.")</f>
        <v>Unidad 7:Internet.</v>
      </c>
      <c r="C29" s="20"/>
      <c r="D29" s="18" t="str">
        <f>IFERROR(__xludf.DUMMYFUNCTION("""COMPUTED_VALUE"""),"Introducción a redes en la nube")</f>
        <v>Introducción a redes en la nube</v>
      </c>
      <c r="E29" s="20"/>
      <c r="F29" s="18" t="str">
        <f>IFERROR(__xludf.DUMMYFUNCTION("""COMPUTED_VALUE"""),"Diferencias entre redes públicas, privadas e híbridas en la nube.")</f>
        <v>Diferencias entre redes públicas, privadas e híbridas en la nube.</v>
      </c>
      <c r="G29" s="19"/>
      <c r="H29" s="20"/>
    </row>
    <row r="30" ht="15.75" customHeight="1">
      <c r="A30" s="21">
        <v>3.0</v>
      </c>
      <c r="B30" s="18" t="str">
        <f>IFERROR(__xludf.DUMMYFUNCTION("""COMPUTED_VALUE"""),"Unidad 7:Internet.")</f>
        <v>Unidad 7:Internet.</v>
      </c>
      <c r="C30" s="20"/>
      <c r="D30" s="18" t="str">
        <f>IFERROR(__xludf.DUMMYFUNCTION("""COMPUTED_VALUE"""),"Introducción a redes en la nube")</f>
        <v>Introducción a redes en la nube</v>
      </c>
      <c r="E30" s="20"/>
      <c r="F30" s="18" t="str">
        <f>IFERROR(__xludf.DUMMYFUNCTION("""COMPUTED_VALUE"""),"Funciones del Elastic Load Balancer (ELB) en AWS.")</f>
        <v>Funciones del Elastic Load Balancer (ELB) en AWS.</v>
      </c>
      <c r="G30" s="19"/>
      <c r="H30" s="20"/>
    </row>
    <row r="31" ht="15.75" customHeight="1">
      <c r="A31" s="21">
        <v>4.0</v>
      </c>
      <c r="B31" s="18" t="str">
        <f>IFERROR(__xludf.DUMMYFUNCTION("""COMPUTED_VALUE"""),"Unidad 7:Internet.")</f>
        <v>Unidad 7:Internet.</v>
      </c>
      <c r="C31" s="20"/>
      <c r="D31" s="18" t="str">
        <f>IFERROR(__xludf.DUMMYFUNCTION("""COMPUTED_VALUE"""),"Introducción a redes en la nube")</f>
        <v>Introducción a redes en la nube</v>
      </c>
      <c r="E31" s="20"/>
      <c r="F31" s="18" t="str">
        <f>IFERROR(__xludf.DUMMYFUNCTION("""COMPUTED_VALUE"""),"Casos de uso de redes virtualizadas en la nube: ejemplos teóricos.")</f>
        <v>Casos de uso de redes virtualizadas en la nube: ejemplos teóricos.</v>
      </c>
      <c r="G31" s="19"/>
      <c r="H31" s="20"/>
    </row>
    <row r="32" ht="15.75" customHeight="1">
      <c r="A32" s="21">
        <v>5.0</v>
      </c>
      <c r="B32" s="18"/>
      <c r="C32" s="20"/>
      <c r="D32" s="18"/>
      <c r="E32" s="20"/>
      <c r="F32" s="18"/>
      <c r="G32" s="19"/>
      <c r="H32" s="20"/>
    </row>
    <row r="33" ht="15.75" customHeight="1">
      <c r="A33" s="21">
        <v>6.0</v>
      </c>
      <c r="B33" s="18"/>
      <c r="C33" s="20"/>
      <c r="D33" s="18"/>
      <c r="E33" s="20"/>
      <c r="F33" s="18"/>
      <c r="G33" s="19"/>
      <c r="H33" s="20"/>
    </row>
    <row r="34" ht="15.75" customHeight="1">
      <c r="A34" s="21">
        <v>7.0</v>
      </c>
      <c r="B34" s="18"/>
      <c r="C34" s="20"/>
      <c r="D34" s="18"/>
      <c r="E34" s="20"/>
      <c r="F34" s="18"/>
      <c r="G34" s="19"/>
      <c r="H34" s="20"/>
    </row>
    <row r="35" ht="15.75" customHeight="1"/>
    <row r="36" ht="15.75" customHeight="1">
      <c r="A36" s="50" t="s">
        <v>199</v>
      </c>
    </row>
    <row r="37" ht="15.75" customHeight="1">
      <c r="A37" s="5"/>
      <c r="B37" s="5"/>
      <c r="C37" s="5"/>
      <c r="D37" s="5"/>
      <c r="E37" s="5"/>
      <c r="F37" s="5"/>
      <c r="G37" s="5"/>
      <c r="H37" s="5"/>
    </row>
    <row r="38" ht="15.75" customHeight="1">
      <c r="A38" s="51" t="s">
        <v>200</v>
      </c>
      <c r="B38" s="51" t="s">
        <v>201</v>
      </c>
      <c r="C38" s="55" t="s">
        <v>202</v>
      </c>
      <c r="D38" s="56" t="s">
        <v>146</v>
      </c>
      <c r="E38" s="19"/>
      <c r="F38" s="19"/>
      <c r="G38" s="19"/>
      <c r="H38" s="20"/>
    </row>
    <row r="39" ht="15.75" customHeight="1">
      <c r="A39" s="21" t="s">
        <v>203</v>
      </c>
      <c r="B39" s="21" t="s">
        <v>204</v>
      </c>
      <c r="C39" s="21"/>
      <c r="D39" s="31">
        <v>30.0</v>
      </c>
      <c r="E39" s="19"/>
      <c r="F39" s="19"/>
      <c r="G39" s="19"/>
      <c r="H39" s="20"/>
    </row>
    <row r="40" ht="15.75" customHeight="1">
      <c r="A40" s="21" t="s">
        <v>205</v>
      </c>
      <c r="B40" s="21" t="s">
        <v>204</v>
      </c>
      <c r="C40" s="21" t="s">
        <v>206</v>
      </c>
      <c r="D40" s="31">
        <v>5.0</v>
      </c>
      <c r="E40" s="19"/>
      <c r="F40" s="19"/>
      <c r="G40" s="19"/>
      <c r="H40" s="20"/>
    </row>
    <row r="41" ht="15.75" customHeight="1">
      <c r="A41" s="21" t="s">
        <v>207</v>
      </c>
      <c r="B41" s="21" t="s">
        <v>208</v>
      </c>
      <c r="C41" s="21"/>
      <c r="D41" s="18"/>
      <c r="E41" s="19"/>
      <c r="F41" s="19"/>
      <c r="G41" s="19"/>
      <c r="H41" s="20"/>
    </row>
    <row r="42" ht="15.75" customHeight="1">
      <c r="A42" s="21" t="s">
        <v>209</v>
      </c>
      <c r="B42" s="21" t="s">
        <v>204</v>
      </c>
      <c r="C42" s="21"/>
      <c r="D42" s="31">
        <v>10.0</v>
      </c>
      <c r="E42" s="19"/>
      <c r="F42" s="19"/>
      <c r="G42" s="19"/>
      <c r="H42" s="20"/>
    </row>
    <row r="43" ht="15.75" customHeight="1"/>
    <row r="44" ht="15.75" customHeight="1">
      <c r="A44" s="41" t="s">
        <v>210</v>
      </c>
      <c r="G44" s="35" t="s">
        <v>146</v>
      </c>
      <c r="H44" s="62">
        <f>B50+B61</f>
        <v>40</v>
      </c>
    </row>
    <row r="45" ht="15.75" customHeight="1">
      <c r="G45" s="25" t="s">
        <v>211</v>
      </c>
    </row>
    <row r="46" ht="15.75" customHeight="1">
      <c r="A46" s="25" t="s">
        <v>212</v>
      </c>
    </row>
    <row r="47">
      <c r="A47" s="30" t="s">
        <v>213</v>
      </c>
      <c r="B47" s="31" t="s">
        <v>12</v>
      </c>
      <c r="C47" s="19"/>
      <c r="D47" s="19"/>
      <c r="E47" s="19"/>
      <c r="F47" s="19"/>
      <c r="G47" s="19"/>
      <c r="H47" s="20"/>
    </row>
    <row r="48" ht="15.75" customHeight="1">
      <c r="A48" s="30" t="s">
        <v>214</v>
      </c>
      <c r="B48" s="31" t="s">
        <v>215</v>
      </c>
      <c r="C48" s="19"/>
      <c r="D48" s="19"/>
      <c r="E48" s="19"/>
      <c r="F48" s="19"/>
      <c r="G48" s="19"/>
      <c r="H48" s="20"/>
    </row>
    <row r="49" ht="15.75" customHeight="1">
      <c r="A49" s="30" t="s">
        <v>182</v>
      </c>
      <c r="B49" s="69">
        <v>10.0</v>
      </c>
      <c r="C49" s="19"/>
      <c r="D49" s="19"/>
      <c r="E49" s="19"/>
      <c r="F49" s="19"/>
      <c r="G49" s="19"/>
      <c r="H49" s="20"/>
    </row>
    <row r="50" ht="15.75" customHeight="1">
      <c r="A50" s="30" t="s">
        <v>146</v>
      </c>
      <c r="B50" s="69">
        <v>30.0</v>
      </c>
      <c r="C50" s="19"/>
      <c r="D50" s="19"/>
      <c r="E50" s="19"/>
      <c r="F50" s="19"/>
      <c r="G50" s="19"/>
      <c r="H50" s="20"/>
    </row>
    <row r="51" ht="15.75" customHeight="1">
      <c r="A51" s="37" t="s">
        <v>216</v>
      </c>
      <c r="B51" s="5"/>
      <c r="C51" s="5"/>
      <c r="D51" s="5"/>
      <c r="E51" s="5"/>
      <c r="F51" s="5"/>
      <c r="G51" s="5"/>
      <c r="H51" s="5"/>
    </row>
    <row r="52" ht="15.75" customHeight="1">
      <c r="A52" s="43" t="s">
        <v>217</v>
      </c>
      <c r="B52" s="19"/>
      <c r="C52" s="19"/>
      <c r="D52" s="19"/>
      <c r="E52" s="19"/>
      <c r="F52" s="19"/>
      <c r="G52" s="19"/>
      <c r="H52" s="20"/>
    </row>
    <row r="53" ht="15.75" customHeight="1">
      <c r="A53" s="44" t="s">
        <v>264</v>
      </c>
      <c r="B53" s="45"/>
      <c r="C53" s="45"/>
      <c r="D53" s="45"/>
      <c r="E53" s="45"/>
      <c r="F53" s="45"/>
      <c r="G53" s="45"/>
      <c r="H53" s="46"/>
    </row>
    <row r="54" ht="15.75" customHeight="1">
      <c r="A54" s="58"/>
      <c r="H54" s="59"/>
    </row>
    <row r="55" ht="15.75" customHeight="1">
      <c r="A55" s="47"/>
      <c r="B55" s="48"/>
      <c r="C55" s="48"/>
      <c r="D55" s="48"/>
      <c r="E55" s="48"/>
      <c r="F55" s="48"/>
      <c r="G55" s="48"/>
      <c r="H55" s="49"/>
    </row>
    <row r="56" ht="15.75" customHeight="1"/>
    <row r="57" ht="15.75" customHeight="1">
      <c r="A57" s="25" t="s">
        <v>219</v>
      </c>
    </row>
    <row r="58" ht="25.5" customHeight="1">
      <c r="A58" s="30" t="s">
        <v>213</v>
      </c>
      <c r="B58" s="31" t="s">
        <v>12</v>
      </c>
      <c r="C58" s="19"/>
      <c r="D58" s="19"/>
      <c r="E58" s="19"/>
      <c r="F58" s="19"/>
      <c r="G58" s="19"/>
      <c r="H58" s="20"/>
    </row>
    <row r="59" ht="15.75" customHeight="1">
      <c r="A59" s="30" t="s">
        <v>214</v>
      </c>
      <c r="B59" s="28" t="s">
        <v>220</v>
      </c>
      <c r="C59" s="19"/>
      <c r="D59" s="19"/>
      <c r="E59" s="19"/>
      <c r="F59" s="19"/>
      <c r="G59" s="19"/>
      <c r="H59" s="20"/>
    </row>
    <row r="60" ht="15.75" customHeight="1">
      <c r="A60" s="30" t="s">
        <v>182</v>
      </c>
      <c r="B60" s="27">
        <v>1.0</v>
      </c>
      <c r="C60" s="19"/>
      <c r="D60" s="19"/>
      <c r="E60" s="19"/>
      <c r="F60" s="19"/>
      <c r="G60" s="19"/>
      <c r="H60" s="20"/>
    </row>
    <row r="61" ht="15.75" customHeight="1">
      <c r="A61" s="30" t="s">
        <v>146</v>
      </c>
      <c r="B61" s="67">
        <v>10.0</v>
      </c>
      <c r="C61" s="19"/>
      <c r="D61" s="19"/>
      <c r="E61" s="19"/>
      <c r="F61" s="19"/>
      <c r="G61" s="19"/>
      <c r="H61" s="20"/>
    </row>
    <row r="62" ht="15.75" customHeight="1">
      <c r="A62" s="61" t="s">
        <v>221</v>
      </c>
      <c r="B62" s="5"/>
      <c r="C62" s="5"/>
      <c r="D62" s="5"/>
      <c r="E62" s="5"/>
      <c r="F62" s="5"/>
      <c r="G62" s="5"/>
      <c r="H62" s="5"/>
    </row>
    <row r="63" ht="15.75" customHeight="1">
      <c r="A63" s="43" t="s">
        <v>217</v>
      </c>
      <c r="B63" s="19"/>
      <c r="C63" s="19"/>
      <c r="D63" s="19"/>
      <c r="E63" s="19"/>
      <c r="F63" s="19"/>
      <c r="G63" s="19"/>
      <c r="H63" s="20"/>
    </row>
    <row r="64" ht="15.75" customHeight="1">
      <c r="A64" s="44" t="s">
        <v>265</v>
      </c>
      <c r="B64" s="45"/>
      <c r="C64" s="45"/>
      <c r="D64" s="45"/>
      <c r="E64" s="45"/>
      <c r="F64" s="45"/>
      <c r="G64" s="45"/>
      <c r="H64" s="46"/>
    </row>
    <row r="65" ht="15.75" customHeight="1">
      <c r="A65" s="58"/>
      <c r="H65" s="59"/>
    </row>
    <row r="66" ht="15.75" customHeight="1">
      <c r="A66" s="47"/>
      <c r="B66" s="48"/>
      <c r="C66" s="48"/>
      <c r="D66" s="48"/>
      <c r="E66" s="48"/>
      <c r="F66" s="48"/>
      <c r="G66" s="48"/>
      <c r="H66" s="49"/>
    </row>
    <row r="67" ht="15.75" customHeight="1"/>
    <row r="68" ht="15.75" customHeight="1">
      <c r="A68" s="41" t="s">
        <v>223</v>
      </c>
      <c r="G68" s="35" t="s">
        <v>146</v>
      </c>
      <c r="H68" s="42">
        <v>10.0</v>
      </c>
    </row>
    <row r="69" ht="15.75" customHeight="1">
      <c r="G69" s="25" t="s">
        <v>224</v>
      </c>
    </row>
    <row r="70" ht="15.75" customHeight="1">
      <c r="A70" s="30" t="s">
        <v>146</v>
      </c>
      <c r="B70" s="60"/>
      <c r="C70" s="19"/>
      <c r="D70" s="19"/>
      <c r="E70" s="19"/>
      <c r="F70" s="19"/>
      <c r="G70" s="19"/>
      <c r="H70" s="20"/>
    </row>
    <row r="71" ht="15.75" customHeight="1">
      <c r="A71" s="56" t="s">
        <v>225</v>
      </c>
      <c r="B71" s="19"/>
      <c r="C71" s="19"/>
      <c r="D71" s="19"/>
      <c r="E71" s="19"/>
      <c r="F71" s="19"/>
      <c r="G71" s="19"/>
      <c r="H71" s="20"/>
    </row>
    <row r="72" ht="15.75" customHeight="1">
      <c r="A72" s="44" t="s">
        <v>226</v>
      </c>
      <c r="B72" s="45"/>
      <c r="C72" s="45"/>
      <c r="D72" s="45"/>
      <c r="E72" s="45"/>
      <c r="F72" s="45"/>
      <c r="G72" s="45"/>
      <c r="H72" s="46"/>
    </row>
    <row r="73" ht="15.75" customHeight="1">
      <c r="A73" s="47"/>
      <c r="B73" s="48"/>
      <c r="C73" s="48"/>
      <c r="D73" s="48"/>
      <c r="E73" s="48"/>
      <c r="F73" s="48"/>
      <c r="G73" s="48"/>
      <c r="H73" s="49"/>
    </row>
    <row r="74" ht="15.75" customHeight="1">
      <c r="A74" s="25" t="s">
        <v>227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39" t="s">
        <v>266</v>
      </c>
    </row>
    <row r="3" ht="15.75" customHeight="1"/>
    <row r="4" ht="15.75" customHeight="1">
      <c r="B4" s="17" t="s">
        <v>1</v>
      </c>
      <c r="C4" s="18" t="str">
        <f>'Diseño'!C4</f>
        <v>975 - Redes de Computadoras 2</v>
      </c>
      <c r="D4" s="19"/>
      <c r="E4" s="19"/>
      <c r="F4" s="19"/>
      <c r="G4" s="20"/>
    </row>
    <row r="5" ht="15.75" customHeight="1">
      <c r="B5" s="40" t="s">
        <v>144</v>
      </c>
      <c r="C5" s="18">
        <f>H9+H26+H44</f>
        <v>50</v>
      </c>
      <c r="D5" s="19"/>
      <c r="E5" s="19"/>
      <c r="F5" s="19"/>
      <c r="G5" s="20"/>
    </row>
    <row r="6" ht="15.75" customHeight="1">
      <c r="B6" s="40" t="s">
        <v>182</v>
      </c>
      <c r="C6" s="18">
        <f>F9+F26+F44</f>
        <v>40</v>
      </c>
      <c r="D6" s="19"/>
      <c r="E6" s="19"/>
      <c r="F6" s="19"/>
      <c r="G6" s="20"/>
    </row>
    <row r="7" ht="15.75" customHeight="1">
      <c r="B7" s="6" t="s">
        <v>267</v>
      </c>
    </row>
    <row r="8" ht="15.75" customHeight="1"/>
    <row r="9" ht="15.75" customHeight="1">
      <c r="A9" s="41" t="s">
        <v>268</v>
      </c>
      <c r="E9" s="35" t="s">
        <v>182</v>
      </c>
      <c r="F9" s="42">
        <v>15.0</v>
      </c>
      <c r="G9" s="35" t="s">
        <v>269</v>
      </c>
      <c r="H9" s="42">
        <v>20.0</v>
      </c>
    </row>
    <row r="10" ht="15.75" customHeight="1">
      <c r="A10" s="6" t="s">
        <v>204</v>
      </c>
    </row>
    <row r="11" ht="15.75" customHeight="1">
      <c r="A11" s="51" t="s">
        <v>194</v>
      </c>
      <c r="B11" s="31" t="s">
        <v>74</v>
      </c>
      <c r="C11" s="19"/>
      <c r="D11" s="19"/>
      <c r="E11" s="19"/>
      <c r="F11" s="19"/>
      <c r="G11" s="19"/>
      <c r="H11" s="20"/>
    </row>
    <row r="12" ht="15.75" customHeight="1">
      <c r="A12" s="51" t="s">
        <v>194</v>
      </c>
      <c r="B12" s="31" t="s">
        <v>49</v>
      </c>
      <c r="C12" s="19"/>
      <c r="D12" s="19"/>
      <c r="E12" s="19"/>
      <c r="F12" s="19"/>
      <c r="G12" s="19"/>
      <c r="H12" s="20"/>
    </row>
    <row r="13" ht="15.75" customHeight="1">
      <c r="A13" s="51" t="s">
        <v>194</v>
      </c>
      <c r="B13" s="31" t="s">
        <v>37</v>
      </c>
      <c r="C13" s="19"/>
      <c r="D13" s="19"/>
      <c r="E13" s="19"/>
      <c r="F13" s="19"/>
      <c r="G13" s="19"/>
      <c r="H13" s="20"/>
    </row>
    <row r="14" ht="15.75" customHeight="1">
      <c r="A14" s="51" t="s">
        <v>270</v>
      </c>
      <c r="B14" s="31" t="s">
        <v>271</v>
      </c>
      <c r="C14" s="19"/>
      <c r="D14" s="19"/>
      <c r="E14" s="19"/>
      <c r="F14" s="19"/>
      <c r="G14" s="19"/>
      <c r="H14" s="20"/>
    </row>
    <row r="15" ht="15.75" customHeight="1">
      <c r="A15" s="43" t="s">
        <v>272</v>
      </c>
      <c r="B15" s="19"/>
      <c r="C15" s="19"/>
      <c r="D15" s="19"/>
      <c r="E15" s="19"/>
      <c r="F15" s="19"/>
      <c r="G15" s="19"/>
      <c r="H15" s="20"/>
    </row>
    <row r="16" ht="15.75" customHeight="1">
      <c r="A16" s="44" t="s">
        <v>273</v>
      </c>
      <c r="B16" s="45"/>
      <c r="C16" s="45"/>
      <c r="D16" s="45"/>
      <c r="E16" s="45"/>
      <c r="F16" s="45"/>
      <c r="G16" s="45"/>
      <c r="H16" s="46"/>
    </row>
    <row r="17" ht="15.75" customHeight="1">
      <c r="A17" s="58"/>
      <c r="H17" s="59"/>
    </row>
    <row r="18" ht="15.75" customHeight="1">
      <c r="A18" s="47"/>
      <c r="B18" s="48"/>
      <c r="C18" s="48"/>
      <c r="D18" s="48"/>
      <c r="E18" s="48"/>
      <c r="F18" s="48"/>
      <c r="G18" s="48"/>
      <c r="H18" s="49"/>
    </row>
    <row r="19" ht="15.75" customHeight="1">
      <c r="A19" s="43" t="s">
        <v>274</v>
      </c>
      <c r="B19" s="19"/>
      <c r="C19" s="19"/>
      <c r="D19" s="19"/>
      <c r="E19" s="19"/>
      <c r="F19" s="19"/>
      <c r="G19" s="19"/>
      <c r="H19" s="20"/>
    </row>
    <row r="20" ht="15.75" customHeight="1">
      <c r="A20" s="44" t="s">
        <v>275</v>
      </c>
      <c r="B20" s="45"/>
      <c r="C20" s="45"/>
      <c r="D20" s="45"/>
      <c r="E20" s="45"/>
      <c r="F20" s="45"/>
      <c r="G20" s="45"/>
      <c r="H20" s="46"/>
    </row>
    <row r="21" ht="15.75" customHeight="1">
      <c r="A21" s="58"/>
      <c r="H21" s="59"/>
    </row>
    <row r="22" ht="15.75" customHeight="1">
      <c r="A22" s="58"/>
      <c r="H22" s="59"/>
    </row>
    <row r="23" ht="51.0" customHeight="1">
      <c r="A23" s="47"/>
      <c r="B23" s="48"/>
      <c r="C23" s="48"/>
      <c r="D23" s="48"/>
      <c r="E23" s="48"/>
      <c r="F23" s="48"/>
      <c r="G23" s="48"/>
      <c r="H23" s="49"/>
    </row>
    <row r="24" ht="15.75" customHeight="1"/>
    <row r="25" ht="15.75" customHeight="1"/>
    <row r="26" ht="15.75" customHeight="1">
      <c r="A26" s="41" t="s">
        <v>276</v>
      </c>
      <c r="E26" s="35" t="s">
        <v>182</v>
      </c>
      <c r="F26" s="42">
        <v>25.0</v>
      </c>
      <c r="G26" s="35" t="s">
        <v>269</v>
      </c>
      <c r="H26" s="42">
        <v>30.0</v>
      </c>
    </row>
    <row r="27" ht="15.75" customHeight="1">
      <c r="A27" s="6" t="s">
        <v>204</v>
      </c>
    </row>
    <row r="28" ht="15.75" customHeight="1">
      <c r="A28" s="51" t="s">
        <v>194</v>
      </c>
      <c r="B28" s="31" t="s">
        <v>109</v>
      </c>
      <c r="C28" s="19"/>
      <c r="D28" s="19"/>
      <c r="E28" s="19"/>
      <c r="F28" s="19"/>
      <c r="G28" s="19"/>
      <c r="H28" s="20"/>
    </row>
    <row r="29" ht="15.75" customHeight="1">
      <c r="A29" s="51" t="s">
        <v>194</v>
      </c>
      <c r="B29" s="31" t="s">
        <v>117</v>
      </c>
      <c r="C29" s="19"/>
      <c r="D29" s="19"/>
      <c r="E29" s="19"/>
      <c r="F29" s="19"/>
      <c r="G29" s="19"/>
      <c r="H29" s="20"/>
    </row>
    <row r="30" ht="15.75" customHeight="1">
      <c r="A30" s="51" t="s">
        <v>194</v>
      </c>
      <c r="B30" s="31" t="s">
        <v>106</v>
      </c>
      <c r="C30" s="19"/>
      <c r="D30" s="19"/>
      <c r="E30" s="19"/>
      <c r="F30" s="19"/>
      <c r="G30" s="19"/>
      <c r="H30" s="20"/>
    </row>
    <row r="31" ht="15.75" customHeight="1">
      <c r="A31" s="51" t="s">
        <v>194</v>
      </c>
      <c r="B31" s="31" t="s">
        <v>138</v>
      </c>
      <c r="C31" s="19"/>
      <c r="D31" s="19"/>
      <c r="E31" s="19"/>
      <c r="F31" s="19"/>
      <c r="G31" s="19"/>
      <c r="H31" s="20"/>
    </row>
    <row r="32" ht="15.75" customHeight="1">
      <c r="A32" s="51" t="s">
        <v>270</v>
      </c>
      <c r="B32" s="31" t="s">
        <v>277</v>
      </c>
      <c r="C32" s="19"/>
      <c r="D32" s="19"/>
      <c r="E32" s="19"/>
      <c r="F32" s="19"/>
      <c r="G32" s="19"/>
      <c r="H32" s="20"/>
    </row>
    <row r="33" ht="15.75" customHeight="1">
      <c r="A33" s="43" t="s">
        <v>272</v>
      </c>
      <c r="B33" s="19"/>
      <c r="C33" s="19"/>
      <c r="D33" s="19"/>
      <c r="E33" s="19"/>
      <c r="F33" s="19"/>
      <c r="G33" s="19"/>
      <c r="H33" s="20"/>
    </row>
    <row r="34" ht="15.75" customHeight="1">
      <c r="A34" s="44" t="s">
        <v>273</v>
      </c>
      <c r="B34" s="45"/>
      <c r="C34" s="45"/>
      <c r="D34" s="45"/>
      <c r="E34" s="45"/>
      <c r="F34" s="45"/>
      <c r="G34" s="45"/>
      <c r="H34" s="46"/>
    </row>
    <row r="35" ht="15.75" customHeight="1">
      <c r="A35" s="58"/>
      <c r="H35" s="59"/>
    </row>
    <row r="36" ht="15.75" customHeight="1">
      <c r="A36" s="47"/>
      <c r="B36" s="48"/>
      <c r="C36" s="48"/>
      <c r="D36" s="48"/>
      <c r="E36" s="48"/>
      <c r="F36" s="48"/>
      <c r="G36" s="48"/>
      <c r="H36" s="49"/>
    </row>
    <row r="37" ht="15.75" customHeight="1">
      <c r="A37" s="43" t="s">
        <v>274</v>
      </c>
      <c r="B37" s="19"/>
      <c r="C37" s="19"/>
      <c r="D37" s="19"/>
      <c r="E37" s="19"/>
      <c r="F37" s="19"/>
      <c r="G37" s="19"/>
      <c r="H37" s="20"/>
    </row>
    <row r="38" ht="15.75" customHeight="1">
      <c r="A38" s="44" t="s">
        <v>278</v>
      </c>
      <c r="B38" s="45"/>
      <c r="C38" s="45"/>
      <c r="D38" s="45"/>
      <c r="E38" s="45"/>
      <c r="F38" s="45"/>
      <c r="G38" s="45"/>
      <c r="H38" s="46"/>
    </row>
    <row r="39" ht="15.75" customHeight="1">
      <c r="A39" s="58"/>
      <c r="H39" s="59"/>
    </row>
    <row r="40" ht="15.75" customHeight="1">
      <c r="A40" s="58"/>
      <c r="H40" s="59"/>
    </row>
    <row r="41" ht="85.5" customHeight="1">
      <c r="A41" s="47"/>
      <c r="B41" s="48"/>
      <c r="C41" s="48"/>
      <c r="D41" s="48"/>
      <c r="E41" s="48"/>
      <c r="F41" s="48"/>
      <c r="G41" s="48"/>
      <c r="H41" s="49"/>
    </row>
    <row r="42" ht="15.75" customHeight="1"/>
    <row r="43" ht="15.75" customHeight="1"/>
    <row r="44" ht="15.75" customHeight="1">
      <c r="A44" s="41" t="s">
        <v>279</v>
      </c>
      <c r="E44" s="35" t="s">
        <v>182</v>
      </c>
      <c r="F44" s="62"/>
      <c r="G44" s="35" t="s">
        <v>269</v>
      </c>
      <c r="H44" s="62"/>
    </row>
    <row r="45" ht="15.75" customHeight="1">
      <c r="A45" s="37" t="s">
        <v>280</v>
      </c>
    </row>
    <row r="46" ht="15.75" customHeight="1">
      <c r="A46" s="51" t="s">
        <v>194</v>
      </c>
      <c r="B46" s="18"/>
      <c r="C46" s="19"/>
      <c r="D46" s="19"/>
      <c r="E46" s="19"/>
      <c r="F46" s="19"/>
      <c r="G46" s="19"/>
      <c r="H46" s="20"/>
    </row>
    <row r="47" ht="15.75" customHeight="1">
      <c r="A47" s="51" t="s">
        <v>194</v>
      </c>
      <c r="B47" s="18"/>
      <c r="C47" s="19"/>
      <c r="D47" s="19"/>
      <c r="E47" s="19"/>
      <c r="F47" s="19"/>
      <c r="G47" s="19"/>
      <c r="H47" s="20"/>
    </row>
    <row r="48" ht="15.75" customHeight="1">
      <c r="A48" s="51" t="s">
        <v>194</v>
      </c>
      <c r="B48" s="18"/>
      <c r="C48" s="19"/>
      <c r="D48" s="19"/>
      <c r="E48" s="19"/>
      <c r="F48" s="19"/>
      <c r="G48" s="19"/>
      <c r="H48" s="20"/>
    </row>
    <row r="49" ht="15.75" customHeight="1">
      <c r="A49" s="51" t="s">
        <v>270</v>
      </c>
      <c r="B49" s="18"/>
      <c r="C49" s="19"/>
      <c r="D49" s="19"/>
      <c r="E49" s="19"/>
      <c r="F49" s="19"/>
      <c r="G49" s="19"/>
      <c r="H49" s="20"/>
    </row>
    <row r="50" ht="15.75" customHeight="1">
      <c r="A50" s="43" t="s">
        <v>272</v>
      </c>
      <c r="B50" s="19"/>
      <c r="C50" s="19"/>
      <c r="D50" s="19"/>
      <c r="E50" s="19"/>
      <c r="F50" s="19"/>
      <c r="G50" s="19"/>
      <c r="H50" s="20"/>
    </row>
    <row r="51" ht="15.75" customHeight="1">
      <c r="A51" s="70"/>
      <c r="B51" s="45"/>
      <c r="C51" s="45"/>
      <c r="D51" s="45"/>
      <c r="E51" s="45"/>
      <c r="F51" s="45"/>
      <c r="G51" s="45"/>
      <c r="H51" s="46"/>
    </row>
    <row r="52" ht="15.75" customHeight="1">
      <c r="A52" s="58"/>
      <c r="H52" s="59"/>
    </row>
    <row r="53" ht="15.75" customHeight="1">
      <c r="A53" s="47"/>
      <c r="B53" s="48"/>
      <c r="C53" s="48"/>
      <c r="D53" s="48"/>
      <c r="E53" s="48"/>
      <c r="F53" s="48"/>
      <c r="G53" s="48"/>
      <c r="H53" s="49"/>
    </row>
    <row r="54" ht="15.75" customHeight="1">
      <c r="A54" s="43" t="s">
        <v>274</v>
      </c>
      <c r="B54" s="19"/>
      <c r="C54" s="19"/>
      <c r="D54" s="19"/>
      <c r="E54" s="19"/>
      <c r="F54" s="19"/>
      <c r="G54" s="19"/>
      <c r="H54" s="20"/>
    </row>
    <row r="55" ht="15.75" customHeight="1">
      <c r="A55" s="70"/>
      <c r="B55" s="45"/>
      <c r="C55" s="45"/>
      <c r="D55" s="45"/>
      <c r="E55" s="45"/>
      <c r="F55" s="45"/>
      <c r="G55" s="45"/>
      <c r="H55" s="46"/>
    </row>
    <row r="56" ht="15.75" customHeight="1">
      <c r="A56" s="58"/>
      <c r="H56" s="59"/>
    </row>
    <row r="57" ht="15.75" customHeight="1">
      <c r="A57" s="58"/>
      <c r="H57" s="59"/>
    </row>
    <row r="58" ht="15.75" customHeight="1">
      <c r="A58" s="47"/>
      <c r="B58" s="48"/>
      <c r="C58" s="48"/>
      <c r="D58" s="48"/>
      <c r="E58" s="48"/>
      <c r="F58" s="48"/>
      <c r="G58" s="48"/>
      <c r="H58" s="49"/>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1">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B32:H32"/>
    <mergeCell ref="A33:H33"/>
    <mergeCell ref="A34:H36"/>
    <mergeCell ref="A37:H37"/>
    <mergeCell ref="A51:H53"/>
    <mergeCell ref="A54:H54"/>
    <mergeCell ref="A55:H58"/>
    <mergeCell ref="A38:H41"/>
    <mergeCell ref="A44:D44"/>
    <mergeCell ref="B46:H46"/>
    <mergeCell ref="B47:H47"/>
    <mergeCell ref="B48:H48"/>
    <mergeCell ref="B49:H49"/>
    <mergeCell ref="A50:H50"/>
  </mergeCells>
  <dataValidations>
    <dataValidation type="list" allowBlank="1" showErrorMessage="1" sqref="B11:B13 B28:B31 B46:B48">
      <formula1>METADATA!$I$17:$I$40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39" t="s">
        <v>281</v>
      </c>
    </row>
    <row r="3" ht="15.75" customHeight="1"/>
    <row r="4" ht="15.75" customHeight="1">
      <c r="B4" s="17" t="s">
        <v>1</v>
      </c>
      <c r="C4" s="18" t="str">
        <f>'Diseño'!C4</f>
        <v>975 - Redes de Computadoras 2</v>
      </c>
      <c r="D4" s="19"/>
      <c r="E4" s="19"/>
      <c r="F4" s="19"/>
      <c r="G4" s="20"/>
    </row>
    <row r="5" ht="15.75" customHeight="1">
      <c r="B5" s="40" t="s">
        <v>144</v>
      </c>
      <c r="C5" s="18">
        <f>H9+H26+H43+H60+H77+H94+H111</f>
        <v>30</v>
      </c>
      <c r="D5" s="19"/>
      <c r="E5" s="19"/>
      <c r="F5" s="19"/>
      <c r="G5" s="20"/>
    </row>
    <row r="6" ht="15.75" customHeight="1">
      <c r="B6" s="40" t="s">
        <v>182</v>
      </c>
      <c r="C6" s="18">
        <f>F9+F26+F43+F60+F77+F94+F111</f>
        <v>20</v>
      </c>
      <c r="D6" s="19"/>
      <c r="E6" s="19"/>
      <c r="F6" s="19"/>
      <c r="G6" s="20"/>
    </row>
    <row r="7" ht="15.75" customHeight="1">
      <c r="B7" s="6" t="s">
        <v>282</v>
      </c>
    </row>
    <row r="8" ht="15.75" customHeight="1"/>
    <row r="9" ht="15.75" customHeight="1">
      <c r="A9" s="41" t="s">
        <v>283</v>
      </c>
      <c r="E9" s="35" t="s">
        <v>182</v>
      </c>
      <c r="F9" s="42">
        <v>10.0</v>
      </c>
      <c r="G9" s="35" t="s">
        <v>269</v>
      </c>
      <c r="H9" s="42">
        <v>15.0</v>
      </c>
    </row>
    <row r="10" ht="15.75" customHeight="1">
      <c r="A10" s="6" t="s">
        <v>284</v>
      </c>
    </row>
    <row r="11" ht="15.75" customHeight="1">
      <c r="A11" s="51" t="s">
        <v>194</v>
      </c>
      <c r="B11" s="31" t="s">
        <v>12</v>
      </c>
      <c r="C11" s="19"/>
      <c r="D11" s="19"/>
      <c r="E11" s="19"/>
      <c r="F11" s="19"/>
      <c r="G11" s="19"/>
      <c r="H11" s="20"/>
    </row>
    <row r="12" ht="15.75" customHeight="1">
      <c r="A12" s="51" t="s">
        <v>194</v>
      </c>
      <c r="B12" s="31" t="s">
        <v>37</v>
      </c>
      <c r="C12" s="19"/>
      <c r="D12" s="19"/>
      <c r="E12" s="19"/>
      <c r="F12" s="19"/>
      <c r="G12" s="19"/>
      <c r="H12" s="20"/>
    </row>
    <row r="13" ht="15.75" customHeight="1">
      <c r="A13" s="51" t="s">
        <v>194</v>
      </c>
      <c r="B13" s="18"/>
      <c r="C13" s="19"/>
      <c r="D13" s="19"/>
      <c r="E13" s="19"/>
      <c r="F13" s="19"/>
      <c r="G13" s="19"/>
      <c r="H13" s="20"/>
    </row>
    <row r="14" ht="15.75" customHeight="1">
      <c r="A14" s="51" t="s">
        <v>270</v>
      </c>
      <c r="B14" s="31" t="s">
        <v>285</v>
      </c>
      <c r="C14" s="19"/>
      <c r="D14" s="19"/>
      <c r="E14" s="19"/>
      <c r="F14" s="19"/>
      <c r="G14" s="19"/>
      <c r="H14" s="20"/>
    </row>
    <row r="15" ht="15.75" customHeight="1">
      <c r="A15" s="43" t="s">
        <v>272</v>
      </c>
      <c r="B15" s="19"/>
      <c r="C15" s="19"/>
      <c r="D15" s="19"/>
      <c r="E15" s="19"/>
      <c r="F15" s="19"/>
      <c r="G15" s="19"/>
      <c r="H15" s="20"/>
    </row>
    <row r="16" ht="15.75" customHeight="1">
      <c r="A16" s="44" t="s">
        <v>273</v>
      </c>
      <c r="B16" s="45"/>
      <c r="C16" s="45"/>
      <c r="D16" s="45"/>
      <c r="E16" s="45"/>
      <c r="F16" s="45"/>
      <c r="G16" s="45"/>
      <c r="H16" s="46"/>
    </row>
    <row r="17" ht="15.75" customHeight="1">
      <c r="A17" s="58"/>
      <c r="H17" s="59"/>
    </row>
    <row r="18" ht="15.75" customHeight="1">
      <c r="A18" s="47"/>
      <c r="B18" s="48"/>
      <c r="C18" s="48"/>
      <c r="D18" s="48"/>
      <c r="E18" s="48"/>
      <c r="F18" s="48"/>
      <c r="G18" s="48"/>
      <c r="H18" s="49"/>
    </row>
    <row r="19" ht="15.75" customHeight="1">
      <c r="A19" s="43" t="s">
        <v>274</v>
      </c>
      <c r="B19" s="19"/>
      <c r="C19" s="19"/>
      <c r="D19" s="19"/>
      <c r="E19" s="19"/>
      <c r="F19" s="19"/>
      <c r="G19" s="19"/>
      <c r="H19" s="20"/>
    </row>
    <row r="20" ht="15.75" customHeight="1">
      <c r="A20" s="71" t="s">
        <v>286</v>
      </c>
      <c r="B20" s="45"/>
      <c r="C20" s="45"/>
      <c r="D20" s="45"/>
      <c r="E20" s="45"/>
      <c r="F20" s="45"/>
      <c r="G20" s="45"/>
      <c r="H20" s="46"/>
    </row>
    <row r="21" ht="15.75" customHeight="1">
      <c r="A21" s="58"/>
      <c r="H21" s="59"/>
    </row>
    <row r="22" ht="15.75" customHeight="1">
      <c r="A22" s="58"/>
      <c r="H22" s="59"/>
    </row>
    <row r="23" ht="15.75" customHeight="1">
      <c r="A23" s="47"/>
      <c r="B23" s="48"/>
      <c r="C23" s="48"/>
      <c r="D23" s="48"/>
      <c r="E23" s="48"/>
      <c r="F23" s="48"/>
      <c r="G23" s="48"/>
      <c r="H23" s="49"/>
    </row>
    <row r="24" ht="15.75" customHeight="1"/>
    <row r="25" ht="15.75" customHeight="1"/>
    <row r="26" ht="15.75" customHeight="1">
      <c r="A26" s="41" t="s">
        <v>287</v>
      </c>
      <c r="E26" s="35" t="s">
        <v>182</v>
      </c>
      <c r="F26" s="42">
        <v>10.0</v>
      </c>
      <c r="G26" s="35" t="s">
        <v>269</v>
      </c>
      <c r="H26" s="42">
        <v>15.0</v>
      </c>
    </row>
    <row r="27" ht="15.75" customHeight="1">
      <c r="A27" s="37" t="s">
        <v>280</v>
      </c>
    </row>
    <row r="28" ht="15.75" customHeight="1">
      <c r="A28" s="51" t="s">
        <v>194</v>
      </c>
      <c r="B28" s="31" t="s">
        <v>37</v>
      </c>
      <c r="C28" s="19"/>
      <c r="D28" s="19"/>
      <c r="E28" s="19"/>
      <c r="F28" s="19"/>
      <c r="G28" s="19"/>
      <c r="H28" s="20"/>
    </row>
    <row r="29" ht="15.75" customHeight="1">
      <c r="A29" s="51" t="s">
        <v>194</v>
      </c>
      <c r="B29" s="31" t="s">
        <v>106</v>
      </c>
      <c r="C29" s="19"/>
      <c r="D29" s="19"/>
      <c r="E29" s="19"/>
      <c r="F29" s="19"/>
      <c r="G29" s="19"/>
      <c r="H29" s="20"/>
    </row>
    <row r="30" ht="15.75" customHeight="1">
      <c r="A30" s="51" t="s">
        <v>194</v>
      </c>
      <c r="B30" s="31" t="s">
        <v>109</v>
      </c>
      <c r="C30" s="19"/>
      <c r="D30" s="19"/>
      <c r="E30" s="19"/>
      <c r="F30" s="19"/>
      <c r="G30" s="19"/>
      <c r="H30" s="20"/>
    </row>
    <row r="31" ht="15.75" customHeight="1">
      <c r="A31" s="51" t="s">
        <v>270</v>
      </c>
      <c r="B31" s="31" t="s">
        <v>288</v>
      </c>
      <c r="C31" s="19"/>
      <c r="D31" s="19"/>
      <c r="E31" s="19"/>
      <c r="F31" s="19"/>
      <c r="G31" s="19"/>
      <c r="H31" s="20"/>
    </row>
    <row r="32" ht="15.75" customHeight="1">
      <c r="A32" s="43" t="s">
        <v>272</v>
      </c>
      <c r="B32" s="19"/>
      <c r="C32" s="19"/>
      <c r="D32" s="19"/>
      <c r="E32" s="19"/>
      <c r="F32" s="19"/>
      <c r="G32" s="19"/>
      <c r="H32" s="20"/>
    </row>
    <row r="33" ht="15.75" customHeight="1">
      <c r="A33" s="44" t="s">
        <v>273</v>
      </c>
      <c r="B33" s="45"/>
      <c r="C33" s="45"/>
      <c r="D33" s="45"/>
      <c r="E33" s="45"/>
      <c r="F33" s="45"/>
      <c r="G33" s="45"/>
      <c r="H33" s="46"/>
    </row>
    <row r="34" ht="15.75" customHeight="1">
      <c r="A34" s="58"/>
      <c r="H34" s="59"/>
    </row>
    <row r="35" ht="15.75" customHeight="1">
      <c r="A35" s="47"/>
      <c r="B35" s="48"/>
      <c r="C35" s="48"/>
      <c r="D35" s="48"/>
      <c r="E35" s="48"/>
      <c r="F35" s="48"/>
      <c r="G35" s="48"/>
      <c r="H35" s="49"/>
    </row>
    <row r="36" ht="15.75" customHeight="1">
      <c r="A36" s="43" t="s">
        <v>274</v>
      </c>
      <c r="B36" s="19"/>
      <c r="C36" s="19"/>
      <c r="D36" s="19"/>
      <c r="E36" s="19"/>
      <c r="F36" s="19"/>
      <c r="G36" s="19"/>
      <c r="H36" s="20"/>
    </row>
    <row r="37" ht="15.75" customHeight="1">
      <c r="A37" s="71" t="s">
        <v>289</v>
      </c>
      <c r="B37" s="45"/>
      <c r="C37" s="45"/>
      <c r="D37" s="45"/>
      <c r="E37" s="45"/>
      <c r="F37" s="45"/>
      <c r="G37" s="45"/>
      <c r="H37" s="46"/>
    </row>
    <row r="38" ht="15.75" customHeight="1">
      <c r="A38" s="58"/>
      <c r="H38" s="59"/>
    </row>
    <row r="39" ht="15.75" customHeight="1">
      <c r="A39" s="58"/>
      <c r="H39" s="59"/>
    </row>
    <row r="40" ht="15.75" customHeight="1">
      <c r="A40" s="47"/>
      <c r="B40" s="48"/>
      <c r="C40" s="48"/>
      <c r="D40" s="48"/>
      <c r="E40" s="48"/>
      <c r="F40" s="48"/>
      <c r="G40" s="48"/>
      <c r="H40" s="49"/>
    </row>
    <row r="41" ht="15.75" customHeight="1"/>
    <row r="42" ht="15.75" customHeight="1"/>
    <row r="43" ht="15.75" customHeight="1">
      <c r="A43" s="41" t="s">
        <v>290</v>
      </c>
      <c r="E43" s="35" t="s">
        <v>182</v>
      </c>
      <c r="F43" s="62"/>
      <c r="G43" s="35" t="s">
        <v>269</v>
      </c>
      <c r="H43" s="62"/>
    </row>
    <row r="44" ht="15.75" customHeight="1">
      <c r="A44" s="37" t="s">
        <v>280</v>
      </c>
    </row>
    <row r="45" ht="15.75" customHeight="1">
      <c r="A45" s="51" t="s">
        <v>194</v>
      </c>
      <c r="B45" s="18"/>
      <c r="C45" s="19"/>
      <c r="D45" s="19"/>
      <c r="E45" s="19"/>
      <c r="F45" s="19"/>
      <c r="G45" s="19"/>
      <c r="H45" s="20"/>
    </row>
    <row r="46" ht="15.75" customHeight="1">
      <c r="A46" s="51" t="s">
        <v>194</v>
      </c>
      <c r="B46" s="18"/>
      <c r="C46" s="19"/>
      <c r="D46" s="19"/>
      <c r="E46" s="19"/>
      <c r="F46" s="19"/>
      <c r="G46" s="19"/>
      <c r="H46" s="20"/>
    </row>
    <row r="47" ht="15.75" customHeight="1">
      <c r="A47" s="51" t="s">
        <v>194</v>
      </c>
      <c r="B47" s="18"/>
      <c r="C47" s="19"/>
      <c r="D47" s="19"/>
      <c r="E47" s="19"/>
      <c r="F47" s="19"/>
      <c r="G47" s="19"/>
      <c r="H47" s="20"/>
    </row>
    <row r="48" ht="15.75" customHeight="1">
      <c r="A48" s="51" t="s">
        <v>270</v>
      </c>
      <c r="B48" s="18"/>
      <c r="C48" s="19"/>
      <c r="D48" s="19"/>
      <c r="E48" s="19"/>
      <c r="F48" s="19"/>
      <c r="G48" s="19"/>
      <c r="H48" s="20"/>
    </row>
    <row r="49" ht="15.75" customHeight="1">
      <c r="A49" s="43" t="s">
        <v>272</v>
      </c>
      <c r="B49" s="19"/>
      <c r="C49" s="19"/>
      <c r="D49" s="19"/>
      <c r="E49" s="19"/>
      <c r="F49" s="19"/>
      <c r="G49" s="19"/>
      <c r="H49" s="20"/>
    </row>
    <row r="50" ht="15.75" customHeight="1">
      <c r="A50" s="70"/>
      <c r="B50" s="45"/>
      <c r="C50" s="45"/>
      <c r="D50" s="45"/>
      <c r="E50" s="45"/>
      <c r="F50" s="45"/>
      <c r="G50" s="45"/>
      <c r="H50" s="46"/>
    </row>
    <row r="51" ht="15.75" customHeight="1">
      <c r="A51" s="58"/>
      <c r="H51" s="59"/>
    </row>
    <row r="52" ht="15.75" customHeight="1">
      <c r="A52" s="47"/>
      <c r="B52" s="48"/>
      <c r="C52" s="48"/>
      <c r="D52" s="48"/>
      <c r="E52" s="48"/>
      <c r="F52" s="48"/>
      <c r="G52" s="48"/>
      <c r="H52" s="49"/>
    </row>
    <row r="53" ht="15.75" customHeight="1">
      <c r="A53" s="43" t="s">
        <v>274</v>
      </c>
      <c r="B53" s="19"/>
      <c r="C53" s="19"/>
      <c r="D53" s="19"/>
      <c r="E53" s="19"/>
      <c r="F53" s="19"/>
      <c r="G53" s="19"/>
      <c r="H53" s="20"/>
    </row>
    <row r="54" ht="15.75" customHeight="1">
      <c r="A54" s="70"/>
      <c r="B54" s="45"/>
      <c r="C54" s="45"/>
      <c r="D54" s="45"/>
      <c r="E54" s="45"/>
      <c r="F54" s="45"/>
      <c r="G54" s="45"/>
      <c r="H54" s="46"/>
    </row>
    <row r="55" ht="15.75" customHeight="1">
      <c r="A55" s="58"/>
      <c r="H55" s="59"/>
    </row>
    <row r="56" ht="15.75" customHeight="1">
      <c r="A56" s="58"/>
      <c r="H56" s="59"/>
    </row>
    <row r="57" ht="15.75" customHeight="1">
      <c r="A57" s="47"/>
      <c r="B57" s="48"/>
      <c r="C57" s="48"/>
      <c r="D57" s="48"/>
      <c r="E57" s="48"/>
      <c r="F57" s="48"/>
      <c r="G57" s="48"/>
      <c r="H57" s="49"/>
    </row>
    <row r="58" ht="15.75" customHeight="1"/>
    <row r="59" ht="15.75" customHeight="1"/>
    <row r="60" ht="15.75" customHeight="1">
      <c r="A60" s="41" t="s">
        <v>291</v>
      </c>
      <c r="E60" s="35" t="s">
        <v>182</v>
      </c>
      <c r="F60" s="62"/>
      <c r="G60" s="35" t="s">
        <v>269</v>
      </c>
      <c r="H60" s="62"/>
    </row>
    <row r="61" ht="15.75" customHeight="1">
      <c r="A61" s="37" t="s">
        <v>280</v>
      </c>
    </row>
    <row r="62" ht="15.75" customHeight="1">
      <c r="A62" s="51" t="s">
        <v>194</v>
      </c>
      <c r="B62" s="18"/>
      <c r="C62" s="19"/>
      <c r="D62" s="19"/>
      <c r="E62" s="19"/>
      <c r="F62" s="19"/>
      <c r="G62" s="19"/>
      <c r="H62" s="20"/>
    </row>
    <row r="63" ht="15.75" customHeight="1">
      <c r="A63" s="51" t="s">
        <v>194</v>
      </c>
      <c r="B63" s="18"/>
      <c r="C63" s="19"/>
      <c r="D63" s="19"/>
      <c r="E63" s="19"/>
      <c r="F63" s="19"/>
      <c r="G63" s="19"/>
      <c r="H63" s="20"/>
    </row>
    <row r="64" ht="15.75" customHeight="1">
      <c r="A64" s="51" t="s">
        <v>194</v>
      </c>
      <c r="B64" s="18"/>
      <c r="C64" s="19"/>
      <c r="D64" s="19"/>
      <c r="E64" s="19"/>
      <c r="F64" s="19"/>
      <c r="G64" s="19"/>
      <c r="H64" s="20"/>
    </row>
    <row r="65" ht="15.75" customHeight="1">
      <c r="A65" s="51" t="s">
        <v>270</v>
      </c>
      <c r="B65" s="18"/>
      <c r="C65" s="19"/>
      <c r="D65" s="19"/>
      <c r="E65" s="19"/>
      <c r="F65" s="19"/>
      <c r="G65" s="19"/>
      <c r="H65" s="20"/>
    </row>
    <row r="66" ht="15.75" customHeight="1">
      <c r="A66" s="43" t="s">
        <v>272</v>
      </c>
      <c r="B66" s="19"/>
      <c r="C66" s="19"/>
      <c r="D66" s="19"/>
      <c r="E66" s="19"/>
      <c r="F66" s="19"/>
      <c r="G66" s="19"/>
      <c r="H66" s="20"/>
    </row>
    <row r="67" ht="15.75" customHeight="1">
      <c r="A67" s="70"/>
      <c r="B67" s="45"/>
      <c r="C67" s="45"/>
      <c r="D67" s="45"/>
      <c r="E67" s="45"/>
      <c r="F67" s="45"/>
      <c r="G67" s="45"/>
      <c r="H67" s="46"/>
    </row>
    <row r="68" ht="15.75" customHeight="1">
      <c r="A68" s="58"/>
      <c r="H68" s="59"/>
    </row>
    <row r="69" ht="15.75" customHeight="1">
      <c r="A69" s="47"/>
      <c r="B69" s="48"/>
      <c r="C69" s="48"/>
      <c r="D69" s="48"/>
      <c r="E69" s="48"/>
      <c r="F69" s="48"/>
      <c r="G69" s="48"/>
      <c r="H69" s="49"/>
    </row>
    <row r="70" ht="15.75" customHeight="1">
      <c r="A70" s="43" t="s">
        <v>274</v>
      </c>
      <c r="B70" s="19"/>
      <c r="C70" s="19"/>
      <c r="D70" s="19"/>
      <c r="E70" s="19"/>
      <c r="F70" s="19"/>
      <c r="G70" s="19"/>
      <c r="H70" s="20"/>
    </row>
    <row r="71" ht="15.75" customHeight="1">
      <c r="A71" s="70"/>
      <c r="B71" s="45"/>
      <c r="C71" s="45"/>
      <c r="D71" s="45"/>
      <c r="E71" s="45"/>
      <c r="F71" s="45"/>
      <c r="G71" s="45"/>
      <c r="H71" s="46"/>
    </row>
    <row r="72" ht="15.75" customHeight="1">
      <c r="A72" s="58"/>
      <c r="H72" s="59"/>
    </row>
    <row r="73" ht="15.75" customHeight="1">
      <c r="A73" s="58"/>
      <c r="H73" s="59"/>
    </row>
    <row r="74" ht="15.75" customHeight="1">
      <c r="A74" s="47"/>
      <c r="B74" s="48"/>
      <c r="C74" s="48"/>
      <c r="D74" s="48"/>
      <c r="E74" s="48"/>
      <c r="F74" s="48"/>
      <c r="G74" s="48"/>
      <c r="H74" s="49"/>
    </row>
    <row r="75" ht="15.75" customHeight="1"/>
    <row r="76" ht="15.75" customHeight="1"/>
    <row r="77" ht="15.75" customHeight="1">
      <c r="A77" s="41" t="s">
        <v>292</v>
      </c>
      <c r="E77" s="35" t="s">
        <v>182</v>
      </c>
      <c r="F77" s="62"/>
      <c r="G77" s="35" t="s">
        <v>269</v>
      </c>
      <c r="H77" s="62"/>
    </row>
    <row r="78" ht="15.75" customHeight="1">
      <c r="A78" s="37" t="s">
        <v>280</v>
      </c>
    </row>
    <row r="79" ht="15.75" customHeight="1">
      <c r="A79" s="51" t="s">
        <v>194</v>
      </c>
      <c r="B79" s="18"/>
      <c r="C79" s="19"/>
      <c r="D79" s="19"/>
      <c r="E79" s="19"/>
      <c r="F79" s="19"/>
      <c r="G79" s="19"/>
      <c r="H79" s="20"/>
    </row>
    <row r="80" ht="15.75" customHeight="1">
      <c r="A80" s="51" t="s">
        <v>194</v>
      </c>
      <c r="B80" s="18"/>
      <c r="C80" s="19"/>
      <c r="D80" s="19"/>
      <c r="E80" s="19"/>
      <c r="F80" s="19"/>
      <c r="G80" s="19"/>
      <c r="H80" s="20"/>
    </row>
    <row r="81" ht="15.75" customHeight="1">
      <c r="A81" s="51" t="s">
        <v>194</v>
      </c>
      <c r="B81" s="18"/>
      <c r="C81" s="19"/>
      <c r="D81" s="19"/>
      <c r="E81" s="19"/>
      <c r="F81" s="19"/>
      <c r="G81" s="19"/>
      <c r="H81" s="20"/>
    </row>
    <row r="82" ht="15.75" customHeight="1">
      <c r="A82" s="51" t="s">
        <v>270</v>
      </c>
      <c r="B82" s="18"/>
      <c r="C82" s="19"/>
      <c r="D82" s="19"/>
      <c r="E82" s="19"/>
      <c r="F82" s="19"/>
      <c r="G82" s="19"/>
      <c r="H82" s="20"/>
    </row>
    <row r="83" ht="15.75" customHeight="1">
      <c r="A83" s="43" t="s">
        <v>272</v>
      </c>
      <c r="B83" s="19"/>
      <c r="C83" s="19"/>
      <c r="D83" s="19"/>
      <c r="E83" s="19"/>
      <c r="F83" s="19"/>
      <c r="G83" s="19"/>
      <c r="H83" s="20"/>
    </row>
    <row r="84" ht="15.75" customHeight="1">
      <c r="A84" s="70"/>
      <c r="B84" s="45"/>
      <c r="C84" s="45"/>
      <c r="D84" s="45"/>
      <c r="E84" s="45"/>
      <c r="F84" s="45"/>
      <c r="G84" s="45"/>
      <c r="H84" s="46"/>
    </row>
    <row r="85" ht="15.75" customHeight="1">
      <c r="A85" s="58"/>
      <c r="H85" s="59"/>
    </row>
    <row r="86" ht="15.75" customHeight="1">
      <c r="A86" s="47"/>
      <c r="B86" s="48"/>
      <c r="C86" s="48"/>
      <c r="D86" s="48"/>
      <c r="E86" s="48"/>
      <c r="F86" s="48"/>
      <c r="G86" s="48"/>
      <c r="H86" s="49"/>
    </row>
    <row r="87" ht="15.75" customHeight="1">
      <c r="A87" s="43" t="s">
        <v>274</v>
      </c>
      <c r="B87" s="19"/>
      <c r="C87" s="19"/>
      <c r="D87" s="19"/>
      <c r="E87" s="19"/>
      <c r="F87" s="19"/>
      <c r="G87" s="19"/>
      <c r="H87" s="20"/>
    </row>
    <row r="88" ht="15.75" customHeight="1">
      <c r="A88" s="70"/>
      <c r="B88" s="45"/>
      <c r="C88" s="45"/>
      <c r="D88" s="45"/>
      <c r="E88" s="45"/>
      <c r="F88" s="45"/>
      <c r="G88" s="45"/>
      <c r="H88" s="46"/>
    </row>
    <row r="89" ht="15.75" customHeight="1">
      <c r="A89" s="58"/>
      <c r="H89" s="59"/>
    </row>
    <row r="90" ht="15.75" customHeight="1">
      <c r="A90" s="58"/>
      <c r="H90" s="59"/>
    </row>
    <row r="91" ht="15.75" customHeight="1">
      <c r="A91" s="47"/>
      <c r="B91" s="48"/>
      <c r="C91" s="48"/>
      <c r="D91" s="48"/>
      <c r="E91" s="48"/>
      <c r="F91" s="48"/>
      <c r="G91" s="48"/>
      <c r="H91" s="49"/>
    </row>
    <row r="92" ht="15.75" customHeight="1"/>
    <row r="93" ht="15.75" customHeight="1"/>
    <row r="94" ht="15.75" customHeight="1">
      <c r="A94" s="41" t="s">
        <v>293</v>
      </c>
      <c r="E94" s="35" t="s">
        <v>182</v>
      </c>
      <c r="F94" s="62"/>
      <c r="G94" s="35" t="s">
        <v>269</v>
      </c>
      <c r="H94" s="62"/>
    </row>
    <row r="95" ht="15.75" customHeight="1">
      <c r="A95" s="37" t="s">
        <v>280</v>
      </c>
    </row>
    <row r="96" ht="15.75" customHeight="1">
      <c r="A96" s="51" t="s">
        <v>194</v>
      </c>
      <c r="B96" s="18"/>
      <c r="C96" s="19"/>
      <c r="D96" s="19"/>
      <c r="E96" s="19"/>
      <c r="F96" s="19"/>
      <c r="G96" s="19"/>
      <c r="H96" s="20"/>
    </row>
    <row r="97" ht="15.75" customHeight="1">
      <c r="A97" s="51" t="s">
        <v>194</v>
      </c>
      <c r="B97" s="18"/>
      <c r="C97" s="19"/>
      <c r="D97" s="19"/>
      <c r="E97" s="19"/>
      <c r="F97" s="19"/>
      <c r="G97" s="19"/>
      <c r="H97" s="20"/>
    </row>
    <row r="98" ht="15.75" customHeight="1">
      <c r="A98" s="51" t="s">
        <v>194</v>
      </c>
      <c r="B98" s="18"/>
      <c r="C98" s="19"/>
      <c r="D98" s="19"/>
      <c r="E98" s="19"/>
      <c r="F98" s="19"/>
      <c r="G98" s="19"/>
      <c r="H98" s="20"/>
    </row>
    <row r="99" ht="15.75" customHeight="1">
      <c r="A99" s="51" t="s">
        <v>270</v>
      </c>
      <c r="B99" s="18"/>
      <c r="C99" s="19"/>
      <c r="D99" s="19"/>
      <c r="E99" s="19"/>
      <c r="F99" s="19"/>
      <c r="G99" s="19"/>
      <c r="H99" s="20"/>
    </row>
    <row r="100" ht="15.75" customHeight="1">
      <c r="A100" s="43" t="s">
        <v>272</v>
      </c>
      <c r="B100" s="19"/>
      <c r="C100" s="19"/>
      <c r="D100" s="19"/>
      <c r="E100" s="19"/>
      <c r="F100" s="19"/>
      <c r="G100" s="19"/>
      <c r="H100" s="20"/>
    </row>
    <row r="101" ht="15.75" customHeight="1">
      <c r="A101" s="70"/>
      <c r="B101" s="45"/>
      <c r="C101" s="45"/>
      <c r="D101" s="45"/>
      <c r="E101" s="45"/>
      <c r="F101" s="45"/>
      <c r="G101" s="45"/>
      <c r="H101" s="46"/>
    </row>
    <row r="102" ht="15.75" customHeight="1">
      <c r="A102" s="58"/>
      <c r="H102" s="59"/>
    </row>
    <row r="103" ht="15.75" customHeight="1">
      <c r="A103" s="47"/>
      <c r="B103" s="48"/>
      <c r="C103" s="48"/>
      <c r="D103" s="48"/>
      <c r="E103" s="48"/>
      <c r="F103" s="48"/>
      <c r="G103" s="48"/>
      <c r="H103" s="49"/>
    </row>
    <row r="104" ht="15.75" customHeight="1">
      <c r="A104" s="43" t="s">
        <v>274</v>
      </c>
      <c r="B104" s="19"/>
      <c r="C104" s="19"/>
      <c r="D104" s="19"/>
      <c r="E104" s="19"/>
      <c r="F104" s="19"/>
      <c r="G104" s="19"/>
      <c r="H104" s="20"/>
    </row>
    <row r="105" ht="15.75" customHeight="1">
      <c r="A105" s="70"/>
      <c r="B105" s="45"/>
      <c r="C105" s="45"/>
      <c r="D105" s="45"/>
      <c r="E105" s="45"/>
      <c r="F105" s="45"/>
      <c r="G105" s="45"/>
      <c r="H105" s="46"/>
    </row>
    <row r="106" ht="15.75" customHeight="1">
      <c r="A106" s="58"/>
      <c r="H106" s="59"/>
    </row>
    <row r="107" ht="15.75" customHeight="1">
      <c r="A107" s="58"/>
      <c r="H107" s="59"/>
    </row>
    <row r="108" ht="15.75" customHeight="1">
      <c r="A108" s="47"/>
      <c r="B108" s="48"/>
      <c r="C108" s="48"/>
      <c r="D108" s="48"/>
      <c r="E108" s="48"/>
      <c r="F108" s="48"/>
      <c r="G108" s="48"/>
      <c r="H108" s="49"/>
    </row>
    <row r="109" ht="15.75" customHeight="1"/>
    <row r="110" ht="15.75" customHeight="1"/>
    <row r="111" ht="15.75" customHeight="1">
      <c r="A111" s="41" t="s">
        <v>294</v>
      </c>
      <c r="E111" s="35" t="s">
        <v>182</v>
      </c>
      <c r="F111" s="62"/>
      <c r="G111" s="35" t="s">
        <v>269</v>
      </c>
      <c r="H111" s="62"/>
    </row>
    <row r="112" ht="15.75" customHeight="1">
      <c r="A112" s="37" t="s">
        <v>280</v>
      </c>
    </row>
    <row r="113" ht="15.75" customHeight="1">
      <c r="A113" s="51" t="s">
        <v>194</v>
      </c>
      <c r="B113" s="18"/>
      <c r="C113" s="19"/>
      <c r="D113" s="19"/>
      <c r="E113" s="19"/>
      <c r="F113" s="19"/>
      <c r="G113" s="19"/>
      <c r="H113" s="20"/>
    </row>
    <row r="114" ht="15.75" customHeight="1">
      <c r="A114" s="51" t="s">
        <v>194</v>
      </c>
      <c r="B114" s="18"/>
      <c r="C114" s="19"/>
      <c r="D114" s="19"/>
      <c r="E114" s="19"/>
      <c r="F114" s="19"/>
      <c r="G114" s="19"/>
      <c r="H114" s="20"/>
    </row>
    <row r="115" ht="15.75" customHeight="1">
      <c r="A115" s="51" t="s">
        <v>194</v>
      </c>
      <c r="B115" s="18"/>
      <c r="C115" s="19"/>
      <c r="D115" s="19"/>
      <c r="E115" s="19"/>
      <c r="F115" s="19"/>
      <c r="G115" s="19"/>
      <c r="H115" s="20"/>
    </row>
    <row r="116" ht="15.75" customHeight="1">
      <c r="A116" s="51" t="s">
        <v>270</v>
      </c>
      <c r="B116" s="18"/>
      <c r="C116" s="19"/>
      <c r="D116" s="19"/>
      <c r="E116" s="19"/>
      <c r="F116" s="19"/>
      <c r="G116" s="19"/>
      <c r="H116" s="20"/>
    </row>
    <row r="117" ht="15.75" customHeight="1">
      <c r="A117" s="43" t="s">
        <v>272</v>
      </c>
      <c r="B117" s="19"/>
      <c r="C117" s="19"/>
      <c r="D117" s="19"/>
      <c r="E117" s="19"/>
      <c r="F117" s="19"/>
      <c r="G117" s="19"/>
      <c r="H117" s="20"/>
    </row>
    <row r="118" ht="15.75" customHeight="1">
      <c r="A118" s="70"/>
      <c r="B118" s="45"/>
      <c r="C118" s="45"/>
      <c r="D118" s="45"/>
      <c r="E118" s="45"/>
      <c r="F118" s="45"/>
      <c r="G118" s="45"/>
      <c r="H118" s="46"/>
    </row>
    <row r="119" ht="15.75" customHeight="1">
      <c r="A119" s="58"/>
      <c r="H119" s="59"/>
    </row>
    <row r="120" ht="15.75" customHeight="1">
      <c r="A120" s="47"/>
      <c r="B120" s="48"/>
      <c r="C120" s="48"/>
      <c r="D120" s="48"/>
      <c r="E120" s="48"/>
      <c r="F120" s="48"/>
      <c r="G120" s="48"/>
      <c r="H120" s="49"/>
    </row>
    <row r="121" ht="15.75" customHeight="1">
      <c r="A121" s="43" t="s">
        <v>274</v>
      </c>
      <c r="B121" s="19"/>
      <c r="C121" s="19"/>
      <c r="D121" s="19"/>
      <c r="E121" s="19"/>
      <c r="F121" s="19"/>
      <c r="G121" s="19"/>
      <c r="H121" s="20"/>
    </row>
    <row r="122" ht="15.75" customHeight="1">
      <c r="A122" s="70"/>
      <c r="B122" s="45"/>
      <c r="C122" s="45"/>
      <c r="D122" s="45"/>
      <c r="E122" s="45"/>
      <c r="F122" s="45"/>
      <c r="G122" s="45"/>
      <c r="H122" s="46"/>
    </row>
    <row r="123" ht="15.75" customHeight="1">
      <c r="A123" s="58"/>
      <c r="H123" s="59"/>
    </row>
    <row r="124" ht="15.75" customHeight="1">
      <c r="A124" s="58"/>
      <c r="H124" s="59"/>
    </row>
    <row r="125" ht="15.75" customHeight="1">
      <c r="A125" s="47"/>
      <c r="B125" s="48"/>
      <c r="C125" s="48"/>
      <c r="D125" s="48"/>
      <c r="E125" s="48"/>
      <c r="F125" s="48"/>
      <c r="G125" s="48"/>
      <c r="H125" s="49"/>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c r="A1" s="10" t="s">
        <v>295</v>
      </c>
    </row>
    <row r="2" ht="15.75" customHeight="1">
      <c r="B2" s="39" t="s">
        <v>296</v>
      </c>
    </row>
    <row r="3" ht="15.75" customHeight="1"/>
    <row r="4" ht="15.75" customHeight="1">
      <c r="B4" s="17" t="s">
        <v>1</v>
      </c>
      <c r="C4" s="18" t="str">
        <f>'Diseño'!C4</f>
        <v>975 - Redes de Computadoras 2</v>
      </c>
      <c r="D4" s="19"/>
      <c r="E4" s="19"/>
      <c r="F4" s="19"/>
      <c r="G4" s="20"/>
    </row>
    <row r="5" ht="15.75" customHeight="1">
      <c r="B5" s="40" t="s">
        <v>144</v>
      </c>
      <c r="C5" s="18">
        <f>H9+H26+H43+H60+H77+H94+H111</f>
        <v>8</v>
      </c>
      <c r="D5" s="19"/>
      <c r="E5" s="19"/>
      <c r="F5" s="19"/>
      <c r="G5" s="20"/>
    </row>
    <row r="6" ht="15.75" customHeight="1">
      <c r="B6" s="40" t="s">
        <v>182</v>
      </c>
      <c r="C6" s="18">
        <f>F9+F26+F43+F60+F77+F94+F111</f>
        <v>10</v>
      </c>
      <c r="D6" s="19"/>
      <c r="E6" s="19"/>
      <c r="F6" s="19"/>
      <c r="G6" s="20"/>
    </row>
    <row r="7" ht="15.75" customHeight="1">
      <c r="B7" s="6" t="s">
        <v>297</v>
      </c>
    </row>
    <row r="8" ht="15.75" customHeight="1"/>
    <row r="9" ht="15.75" customHeight="1">
      <c r="A9" s="41" t="s">
        <v>298</v>
      </c>
      <c r="E9" s="35" t="s">
        <v>182</v>
      </c>
      <c r="F9" s="42">
        <v>2.5</v>
      </c>
      <c r="G9" s="35" t="s">
        <v>269</v>
      </c>
      <c r="H9" s="42">
        <v>2.0</v>
      </c>
    </row>
    <row r="10" ht="15.75" customHeight="1">
      <c r="A10" s="6" t="s">
        <v>284</v>
      </c>
    </row>
    <row r="11" ht="15.75" customHeight="1">
      <c r="A11" s="51" t="s">
        <v>194</v>
      </c>
      <c r="B11" s="31" t="s">
        <v>12</v>
      </c>
      <c r="C11" s="19"/>
      <c r="D11" s="19"/>
      <c r="E11" s="19"/>
      <c r="F11" s="19"/>
      <c r="G11" s="19"/>
      <c r="H11" s="20"/>
    </row>
    <row r="12" ht="15.75" customHeight="1">
      <c r="A12" s="51" t="s">
        <v>194</v>
      </c>
      <c r="B12" s="31" t="s">
        <v>12</v>
      </c>
      <c r="C12" s="19"/>
      <c r="D12" s="19"/>
      <c r="E12" s="19"/>
      <c r="F12" s="19"/>
      <c r="G12" s="19"/>
      <c r="H12" s="20"/>
    </row>
    <row r="13" ht="15.75" customHeight="1">
      <c r="A13" s="51" t="s">
        <v>194</v>
      </c>
      <c r="B13" s="31" t="s">
        <v>49</v>
      </c>
      <c r="C13" s="19"/>
      <c r="D13" s="19"/>
      <c r="E13" s="19"/>
      <c r="F13" s="19"/>
      <c r="G13" s="19"/>
      <c r="H13" s="20"/>
    </row>
    <row r="14" ht="15.75" customHeight="1">
      <c r="A14" s="51" t="s">
        <v>270</v>
      </c>
      <c r="B14" s="31" t="s">
        <v>299</v>
      </c>
      <c r="C14" s="19"/>
      <c r="D14" s="19"/>
      <c r="E14" s="19"/>
      <c r="F14" s="19"/>
      <c r="G14" s="19"/>
      <c r="H14" s="20"/>
    </row>
    <row r="15" ht="15.75" customHeight="1">
      <c r="A15" s="43" t="s">
        <v>272</v>
      </c>
      <c r="B15" s="19"/>
      <c r="C15" s="19"/>
      <c r="D15" s="19"/>
      <c r="E15" s="19"/>
      <c r="F15" s="19"/>
      <c r="G15" s="19"/>
      <c r="H15" s="20"/>
    </row>
    <row r="16" ht="15.75" customHeight="1">
      <c r="A16" s="44" t="s">
        <v>300</v>
      </c>
      <c r="B16" s="45"/>
      <c r="C16" s="45"/>
      <c r="D16" s="45"/>
      <c r="E16" s="45"/>
      <c r="F16" s="45"/>
      <c r="G16" s="45"/>
      <c r="H16" s="46"/>
    </row>
    <row r="17" ht="15.75" customHeight="1">
      <c r="A17" s="58"/>
      <c r="H17" s="59"/>
    </row>
    <row r="18" ht="15.75" customHeight="1">
      <c r="A18" s="47"/>
      <c r="B18" s="48"/>
      <c r="C18" s="48"/>
      <c r="D18" s="48"/>
      <c r="E18" s="48"/>
      <c r="F18" s="48"/>
      <c r="G18" s="48"/>
      <c r="H18" s="49"/>
    </row>
    <row r="19" ht="15.75" customHeight="1">
      <c r="A19" s="43" t="s">
        <v>274</v>
      </c>
      <c r="B19" s="19"/>
      <c r="C19" s="19"/>
      <c r="D19" s="19"/>
      <c r="E19" s="19"/>
      <c r="F19" s="19"/>
      <c r="G19" s="19"/>
      <c r="H19" s="20"/>
    </row>
    <row r="20" ht="15.75" customHeight="1">
      <c r="A20" s="44" t="s">
        <v>301</v>
      </c>
      <c r="B20" s="45"/>
      <c r="C20" s="45"/>
      <c r="D20" s="45"/>
      <c r="E20" s="45"/>
      <c r="F20" s="45"/>
      <c r="G20" s="45"/>
      <c r="H20" s="46"/>
    </row>
    <row r="21" ht="15.75" customHeight="1">
      <c r="A21" s="58"/>
      <c r="H21" s="59"/>
    </row>
    <row r="22" ht="15.75" customHeight="1">
      <c r="A22" s="58"/>
      <c r="H22" s="59"/>
    </row>
    <row r="23" ht="15.75" customHeight="1">
      <c r="A23" s="47"/>
      <c r="B23" s="48"/>
      <c r="C23" s="48"/>
      <c r="D23" s="48"/>
      <c r="E23" s="48"/>
      <c r="F23" s="48"/>
      <c r="G23" s="48"/>
      <c r="H23" s="49"/>
    </row>
    <row r="24" ht="15.75" customHeight="1"/>
    <row r="25" ht="15.75" customHeight="1"/>
    <row r="26" ht="15.75" customHeight="1">
      <c r="A26" s="41" t="s">
        <v>302</v>
      </c>
      <c r="E26" s="35" t="s">
        <v>182</v>
      </c>
      <c r="F26" s="42">
        <v>2.5</v>
      </c>
      <c r="G26" s="35" t="s">
        <v>269</v>
      </c>
      <c r="H26" s="42">
        <v>2.0</v>
      </c>
    </row>
    <row r="27" ht="15.75" customHeight="1">
      <c r="A27" s="6" t="s">
        <v>284</v>
      </c>
    </row>
    <row r="28" ht="15.75" customHeight="1">
      <c r="A28" s="51" t="s">
        <v>194</v>
      </c>
      <c r="B28" s="31" t="s">
        <v>37</v>
      </c>
      <c r="C28" s="19"/>
      <c r="D28" s="19"/>
      <c r="E28" s="19"/>
      <c r="F28" s="19"/>
      <c r="G28" s="19"/>
      <c r="H28" s="20"/>
    </row>
    <row r="29" ht="15.75" customHeight="1">
      <c r="A29" s="51" t="s">
        <v>194</v>
      </c>
      <c r="B29" s="31" t="s">
        <v>12</v>
      </c>
      <c r="C29" s="19"/>
      <c r="D29" s="19"/>
      <c r="E29" s="19"/>
      <c r="F29" s="19"/>
      <c r="G29" s="19"/>
      <c r="H29" s="20"/>
    </row>
    <row r="30" ht="15.75" customHeight="1">
      <c r="A30" s="51" t="s">
        <v>194</v>
      </c>
      <c r="B30" s="31" t="s">
        <v>74</v>
      </c>
      <c r="C30" s="19"/>
      <c r="D30" s="19"/>
      <c r="E30" s="19"/>
      <c r="F30" s="19"/>
      <c r="G30" s="19"/>
      <c r="H30" s="20"/>
    </row>
    <row r="31" ht="15.75" customHeight="1">
      <c r="A31" s="51" t="s">
        <v>270</v>
      </c>
      <c r="B31" s="31" t="s">
        <v>303</v>
      </c>
      <c r="C31" s="19"/>
      <c r="D31" s="19"/>
      <c r="E31" s="19"/>
      <c r="F31" s="19"/>
      <c r="G31" s="19"/>
      <c r="H31" s="20"/>
    </row>
    <row r="32" ht="15.75" customHeight="1">
      <c r="A32" s="43" t="s">
        <v>272</v>
      </c>
      <c r="B32" s="19"/>
      <c r="C32" s="19"/>
      <c r="D32" s="19"/>
      <c r="E32" s="19"/>
      <c r="F32" s="19"/>
      <c r="G32" s="19"/>
      <c r="H32" s="20"/>
    </row>
    <row r="33" ht="15.75" customHeight="1">
      <c r="A33" s="44" t="s">
        <v>304</v>
      </c>
      <c r="B33" s="45"/>
      <c r="C33" s="45"/>
      <c r="D33" s="45"/>
      <c r="E33" s="45"/>
      <c r="F33" s="45"/>
      <c r="G33" s="45"/>
      <c r="H33" s="46"/>
    </row>
    <row r="34" ht="15.75" customHeight="1">
      <c r="A34" s="58"/>
      <c r="H34" s="59"/>
    </row>
    <row r="35" ht="15.75" customHeight="1">
      <c r="A35" s="47"/>
      <c r="B35" s="48"/>
      <c r="C35" s="48"/>
      <c r="D35" s="48"/>
      <c r="E35" s="48"/>
      <c r="F35" s="48"/>
      <c r="G35" s="48"/>
      <c r="H35" s="49"/>
    </row>
    <row r="36" ht="15.75" customHeight="1">
      <c r="A36" s="43" t="s">
        <v>274</v>
      </c>
      <c r="B36" s="19"/>
      <c r="C36" s="19"/>
      <c r="D36" s="19"/>
      <c r="E36" s="19"/>
      <c r="F36" s="19"/>
      <c r="G36" s="19"/>
      <c r="H36" s="20"/>
    </row>
    <row r="37" ht="15.75" customHeight="1">
      <c r="A37" s="44" t="s">
        <v>305</v>
      </c>
      <c r="B37" s="45"/>
      <c r="C37" s="45"/>
      <c r="D37" s="45"/>
      <c r="E37" s="45"/>
      <c r="F37" s="45"/>
      <c r="G37" s="45"/>
      <c r="H37" s="46"/>
    </row>
    <row r="38" ht="15.75" customHeight="1">
      <c r="A38" s="58"/>
      <c r="H38" s="59"/>
    </row>
    <row r="39" ht="15.75" customHeight="1">
      <c r="A39" s="58"/>
      <c r="H39" s="59"/>
    </row>
    <row r="40" ht="15.75" customHeight="1">
      <c r="A40" s="47"/>
      <c r="B40" s="48"/>
      <c r="C40" s="48"/>
      <c r="D40" s="48"/>
      <c r="E40" s="48"/>
      <c r="F40" s="48"/>
      <c r="G40" s="48"/>
      <c r="H40" s="49"/>
    </row>
    <row r="41" ht="15.75" customHeight="1"/>
    <row r="42" ht="15.75" customHeight="1"/>
    <row r="43" ht="15.75" customHeight="1">
      <c r="A43" s="41" t="s">
        <v>306</v>
      </c>
      <c r="E43" s="35" t="s">
        <v>182</v>
      </c>
      <c r="F43" s="42">
        <v>2.5</v>
      </c>
      <c r="G43" s="35" t="s">
        <v>269</v>
      </c>
      <c r="H43" s="42">
        <v>2.0</v>
      </c>
    </row>
    <row r="44" ht="15.75" customHeight="1">
      <c r="A44" s="37" t="s">
        <v>280</v>
      </c>
    </row>
    <row r="45" ht="15.75" customHeight="1">
      <c r="A45" s="51" t="s">
        <v>194</v>
      </c>
      <c r="B45" s="31" t="s">
        <v>109</v>
      </c>
      <c r="C45" s="19"/>
      <c r="D45" s="19"/>
      <c r="E45" s="19"/>
      <c r="F45" s="19"/>
      <c r="G45" s="19"/>
      <c r="H45" s="20"/>
    </row>
    <row r="46" ht="15.75" customHeight="1">
      <c r="A46" s="51" t="s">
        <v>194</v>
      </c>
      <c r="B46" s="31" t="s">
        <v>106</v>
      </c>
      <c r="C46" s="19"/>
      <c r="D46" s="19"/>
      <c r="E46" s="19"/>
      <c r="F46" s="19"/>
      <c r="G46" s="19"/>
      <c r="H46" s="20"/>
    </row>
    <row r="47" ht="15.75" customHeight="1">
      <c r="A47" s="51" t="s">
        <v>194</v>
      </c>
      <c r="B47" s="31" t="s">
        <v>117</v>
      </c>
      <c r="C47" s="19"/>
      <c r="D47" s="19"/>
      <c r="E47" s="19"/>
      <c r="F47" s="19"/>
      <c r="G47" s="19"/>
      <c r="H47" s="20"/>
    </row>
    <row r="48" ht="15.75" customHeight="1">
      <c r="A48" s="51" t="s">
        <v>270</v>
      </c>
      <c r="B48" s="31" t="s">
        <v>307</v>
      </c>
      <c r="C48" s="19"/>
      <c r="D48" s="19"/>
      <c r="E48" s="19"/>
      <c r="F48" s="19"/>
      <c r="G48" s="19"/>
      <c r="H48" s="20"/>
    </row>
    <row r="49" ht="15.75" customHeight="1">
      <c r="A49" s="43" t="s">
        <v>272</v>
      </c>
      <c r="B49" s="19"/>
      <c r="C49" s="19"/>
      <c r="D49" s="19"/>
      <c r="E49" s="19"/>
      <c r="F49" s="19"/>
      <c r="G49" s="19"/>
      <c r="H49" s="20"/>
    </row>
    <row r="50" ht="15.75" customHeight="1">
      <c r="A50" s="44" t="s">
        <v>304</v>
      </c>
      <c r="B50" s="45"/>
      <c r="C50" s="45"/>
      <c r="D50" s="45"/>
      <c r="E50" s="45"/>
      <c r="F50" s="45"/>
      <c r="G50" s="45"/>
      <c r="H50" s="46"/>
    </row>
    <row r="51" ht="15.75" customHeight="1">
      <c r="A51" s="58"/>
      <c r="H51" s="59"/>
    </row>
    <row r="52" ht="15.75" customHeight="1">
      <c r="A52" s="47"/>
      <c r="B52" s="48"/>
      <c r="C52" s="48"/>
      <c r="D52" s="48"/>
      <c r="E52" s="48"/>
      <c r="F52" s="48"/>
      <c r="G52" s="48"/>
      <c r="H52" s="49"/>
    </row>
    <row r="53" ht="15.75" customHeight="1">
      <c r="A53" s="43" t="s">
        <v>274</v>
      </c>
      <c r="B53" s="19"/>
      <c r="C53" s="19"/>
      <c r="D53" s="19"/>
      <c r="E53" s="19"/>
      <c r="F53" s="19"/>
      <c r="G53" s="19"/>
      <c r="H53" s="20"/>
    </row>
    <row r="54" ht="15.75" customHeight="1">
      <c r="A54" s="44" t="s">
        <v>308</v>
      </c>
      <c r="B54" s="45"/>
      <c r="C54" s="45"/>
      <c r="D54" s="45"/>
      <c r="E54" s="45"/>
      <c r="F54" s="45"/>
      <c r="G54" s="45"/>
      <c r="H54" s="46"/>
    </row>
    <row r="55" ht="15.75" customHeight="1">
      <c r="A55" s="58"/>
      <c r="H55" s="59"/>
    </row>
    <row r="56" ht="15.75" customHeight="1">
      <c r="A56" s="58"/>
      <c r="H56" s="59"/>
    </row>
    <row r="57" ht="15.75" customHeight="1">
      <c r="A57" s="47"/>
      <c r="B57" s="48"/>
      <c r="C57" s="48"/>
      <c r="D57" s="48"/>
      <c r="E57" s="48"/>
      <c r="F57" s="48"/>
      <c r="G57" s="48"/>
      <c r="H57" s="49"/>
    </row>
    <row r="58" ht="15.75" customHeight="1"/>
    <row r="59" ht="15.75" customHeight="1"/>
    <row r="60" ht="15.75" customHeight="1">
      <c r="A60" s="41" t="s">
        <v>309</v>
      </c>
      <c r="E60" s="35" t="s">
        <v>182</v>
      </c>
      <c r="F60" s="42">
        <v>2.5</v>
      </c>
      <c r="G60" s="35" t="s">
        <v>269</v>
      </c>
      <c r="H60" s="42">
        <v>2.0</v>
      </c>
    </row>
    <row r="61" ht="15.75" customHeight="1">
      <c r="A61" s="37" t="s">
        <v>280</v>
      </c>
    </row>
    <row r="62" ht="15.75" customHeight="1">
      <c r="A62" s="51" t="s">
        <v>194</v>
      </c>
      <c r="B62" s="31" t="s">
        <v>12</v>
      </c>
      <c r="C62" s="19"/>
      <c r="D62" s="19"/>
      <c r="E62" s="19"/>
      <c r="F62" s="19"/>
      <c r="G62" s="19"/>
      <c r="H62" s="20"/>
    </row>
    <row r="63" ht="15.75" customHeight="1">
      <c r="A63" s="51" t="s">
        <v>194</v>
      </c>
      <c r="B63" s="31" t="s">
        <v>49</v>
      </c>
      <c r="C63" s="19"/>
      <c r="D63" s="19"/>
      <c r="E63" s="19"/>
      <c r="F63" s="19"/>
      <c r="G63" s="19"/>
      <c r="H63" s="20"/>
    </row>
    <row r="64" ht="15.75" customHeight="1">
      <c r="A64" s="51" t="s">
        <v>194</v>
      </c>
      <c r="B64" s="31" t="s">
        <v>12</v>
      </c>
      <c r="C64" s="19"/>
      <c r="D64" s="19"/>
      <c r="E64" s="19"/>
      <c r="F64" s="19"/>
      <c r="G64" s="19"/>
      <c r="H64" s="20"/>
    </row>
    <row r="65" ht="15.75" customHeight="1">
      <c r="A65" s="51" t="s">
        <v>270</v>
      </c>
      <c r="B65" s="31" t="s">
        <v>310</v>
      </c>
      <c r="C65" s="19"/>
      <c r="D65" s="19"/>
      <c r="E65" s="19"/>
      <c r="F65" s="19"/>
      <c r="G65" s="19"/>
      <c r="H65" s="20"/>
    </row>
    <row r="66" ht="15.75" customHeight="1">
      <c r="A66" s="43" t="s">
        <v>272</v>
      </c>
      <c r="B66" s="19"/>
      <c r="C66" s="19"/>
      <c r="D66" s="19"/>
      <c r="E66" s="19"/>
      <c r="F66" s="19"/>
      <c r="G66" s="19"/>
      <c r="H66" s="20"/>
    </row>
    <row r="67" ht="15.75" customHeight="1">
      <c r="A67" s="44" t="s">
        <v>311</v>
      </c>
      <c r="B67" s="45"/>
      <c r="C67" s="45"/>
      <c r="D67" s="45"/>
      <c r="E67" s="45"/>
      <c r="F67" s="45"/>
      <c r="G67" s="45"/>
      <c r="H67" s="46"/>
    </row>
    <row r="68" ht="15.75" customHeight="1">
      <c r="A68" s="58"/>
      <c r="H68" s="59"/>
    </row>
    <row r="69" ht="15.75" customHeight="1">
      <c r="A69" s="47"/>
      <c r="B69" s="48"/>
      <c r="C69" s="48"/>
      <c r="D69" s="48"/>
      <c r="E69" s="48"/>
      <c r="F69" s="48"/>
      <c r="G69" s="48"/>
      <c r="H69" s="49"/>
    </row>
    <row r="70" ht="15.75" customHeight="1">
      <c r="A70" s="43" t="s">
        <v>274</v>
      </c>
      <c r="B70" s="19"/>
      <c r="C70" s="19"/>
      <c r="D70" s="19"/>
      <c r="E70" s="19"/>
      <c r="F70" s="19"/>
      <c r="G70" s="19"/>
      <c r="H70" s="20"/>
    </row>
    <row r="71" ht="15.75" customHeight="1">
      <c r="A71" s="44" t="s">
        <v>312</v>
      </c>
      <c r="B71" s="45"/>
      <c r="C71" s="45"/>
      <c r="D71" s="45"/>
      <c r="E71" s="45"/>
      <c r="F71" s="45"/>
      <c r="G71" s="45"/>
      <c r="H71" s="46"/>
    </row>
    <row r="72" ht="15.75" customHeight="1">
      <c r="A72" s="58"/>
      <c r="H72" s="59"/>
    </row>
    <row r="73" ht="15.75" customHeight="1">
      <c r="A73" s="58"/>
      <c r="H73" s="59"/>
    </row>
    <row r="74" ht="15.75" customHeight="1">
      <c r="A74" s="47"/>
      <c r="B74" s="48"/>
      <c r="C74" s="48"/>
      <c r="D74" s="48"/>
      <c r="E74" s="48"/>
      <c r="F74" s="48"/>
      <c r="G74" s="48"/>
      <c r="H74" s="49"/>
    </row>
    <row r="75" ht="15.75" customHeight="1"/>
    <row r="76" ht="15.75" customHeight="1"/>
    <row r="77" ht="15.75" customHeight="1">
      <c r="A77" s="41" t="s">
        <v>313</v>
      </c>
      <c r="E77" s="35" t="s">
        <v>182</v>
      </c>
      <c r="F77" s="62"/>
      <c r="G77" s="35" t="s">
        <v>269</v>
      </c>
      <c r="H77" s="62"/>
    </row>
    <row r="78" ht="15.75" customHeight="1">
      <c r="A78" s="37" t="s">
        <v>280</v>
      </c>
    </row>
    <row r="79" ht="15.75" customHeight="1">
      <c r="A79" s="51" t="s">
        <v>194</v>
      </c>
      <c r="B79" s="18"/>
      <c r="C79" s="19"/>
      <c r="D79" s="19"/>
      <c r="E79" s="19"/>
      <c r="F79" s="19"/>
      <c r="G79" s="19"/>
      <c r="H79" s="20"/>
    </row>
    <row r="80" ht="15.75" customHeight="1">
      <c r="A80" s="51" t="s">
        <v>194</v>
      </c>
      <c r="B80" s="18"/>
      <c r="C80" s="19"/>
      <c r="D80" s="19"/>
      <c r="E80" s="19"/>
      <c r="F80" s="19"/>
      <c r="G80" s="19"/>
      <c r="H80" s="20"/>
    </row>
    <row r="81" ht="15.75" customHeight="1">
      <c r="A81" s="51" t="s">
        <v>194</v>
      </c>
      <c r="B81" s="18"/>
      <c r="C81" s="19"/>
      <c r="D81" s="19"/>
      <c r="E81" s="19"/>
      <c r="F81" s="19"/>
      <c r="G81" s="19"/>
      <c r="H81" s="20"/>
    </row>
    <row r="82" ht="15.75" customHeight="1">
      <c r="A82" s="51" t="s">
        <v>270</v>
      </c>
      <c r="B82" s="18"/>
      <c r="C82" s="19"/>
      <c r="D82" s="19"/>
      <c r="E82" s="19"/>
      <c r="F82" s="19"/>
      <c r="G82" s="19"/>
      <c r="H82" s="20"/>
    </row>
    <row r="83" ht="15.75" customHeight="1">
      <c r="A83" s="43" t="s">
        <v>272</v>
      </c>
      <c r="B83" s="19"/>
      <c r="C83" s="19"/>
      <c r="D83" s="19"/>
      <c r="E83" s="19"/>
      <c r="F83" s="19"/>
      <c r="G83" s="19"/>
      <c r="H83" s="20"/>
    </row>
    <row r="84" ht="15.75" customHeight="1">
      <c r="A84" s="70"/>
      <c r="B84" s="45"/>
      <c r="C84" s="45"/>
      <c r="D84" s="45"/>
      <c r="E84" s="45"/>
      <c r="F84" s="45"/>
      <c r="G84" s="45"/>
      <c r="H84" s="46"/>
    </row>
    <row r="85" ht="15.75" customHeight="1">
      <c r="A85" s="58"/>
      <c r="H85" s="59"/>
    </row>
    <row r="86" ht="15.75" customHeight="1">
      <c r="A86" s="47"/>
      <c r="B86" s="48"/>
      <c r="C86" s="48"/>
      <c r="D86" s="48"/>
      <c r="E86" s="48"/>
      <c r="F86" s="48"/>
      <c r="G86" s="48"/>
      <c r="H86" s="49"/>
    </row>
    <row r="87" ht="15.75" customHeight="1">
      <c r="A87" s="43" t="s">
        <v>274</v>
      </c>
      <c r="B87" s="19"/>
      <c r="C87" s="19"/>
      <c r="D87" s="19"/>
      <c r="E87" s="19"/>
      <c r="F87" s="19"/>
      <c r="G87" s="19"/>
      <c r="H87" s="20"/>
    </row>
    <row r="88" ht="15.75" customHeight="1">
      <c r="A88" s="70"/>
      <c r="B88" s="45"/>
      <c r="C88" s="45"/>
      <c r="D88" s="45"/>
      <c r="E88" s="45"/>
      <c r="F88" s="45"/>
      <c r="G88" s="45"/>
      <c r="H88" s="46"/>
    </row>
    <row r="89" ht="15.75" customHeight="1">
      <c r="A89" s="58"/>
      <c r="H89" s="59"/>
    </row>
    <row r="90" ht="15.75" customHeight="1">
      <c r="A90" s="58"/>
      <c r="H90" s="59"/>
    </row>
    <row r="91" ht="15.75" customHeight="1">
      <c r="A91" s="47"/>
      <c r="B91" s="48"/>
      <c r="C91" s="48"/>
      <c r="D91" s="48"/>
      <c r="E91" s="48"/>
      <c r="F91" s="48"/>
      <c r="G91" s="48"/>
      <c r="H91" s="49"/>
    </row>
    <row r="92" ht="15.75" customHeight="1"/>
    <row r="93" ht="15.75" customHeight="1"/>
    <row r="94" ht="15.75" customHeight="1">
      <c r="A94" s="41" t="s">
        <v>314</v>
      </c>
      <c r="E94" s="35" t="s">
        <v>182</v>
      </c>
      <c r="F94" s="62"/>
      <c r="G94" s="35" t="s">
        <v>269</v>
      </c>
      <c r="H94" s="62"/>
    </row>
    <row r="95" ht="15.75" customHeight="1">
      <c r="A95" s="37" t="s">
        <v>280</v>
      </c>
    </row>
    <row r="96" ht="15.75" customHeight="1">
      <c r="A96" s="51" t="s">
        <v>194</v>
      </c>
      <c r="B96" s="18"/>
      <c r="C96" s="19"/>
      <c r="D96" s="19"/>
      <c r="E96" s="19"/>
      <c r="F96" s="19"/>
      <c r="G96" s="19"/>
      <c r="H96" s="20"/>
    </row>
    <row r="97" ht="15.75" customHeight="1">
      <c r="A97" s="51" t="s">
        <v>194</v>
      </c>
      <c r="B97" s="18"/>
      <c r="C97" s="19"/>
      <c r="D97" s="19"/>
      <c r="E97" s="19"/>
      <c r="F97" s="19"/>
      <c r="G97" s="19"/>
      <c r="H97" s="20"/>
    </row>
    <row r="98" ht="15.75" customHeight="1">
      <c r="A98" s="51" t="s">
        <v>194</v>
      </c>
      <c r="B98" s="18"/>
      <c r="C98" s="19"/>
      <c r="D98" s="19"/>
      <c r="E98" s="19"/>
      <c r="F98" s="19"/>
      <c r="G98" s="19"/>
      <c r="H98" s="20"/>
    </row>
    <row r="99" ht="15.75" customHeight="1">
      <c r="A99" s="51" t="s">
        <v>270</v>
      </c>
      <c r="B99" s="18"/>
      <c r="C99" s="19"/>
      <c r="D99" s="19"/>
      <c r="E99" s="19"/>
      <c r="F99" s="19"/>
      <c r="G99" s="19"/>
      <c r="H99" s="20"/>
    </row>
    <row r="100" ht="15.75" customHeight="1">
      <c r="A100" s="43" t="s">
        <v>272</v>
      </c>
      <c r="B100" s="19"/>
      <c r="C100" s="19"/>
      <c r="D100" s="19"/>
      <c r="E100" s="19"/>
      <c r="F100" s="19"/>
      <c r="G100" s="19"/>
      <c r="H100" s="20"/>
    </row>
    <row r="101" ht="15.75" customHeight="1">
      <c r="A101" s="70"/>
      <c r="B101" s="45"/>
      <c r="C101" s="45"/>
      <c r="D101" s="45"/>
      <c r="E101" s="45"/>
      <c r="F101" s="45"/>
      <c r="G101" s="45"/>
      <c r="H101" s="46"/>
    </row>
    <row r="102" ht="15.75" customHeight="1">
      <c r="A102" s="58"/>
      <c r="H102" s="59"/>
    </row>
    <row r="103" ht="15.75" customHeight="1">
      <c r="A103" s="47"/>
      <c r="B103" s="48"/>
      <c r="C103" s="48"/>
      <c r="D103" s="48"/>
      <c r="E103" s="48"/>
      <c r="F103" s="48"/>
      <c r="G103" s="48"/>
      <c r="H103" s="49"/>
    </row>
    <row r="104" ht="15.75" customHeight="1">
      <c r="A104" s="43" t="s">
        <v>274</v>
      </c>
      <c r="B104" s="19"/>
      <c r="C104" s="19"/>
      <c r="D104" s="19"/>
      <c r="E104" s="19"/>
      <c r="F104" s="19"/>
      <c r="G104" s="19"/>
      <c r="H104" s="20"/>
    </row>
    <row r="105" ht="15.75" customHeight="1">
      <c r="A105" s="70"/>
      <c r="B105" s="45"/>
      <c r="C105" s="45"/>
      <c r="D105" s="45"/>
      <c r="E105" s="45"/>
      <c r="F105" s="45"/>
      <c r="G105" s="45"/>
      <c r="H105" s="46"/>
    </row>
    <row r="106" ht="15.75" customHeight="1">
      <c r="A106" s="58"/>
      <c r="H106" s="59"/>
    </row>
    <row r="107" ht="15.75" customHeight="1">
      <c r="A107" s="58"/>
      <c r="H107" s="59"/>
    </row>
    <row r="108" ht="15.75" customHeight="1">
      <c r="A108" s="47"/>
      <c r="B108" s="48"/>
      <c r="C108" s="48"/>
      <c r="D108" s="48"/>
      <c r="E108" s="48"/>
      <c r="F108" s="48"/>
      <c r="G108" s="48"/>
      <c r="H108" s="49"/>
    </row>
    <row r="109" ht="15.75" customHeight="1"/>
    <row r="110" ht="15.75" customHeight="1"/>
    <row r="111" ht="15.75" customHeight="1">
      <c r="A111" s="41" t="s">
        <v>315</v>
      </c>
      <c r="E111" s="35" t="s">
        <v>182</v>
      </c>
      <c r="F111" s="62"/>
      <c r="G111" s="35" t="s">
        <v>269</v>
      </c>
      <c r="H111" s="62"/>
    </row>
    <row r="112" ht="15.75" customHeight="1">
      <c r="A112" s="37" t="s">
        <v>280</v>
      </c>
    </row>
    <row r="113" ht="15.75" customHeight="1">
      <c r="A113" s="51" t="s">
        <v>194</v>
      </c>
      <c r="B113" s="18"/>
      <c r="C113" s="19"/>
      <c r="D113" s="19"/>
      <c r="E113" s="19"/>
      <c r="F113" s="19"/>
      <c r="G113" s="19"/>
      <c r="H113" s="20"/>
    </row>
    <row r="114" ht="15.75" customHeight="1">
      <c r="A114" s="51" t="s">
        <v>194</v>
      </c>
      <c r="B114" s="18"/>
      <c r="C114" s="19"/>
      <c r="D114" s="19"/>
      <c r="E114" s="19"/>
      <c r="F114" s="19"/>
      <c r="G114" s="19"/>
      <c r="H114" s="20"/>
    </row>
    <row r="115" ht="15.75" customHeight="1">
      <c r="A115" s="51" t="s">
        <v>194</v>
      </c>
      <c r="B115" s="18"/>
      <c r="C115" s="19"/>
      <c r="D115" s="19"/>
      <c r="E115" s="19"/>
      <c r="F115" s="19"/>
      <c r="G115" s="19"/>
      <c r="H115" s="20"/>
    </row>
    <row r="116" ht="15.75" customHeight="1">
      <c r="A116" s="51" t="s">
        <v>270</v>
      </c>
      <c r="B116" s="18"/>
      <c r="C116" s="19"/>
      <c r="D116" s="19"/>
      <c r="E116" s="19"/>
      <c r="F116" s="19"/>
      <c r="G116" s="19"/>
      <c r="H116" s="20"/>
    </row>
    <row r="117" ht="15.75" customHeight="1">
      <c r="A117" s="43" t="s">
        <v>272</v>
      </c>
      <c r="B117" s="19"/>
      <c r="C117" s="19"/>
      <c r="D117" s="19"/>
      <c r="E117" s="19"/>
      <c r="F117" s="19"/>
      <c r="G117" s="19"/>
      <c r="H117" s="20"/>
    </row>
    <row r="118" ht="15.75" customHeight="1">
      <c r="A118" s="70"/>
      <c r="B118" s="45"/>
      <c r="C118" s="45"/>
      <c r="D118" s="45"/>
      <c r="E118" s="45"/>
      <c r="F118" s="45"/>
      <c r="G118" s="45"/>
      <c r="H118" s="46"/>
    </row>
    <row r="119" ht="15.75" customHeight="1">
      <c r="A119" s="58"/>
      <c r="H119" s="59"/>
    </row>
    <row r="120" ht="15.75" customHeight="1">
      <c r="A120" s="47"/>
      <c r="B120" s="48"/>
      <c r="C120" s="48"/>
      <c r="D120" s="48"/>
      <c r="E120" s="48"/>
      <c r="F120" s="48"/>
      <c r="G120" s="48"/>
      <c r="H120" s="49"/>
    </row>
    <row r="121" ht="15.75" customHeight="1">
      <c r="A121" s="43" t="s">
        <v>274</v>
      </c>
      <c r="B121" s="19"/>
      <c r="C121" s="19"/>
      <c r="D121" s="19"/>
      <c r="E121" s="19"/>
      <c r="F121" s="19"/>
      <c r="G121" s="19"/>
      <c r="H121" s="20"/>
    </row>
    <row r="122" ht="15.75" customHeight="1">
      <c r="A122" s="70"/>
      <c r="B122" s="45"/>
      <c r="C122" s="45"/>
      <c r="D122" s="45"/>
      <c r="E122" s="45"/>
      <c r="F122" s="45"/>
      <c r="G122" s="45"/>
      <c r="H122" s="46"/>
    </row>
    <row r="123" ht="15.75" customHeight="1">
      <c r="A123" s="58"/>
      <c r="H123" s="59"/>
    </row>
    <row r="124" ht="15.75" customHeight="1">
      <c r="A124" s="58"/>
      <c r="H124" s="59"/>
    </row>
    <row r="125" ht="15.75" customHeight="1">
      <c r="A125" s="47"/>
      <c r="B125" s="48"/>
      <c r="C125" s="48"/>
      <c r="D125" s="48"/>
      <c r="E125" s="48"/>
      <c r="F125" s="48"/>
      <c r="G125" s="48"/>
      <c r="H125" s="49"/>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23.63"/>
  </cols>
  <sheetData>
    <row r="1" ht="15.75" customHeight="1">
      <c r="A1" s="16"/>
    </row>
    <row r="2" ht="15.75" customHeight="1">
      <c r="A2" s="16"/>
      <c r="B2" s="39" t="s">
        <v>316</v>
      </c>
    </row>
    <row r="3" ht="15.75" customHeight="1">
      <c r="A3" s="16"/>
    </row>
    <row r="4" ht="15.75" customHeight="1">
      <c r="A4" s="16"/>
      <c r="B4" s="3" t="s">
        <v>1</v>
      </c>
      <c r="C4" s="3" t="str">
        <f>'Diseño'!C4</f>
        <v>975 - Redes de Computadoras 2</v>
      </c>
    </row>
    <row r="5" ht="15.75" customHeight="1">
      <c r="A5" s="16"/>
      <c r="B5" s="16" t="s">
        <v>3</v>
      </c>
      <c r="C5" s="5" t="s">
        <v>4</v>
      </c>
    </row>
    <row r="6" ht="15.75" customHeight="1">
      <c r="A6" s="16"/>
      <c r="B6" s="16" t="s">
        <v>317</v>
      </c>
      <c r="H6" s="72"/>
    </row>
    <row r="7" ht="15.75" customHeight="1">
      <c r="A7" s="16"/>
    </row>
    <row r="8" ht="15.75" customHeight="1">
      <c r="A8" s="16"/>
    </row>
    <row r="9" ht="15.75" customHeight="1">
      <c r="A9" s="35" t="s">
        <v>318</v>
      </c>
      <c r="B9" s="73">
        <v>9.0</v>
      </c>
      <c r="D9" s="35" t="s">
        <v>266</v>
      </c>
      <c r="E9" s="73">
        <v>2.0</v>
      </c>
      <c r="F9" s="74"/>
      <c r="G9" s="74"/>
      <c r="H9" s="74"/>
      <c r="I9" s="74"/>
      <c r="J9" s="74"/>
      <c r="K9" s="74"/>
      <c r="L9" s="74"/>
      <c r="M9" s="74"/>
      <c r="N9" s="74"/>
      <c r="O9" s="74"/>
      <c r="P9" s="74"/>
      <c r="Q9" s="74"/>
      <c r="R9" s="74"/>
      <c r="S9" s="74"/>
      <c r="T9" s="74"/>
      <c r="U9" s="74"/>
      <c r="V9" s="74"/>
      <c r="W9" s="74"/>
      <c r="X9" s="74"/>
      <c r="Y9" s="74"/>
      <c r="Z9" s="74"/>
    </row>
    <row r="10" ht="43.5" customHeight="1">
      <c r="A10" s="75" t="s">
        <v>319</v>
      </c>
      <c r="D10" s="75" t="s">
        <v>320</v>
      </c>
    </row>
    <row r="11" ht="15.75" customHeight="1">
      <c r="A11" s="76"/>
      <c r="B11" s="77"/>
      <c r="C11" s="77"/>
      <c r="D11" s="77"/>
    </row>
    <row r="12" ht="15.75" customHeight="1">
      <c r="A12" s="78" t="s">
        <v>214</v>
      </c>
      <c r="B12" s="79" t="s">
        <v>321</v>
      </c>
      <c r="C12" s="79" t="s">
        <v>322</v>
      </c>
      <c r="D12" s="79" t="s">
        <v>323</v>
      </c>
    </row>
    <row r="13" ht="55.5" customHeight="1">
      <c r="A13" s="40" t="s">
        <v>324</v>
      </c>
      <c r="B13" s="80">
        <v>30.0</v>
      </c>
      <c r="C13" s="21"/>
      <c r="D13" s="81" t="s">
        <v>325</v>
      </c>
      <c r="E13" s="75" t="s">
        <v>326</v>
      </c>
    </row>
    <row r="14" ht="15.75" customHeight="1">
      <c r="A14" s="40" t="s">
        <v>266</v>
      </c>
      <c r="B14" s="21">
        <f>Proyectos!C6</f>
        <v>40</v>
      </c>
      <c r="C14" s="21">
        <f>Proyectos!C5</f>
        <v>50</v>
      </c>
      <c r="D14" s="21"/>
    </row>
    <row r="15" ht="15.75" customHeight="1">
      <c r="A15" s="40" t="s">
        <v>281</v>
      </c>
      <c r="B15" s="21">
        <f>Practicas!C6</f>
        <v>20</v>
      </c>
      <c r="C15" s="21">
        <f>Practicas!C5</f>
        <v>30</v>
      </c>
      <c r="D15" s="21"/>
    </row>
    <row r="16" ht="15.75" customHeight="1">
      <c r="A16" s="40" t="s">
        <v>296</v>
      </c>
      <c r="B16" s="21">
        <f>Tareas!C6</f>
        <v>10</v>
      </c>
      <c r="C16" s="21">
        <f>Tareas!C5</f>
        <v>8</v>
      </c>
      <c r="D16" s="21"/>
    </row>
    <row r="17" ht="15.75" customHeight="1">
      <c r="A17" s="82" t="s">
        <v>327</v>
      </c>
      <c r="B17" s="83">
        <f t="shared" ref="B17:C17" si="1">SUM(B13:B16)</f>
        <v>100</v>
      </c>
      <c r="C17" s="83">
        <f t="shared" si="1"/>
        <v>88</v>
      </c>
      <c r="D17" s="83"/>
    </row>
    <row r="18" ht="15.75" customHeight="1">
      <c r="A18" s="16"/>
    </row>
    <row r="19" ht="15.75" customHeight="1">
      <c r="A19" s="16"/>
    </row>
    <row r="20" ht="15.75" customHeight="1">
      <c r="A20" s="16"/>
    </row>
    <row r="21" ht="15.75" customHeight="1">
      <c r="A21" s="16"/>
    </row>
    <row r="22" ht="15.75" customHeight="1">
      <c r="A22" s="16"/>
    </row>
    <row r="23" ht="15.75" customHeight="1">
      <c r="A23" s="16"/>
    </row>
    <row r="24" ht="15.75" customHeight="1">
      <c r="A24" s="16"/>
    </row>
    <row r="25" ht="15.75" customHeight="1">
      <c r="A25" s="16"/>
    </row>
    <row r="26" ht="15.75" customHeight="1">
      <c r="A26" s="16"/>
    </row>
    <row r="27" ht="15.75" customHeight="1">
      <c r="A27" s="16"/>
    </row>
    <row r="28" ht="15.75" customHeight="1">
      <c r="A28" s="16"/>
    </row>
    <row r="29" ht="15.75" customHeight="1">
      <c r="A29" s="16"/>
    </row>
    <row r="30" ht="15.75" customHeight="1">
      <c r="A30" s="16"/>
    </row>
    <row r="31" ht="15.75" customHeight="1">
      <c r="A31" s="16"/>
    </row>
    <row r="32" ht="15.75" customHeight="1">
      <c r="A32" s="16"/>
    </row>
    <row r="33" ht="15.75" customHeight="1">
      <c r="A33" s="16"/>
    </row>
    <row r="34" ht="15.75" customHeight="1">
      <c r="A34" s="16"/>
    </row>
    <row r="35" ht="15.75" customHeight="1">
      <c r="A35" s="16"/>
    </row>
    <row r="36" ht="15.75" customHeight="1">
      <c r="A36" s="16"/>
    </row>
    <row r="37" ht="15.75" customHeight="1">
      <c r="A37" s="16"/>
    </row>
    <row r="38" ht="15.75" customHeight="1">
      <c r="A38" s="16"/>
    </row>
    <row r="39" ht="15.75" customHeight="1">
      <c r="A39" s="16"/>
    </row>
    <row r="40" ht="15.75" customHeight="1">
      <c r="A40" s="16"/>
    </row>
    <row r="41" ht="15.75" customHeight="1">
      <c r="A41" s="16"/>
    </row>
    <row r="42" ht="15.75" customHeight="1">
      <c r="A42" s="16"/>
    </row>
    <row r="43" ht="15.75" customHeight="1">
      <c r="A43" s="16"/>
    </row>
    <row r="44" ht="15.75" customHeight="1">
      <c r="A44" s="16"/>
    </row>
    <row r="45" ht="15.75" customHeight="1">
      <c r="A45" s="16"/>
    </row>
    <row r="46" ht="15.75" customHeight="1">
      <c r="A46" s="16"/>
    </row>
    <row r="47" ht="15.75" customHeight="1">
      <c r="A47" s="16"/>
    </row>
    <row r="48" ht="15.75" customHeight="1">
      <c r="A48" s="16"/>
    </row>
    <row r="49" ht="15.75" customHeight="1">
      <c r="A49" s="16"/>
    </row>
    <row r="50" ht="15.75" customHeight="1">
      <c r="A50" s="16"/>
    </row>
    <row r="51" ht="15.75" customHeight="1">
      <c r="A51" s="16"/>
    </row>
    <row r="52" ht="15.75" customHeight="1">
      <c r="A52" s="16"/>
    </row>
    <row r="53" ht="15.75" customHeight="1">
      <c r="A53" s="16"/>
    </row>
    <row r="54" ht="15.75" customHeight="1">
      <c r="A54" s="16"/>
    </row>
    <row r="55" ht="15.75" customHeight="1">
      <c r="A55" s="16"/>
    </row>
    <row r="56" ht="15.75" customHeight="1">
      <c r="A56" s="16"/>
    </row>
    <row r="57" ht="15.75" customHeight="1">
      <c r="A57" s="16"/>
    </row>
    <row r="58" ht="15.75" customHeight="1">
      <c r="A58" s="16"/>
    </row>
    <row r="59" ht="15.75" customHeight="1">
      <c r="A59" s="16"/>
    </row>
    <row r="60" ht="15.75" customHeight="1">
      <c r="A60" s="16"/>
    </row>
    <row r="61" ht="15.75" customHeight="1">
      <c r="A61" s="16"/>
    </row>
    <row r="62" ht="15.75" customHeight="1">
      <c r="A62" s="16"/>
    </row>
    <row r="63" ht="15.75" customHeight="1">
      <c r="A63" s="16"/>
    </row>
    <row r="64" ht="15.75" customHeight="1">
      <c r="A64" s="16"/>
    </row>
    <row r="65" ht="15.75" customHeight="1">
      <c r="A65" s="16"/>
    </row>
    <row r="66" ht="15.75" customHeight="1">
      <c r="A66" s="16"/>
    </row>
    <row r="67" ht="15.75" customHeight="1">
      <c r="A67" s="16"/>
    </row>
    <row r="68" ht="15.75" customHeight="1">
      <c r="A68" s="16"/>
    </row>
    <row r="69" ht="15.75" customHeight="1">
      <c r="A69" s="16"/>
    </row>
    <row r="70" ht="15.75" customHeight="1">
      <c r="A70" s="16"/>
    </row>
    <row r="71" ht="15.75" customHeight="1">
      <c r="A71" s="16"/>
    </row>
    <row r="72" ht="15.75" customHeight="1">
      <c r="A72" s="16"/>
    </row>
    <row r="73" ht="15.75" customHeight="1">
      <c r="A73" s="16"/>
    </row>
    <row r="74" ht="15.75" customHeight="1">
      <c r="A74" s="16"/>
    </row>
    <row r="75" ht="15.75" customHeight="1">
      <c r="A75" s="16"/>
    </row>
    <row r="76" ht="15.75" customHeight="1">
      <c r="A76" s="16"/>
    </row>
    <row r="77" ht="15.75" customHeight="1">
      <c r="A77" s="16"/>
    </row>
    <row r="78" ht="15.75" customHeight="1">
      <c r="A78" s="16"/>
    </row>
    <row r="79" ht="15.75" customHeight="1">
      <c r="A79" s="16"/>
    </row>
    <row r="80" ht="15.75" customHeight="1">
      <c r="A80" s="16"/>
    </row>
    <row r="81" ht="15.75" customHeight="1">
      <c r="A81" s="16"/>
    </row>
    <row r="82" ht="15.75" customHeight="1">
      <c r="A82" s="16"/>
    </row>
    <row r="83" ht="15.75" customHeight="1">
      <c r="A83" s="16"/>
    </row>
    <row r="84" ht="15.75" customHeight="1">
      <c r="A84" s="16"/>
    </row>
    <row r="85" ht="15.75" customHeight="1">
      <c r="A85" s="16"/>
    </row>
    <row r="86" ht="15.75" customHeight="1">
      <c r="A86" s="16"/>
    </row>
    <row r="87" ht="15.75" customHeight="1">
      <c r="A87" s="16"/>
    </row>
    <row r="88" ht="15.75" customHeight="1">
      <c r="A88" s="16"/>
    </row>
    <row r="89" ht="15.75" customHeight="1">
      <c r="A89" s="16"/>
    </row>
    <row r="90" ht="15.75" customHeight="1">
      <c r="A90" s="16"/>
    </row>
    <row r="91" ht="15.75" customHeight="1">
      <c r="A91" s="16"/>
    </row>
    <row r="92" ht="15.75" customHeight="1">
      <c r="A92" s="16"/>
    </row>
    <row r="93" ht="15.75" customHeight="1">
      <c r="A93" s="16"/>
    </row>
    <row r="94" ht="15.75" customHeight="1">
      <c r="A94" s="16"/>
    </row>
    <row r="95" ht="15.75" customHeight="1">
      <c r="A95" s="16"/>
    </row>
    <row r="96" ht="15.75" customHeight="1">
      <c r="A96" s="16"/>
    </row>
    <row r="97" ht="15.75" customHeight="1">
      <c r="A97" s="16"/>
    </row>
    <row r="98" ht="15.75" customHeight="1">
      <c r="A98" s="16"/>
    </row>
    <row r="99" ht="15.75" customHeight="1">
      <c r="A99" s="16"/>
    </row>
    <row r="100" ht="15.75" customHeight="1">
      <c r="A100" s="16"/>
    </row>
    <row r="101" ht="15.75" customHeight="1">
      <c r="A101" s="16"/>
    </row>
    <row r="102" ht="15.75" customHeight="1">
      <c r="A102" s="16"/>
    </row>
    <row r="103" ht="15.75" customHeight="1">
      <c r="A103" s="16"/>
    </row>
    <row r="104" ht="15.75" customHeight="1">
      <c r="A104" s="16"/>
    </row>
    <row r="105" ht="15.75" customHeight="1">
      <c r="A105" s="16"/>
    </row>
    <row r="106" ht="15.75" customHeight="1">
      <c r="A106" s="16"/>
    </row>
    <row r="107" ht="15.75" customHeight="1">
      <c r="A107" s="16"/>
    </row>
    <row r="108" ht="15.75" customHeight="1">
      <c r="A108" s="16"/>
    </row>
    <row r="109" ht="15.75" customHeight="1">
      <c r="A109" s="16"/>
    </row>
    <row r="110" ht="15.75" customHeight="1">
      <c r="A110" s="16"/>
    </row>
    <row r="111" ht="15.75" customHeight="1">
      <c r="A111" s="16"/>
    </row>
    <row r="112" ht="15.75" customHeight="1">
      <c r="A112" s="16"/>
    </row>
    <row r="113" ht="15.75" customHeight="1">
      <c r="A113" s="16"/>
    </row>
    <row r="114" ht="15.75" customHeight="1">
      <c r="A114" s="16"/>
    </row>
    <row r="115" ht="15.75" customHeight="1">
      <c r="A115" s="16"/>
    </row>
    <row r="116" ht="15.75" customHeight="1">
      <c r="A116" s="16"/>
    </row>
    <row r="117" ht="15.75" customHeight="1">
      <c r="A117" s="16"/>
    </row>
    <row r="118" ht="15.75" customHeight="1">
      <c r="A118" s="16"/>
    </row>
    <row r="119" ht="15.75" customHeight="1">
      <c r="A119" s="16"/>
    </row>
    <row r="120" ht="15.75" customHeight="1">
      <c r="A120" s="16"/>
    </row>
    <row r="121" ht="15.75" customHeight="1">
      <c r="A121" s="16"/>
    </row>
    <row r="122" ht="15.75" customHeight="1">
      <c r="A122" s="16"/>
    </row>
    <row r="123" ht="15.75" customHeight="1">
      <c r="A123" s="16"/>
    </row>
    <row r="124" ht="15.75" customHeight="1">
      <c r="A124" s="16"/>
    </row>
    <row r="125" ht="15.75" customHeight="1">
      <c r="A125" s="16"/>
    </row>
    <row r="126" ht="15.75" customHeight="1">
      <c r="A126" s="16"/>
    </row>
    <row r="127" ht="15.75" customHeight="1">
      <c r="A127" s="16"/>
    </row>
    <row r="128" ht="15.75" customHeight="1">
      <c r="A128" s="16"/>
    </row>
    <row r="129" ht="15.75" customHeight="1">
      <c r="A129" s="16"/>
    </row>
    <row r="130" ht="15.75" customHeight="1">
      <c r="A130" s="16"/>
    </row>
    <row r="131" ht="15.75" customHeight="1">
      <c r="A131" s="16"/>
    </row>
    <row r="132" ht="15.75" customHeight="1">
      <c r="A132" s="16"/>
    </row>
    <row r="133" ht="15.75" customHeight="1">
      <c r="A133" s="16"/>
    </row>
    <row r="134" ht="15.75" customHeight="1">
      <c r="A134" s="16"/>
    </row>
    <row r="135" ht="15.75" customHeight="1">
      <c r="A135" s="16"/>
    </row>
    <row r="136" ht="15.75" customHeight="1">
      <c r="A136" s="16"/>
    </row>
    <row r="137" ht="15.75" customHeight="1">
      <c r="A137" s="16"/>
    </row>
    <row r="138" ht="15.75" customHeight="1">
      <c r="A138" s="16"/>
    </row>
    <row r="139" ht="15.75" customHeight="1">
      <c r="A139" s="16"/>
    </row>
    <row r="140" ht="15.75" customHeight="1">
      <c r="A140" s="16"/>
    </row>
    <row r="141" ht="15.75" customHeight="1">
      <c r="A141" s="16"/>
    </row>
    <row r="142" ht="15.75" customHeight="1">
      <c r="A142" s="16"/>
    </row>
    <row r="143" ht="15.75" customHeight="1">
      <c r="A143" s="16"/>
    </row>
    <row r="144" ht="15.75" customHeight="1">
      <c r="A144" s="16"/>
    </row>
    <row r="145" ht="15.75" customHeight="1">
      <c r="A145" s="16"/>
    </row>
    <row r="146" ht="15.75" customHeight="1">
      <c r="A146" s="16"/>
    </row>
    <row r="147" ht="15.75" customHeight="1">
      <c r="A147" s="16"/>
    </row>
    <row r="148" ht="15.75" customHeight="1">
      <c r="A148" s="16"/>
    </row>
    <row r="149" ht="15.75" customHeight="1">
      <c r="A149" s="16"/>
    </row>
    <row r="150" ht="15.75" customHeight="1">
      <c r="A150" s="16"/>
    </row>
    <row r="151" ht="15.75" customHeight="1">
      <c r="A151" s="16"/>
    </row>
    <row r="152" ht="15.75" customHeight="1">
      <c r="A152" s="16"/>
    </row>
    <row r="153" ht="15.75" customHeight="1">
      <c r="A153" s="16"/>
    </row>
    <row r="154" ht="15.75" customHeight="1">
      <c r="A154" s="16"/>
    </row>
    <row r="155" ht="15.75" customHeight="1">
      <c r="A155" s="16"/>
    </row>
    <row r="156" ht="15.75" customHeight="1">
      <c r="A156" s="16"/>
    </row>
    <row r="157" ht="15.75" customHeight="1">
      <c r="A157" s="16"/>
    </row>
    <row r="158" ht="15.75" customHeight="1">
      <c r="A158" s="16"/>
    </row>
    <row r="159" ht="15.75" customHeight="1">
      <c r="A159" s="16"/>
    </row>
    <row r="160" ht="15.75" customHeight="1">
      <c r="A160" s="16"/>
    </row>
    <row r="161" ht="15.75" customHeight="1">
      <c r="A161" s="16"/>
    </row>
    <row r="162" ht="15.75" customHeight="1">
      <c r="A162" s="16"/>
    </row>
    <row r="163" ht="15.75" customHeight="1">
      <c r="A163" s="16"/>
    </row>
    <row r="164" ht="15.75" customHeight="1">
      <c r="A164" s="16"/>
    </row>
    <row r="165" ht="15.75" customHeight="1">
      <c r="A165" s="16"/>
    </row>
    <row r="166" ht="15.75" customHeight="1">
      <c r="A166" s="16"/>
    </row>
    <row r="167" ht="15.75" customHeight="1">
      <c r="A167" s="16"/>
    </row>
    <row r="168" ht="15.75" customHeight="1">
      <c r="A168" s="16"/>
    </row>
    <row r="169" ht="15.75" customHeight="1">
      <c r="A169" s="16"/>
    </row>
    <row r="170" ht="15.75" customHeight="1">
      <c r="A170" s="16"/>
    </row>
    <row r="171" ht="15.75" customHeight="1">
      <c r="A171" s="16"/>
    </row>
    <row r="172" ht="15.75" customHeight="1">
      <c r="A172" s="16"/>
    </row>
    <row r="173" ht="15.75" customHeight="1">
      <c r="A173" s="16"/>
    </row>
    <row r="174" ht="15.75" customHeight="1">
      <c r="A174" s="16"/>
    </row>
    <row r="175" ht="15.75" customHeight="1">
      <c r="A175" s="16"/>
    </row>
    <row r="176" ht="15.75" customHeight="1">
      <c r="A176" s="16"/>
    </row>
    <row r="177" ht="15.75" customHeight="1">
      <c r="A177" s="16"/>
    </row>
    <row r="178" ht="15.75" customHeight="1">
      <c r="A178" s="16"/>
    </row>
    <row r="179" ht="15.75" customHeight="1">
      <c r="A179" s="16"/>
    </row>
    <row r="180" ht="15.75" customHeight="1">
      <c r="A180" s="16"/>
    </row>
    <row r="181" ht="15.75" customHeight="1">
      <c r="A181" s="16"/>
    </row>
    <row r="182" ht="15.75" customHeight="1">
      <c r="A182" s="16"/>
    </row>
    <row r="183" ht="15.75" customHeight="1">
      <c r="A183" s="16"/>
    </row>
    <row r="184" ht="15.75" customHeight="1">
      <c r="A184" s="16"/>
    </row>
    <row r="185" ht="15.75" customHeight="1">
      <c r="A185" s="16"/>
    </row>
    <row r="186" ht="15.75" customHeight="1">
      <c r="A186" s="16"/>
    </row>
    <row r="187" ht="15.75" customHeight="1">
      <c r="A187" s="16"/>
    </row>
    <row r="188" ht="15.75" customHeight="1">
      <c r="A188" s="16"/>
    </row>
    <row r="189" ht="15.75" customHeight="1">
      <c r="A189" s="16"/>
    </row>
    <row r="190" ht="15.75" customHeight="1">
      <c r="A190" s="16"/>
    </row>
    <row r="191" ht="15.75" customHeight="1">
      <c r="A191" s="16"/>
    </row>
    <row r="192" ht="15.75" customHeight="1">
      <c r="A192" s="16"/>
    </row>
    <row r="193" ht="15.75" customHeight="1">
      <c r="A193" s="16"/>
    </row>
    <row r="194" ht="15.75" customHeight="1">
      <c r="A194" s="16"/>
    </row>
    <row r="195" ht="15.75" customHeight="1">
      <c r="A195" s="16"/>
    </row>
    <row r="196" ht="15.75" customHeight="1">
      <c r="A196" s="16"/>
    </row>
    <row r="197" ht="15.75" customHeight="1">
      <c r="A197" s="16"/>
    </row>
    <row r="198" ht="15.75" customHeight="1">
      <c r="A198" s="16"/>
    </row>
    <row r="199" ht="15.75" customHeight="1">
      <c r="A199" s="16"/>
    </row>
    <row r="200" ht="15.75" customHeight="1">
      <c r="A200" s="16"/>
    </row>
    <row r="201" ht="15.75" customHeight="1">
      <c r="A201" s="16"/>
    </row>
    <row r="202" ht="15.75" customHeight="1">
      <c r="A202" s="16"/>
    </row>
    <row r="203" ht="15.75" customHeight="1">
      <c r="A203" s="16"/>
    </row>
    <row r="204" ht="15.75" customHeight="1">
      <c r="A204" s="16"/>
    </row>
    <row r="205" ht="15.75" customHeight="1">
      <c r="A205" s="16"/>
    </row>
    <row r="206" ht="15.75" customHeight="1">
      <c r="A206" s="16"/>
    </row>
    <row r="207" ht="15.75" customHeight="1">
      <c r="A207" s="16"/>
    </row>
    <row r="208" ht="15.75" customHeight="1">
      <c r="A208" s="16"/>
    </row>
    <row r="209" ht="15.75" customHeight="1">
      <c r="A209" s="16"/>
    </row>
    <row r="210" ht="15.75" customHeight="1">
      <c r="A210" s="16"/>
    </row>
    <row r="211" ht="15.75" customHeight="1">
      <c r="A211" s="16"/>
    </row>
    <row r="212" ht="15.75" customHeight="1">
      <c r="A212" s="16"/>
    </row>
    <row r="213" ht="15.75" customHeight="1">
      <c r="A213" s="16"/>
    </row>
    <row r="214" ht="15.75" customHeight="1">
      <c r="A214" s="16"/>
    </row>
    <row r="215" ht="15.75" customHeight="1">
      <c r="A215" s="16"/>
    </row>
    <row r="216" ht="15.75" customHeight="1">
      <c r="A216" s="16"/>
    </row>
    <row r="217" ht="15.75" customHeight="1">
      <c r="A217" s="16"/>
    </row>
    <row r="218" ht="15.75" customHeight="1">
      <c r="A218" s="16"/>
    </row>
    <row r="219" ht="15.75" customHeight="1">
      <c r="A219" s="16"/>
    </row>
    <row r="220" ht="15.75" customHeight="1">
      <c r="A220" s="1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4:H4"/>
    <mergeCell ref="C5:H5"/>
    <mergeCell ref="A10:B10"/>
    <mergeCell ref="D10:E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5" t="str">
        <f>IFERROR(__xludf.DUMMYFUNCTION("IMPORTRANGE(""1j2lHEvOoZ_EPY086Qt7f7AFaZGVfiYKJxXlsnNfWCA0"",""Listado Cursos!H:L"")"),"Codigo-Nombre")</f>
        <v>Codigo-Nombre</v>
      </c>
      <c r="B1" s="5" t="str">
        <f>IFERROR(__xludf.DUMMYFUNCTION("""COMPUTED_VALUE"""),"Diseño Curricular V01")</f>
        <v>Diseño Curricular V01</v>
      </c>
      <c r="C1" s="5" t="str">
        <f>IFERROR(__xludf.DUMMYFUNCTION("""COMPUTED_VALUE"""),"Analisis de Contexto V01")</f>
        <v>Analisis de Contexto V01</v>
      </c>
      <c r="D1" s="5" t="str">
        <f>IFERROR(__xludf.DUMMYFUNCTION("""COMPUTED_VALUE"""),"2_Analisis_Internacional_y_Local")</f>
        <v>2_Analisis_Internacional_y_Local</v>
      </c>
      <c r="E1" s="5" t="str">
        <f>IFERROR(__xludf.DUMMYFUNCTION("""COMPUTED_VALUE"""),"3_Diseño_Curricular")</f>
        <v>3_Diseño_Curricular</v>
      </c>
      <c r="H1" s="5">
        <f>IFERROR(__xludf.DUMMYFUNCTION("IMPORTRANGE(VLOOKUP('Diseño'!C4,A:E,4,FALSE), ""Competencias_1re_Sem_2026!B10:J23"")"),1.0)</f>
        <v>1</v>
      </c>
      <c r="I1" s="5" t="str">
        <f>IFERROR(__xludf.DUMMYFUNCTION("""COMPUTED_VALUE"""),"General")</f>
        <v>General</v>
      </c>
      <c r="J1" s="5" t="str">
        <f>IFERROR(__xludf.DUMMYFUNCTION("""COMPUTED_VALUE"""),"El estudiante diseña e implementa")</f>
        <v>El estudiante diseña e implementa</v>
      </c>
      <c r="K1" s="5" t="str">
        <f>IFERROR(__xludf.DUMMYFUNCTION("""COMPUTED_VALUE"""),"redes de computadoras")</f>
        <v>redes de computadoras</v>
      </c>
      <c r="L1" s="5"/>
      <c r="M1" s="5" t="str">
        <f>IFERROR(__xludf.DUMMYFUNCTION("""COMPUTED_VALUE"""),"aplicando principios de enrutamiento, segmentación de redes, redundancia y gestión de servicios de red")</f>
        <v>aplicando principios de enrutamiento, segmentación de redes, redundancia y gestión de servicios de red</v>
      </c>
      <c r="N1" s="5" t="str">
        <f>IFERROR(__xludf.DUMMYFUNCTION("""COMPUTED_VALUE"""),"para garantizar la disponibilidad, eficiencia y seguridad de los servicios de red en entornos empresariales")</f>
        <v>para garantizar la disponibilidad, eficiencia y seguridad de los servicios de red en entornos empresariales</v>
      </c>
      <c r="O1" s="5"/>
      <c r="P1" s="5" t="str">
        <f>IFERROR(__xludf.DUMMYFUNCTION("""COMPUTED_VALUE"""),"Crear")</f>
        <v>Crear</v>
      </c>
    </row>
    <row r="2" ht="15.75" customHeight="1">
      <c r="A2" s="5" t="str">
        <f>IFERROR(__xludf.DUMMYFUNCTION("""COMPUTED_VALUE"""),"17 - Área Social Humanística 1")</f>
        <v>17 - Área Social Humanística 1</v>
      </c>
      <c r="B2" s="5"/>
      <c r="C2" s="5"/>
      <c r="D2" s="5"/>
      <c r="E2" s="5"/>
      <c r="H2" s="5"/>
      <c r="I2" s="5" t="str">
        <f>IFERROR(__xludf.DUMMYFUNCTION("""COMPUTED_VALUE"""),"El estudiante diseña e implementa redes de computadoras aplicando principios de enrutamiento, segmentación de redes, redundancia y gestión de servicios de red para garantizar la disponibilidad, eficiencia y seguridad de los servicios de red en entornos em"&amp;"presariales ")</f>
        <v>El estudiante diseña e implementa redes de computadoras aplicando principios de enrutamiento, segmentación de redes, redundancia y gestión de servicios de red para garantizar la disponibilidad, eficiencia y seguridad de los servicios de red en entornos empresariales </v>
      </c>
      <c r="J2" s="5"/>
      <c r="K2" s="5"/>
      <c r="L2" s="5"/>
      <c r="M2" s="5"/>
      <c r="N2" s="5"/>
      <c r="O2" s="5"/>
      <c r="P2" s="5"/>
    </row>
    <row r="3" ht="15.75" customHeight="1">
      <c r="A3" s="5" t="str">
        <f>IFERROR(__xludf.DUMMYFUNCTION("""COMPUTED_VALUE"""),"101 - Área Matemática Básica 1")</f>
        <v>101 - Área Matemática Básica 1</v>
      </c>
      <c r="B3" s="5"/>
      <c r="C3" s="5"/>
      <c r="D3" s="5"/>
      <c r="E3" s="5"/>
      <c r="H3" s="5">
        <f>IFERROR(__xludf.DUMMYFUNCTION("""COMPUTED_VALUE"""),2.0)</f>
        <v>2</v>
      </c>
      <c r="I3" s="5" t="str">
        <f>IFERROR(__xludf.DUMMYFUNCTION("""COMPUTED_VALUE"""),"Especifica")</f>
        <v>Especifica</v>
      </c>
      <c r="J3" s="5" t="str">
        <f>IFERROR(__xludf.DUMMYFUNCTION("""COMPUTED_VALUE"""),"El estudiante identifica")</f>
        <v>El estudiante identifica</v>
      </c>
      <c r="K3" s="5" t="str">
        <f>IFERROR(__xludf.DUMMYFUNCTION("""COMPUTED_VALUE"""),"los principios de funcionamiento de los protocolos de enrutamiento dinámico")</f>
        <v>los principios de funcionamiento de los protocolos de enrutamiento dinámico</v>
      </c>
      <c r="L3" s="5"/>
      <c r="M3" s="5" t="str">
        <f>IFERROR(__xludf.DUMMYFUNCTION("""COMPUTED_VALUE"""),"mediante la comparación de sus caracteristicas, ventajas y desventajas")</f>
        <v>mediante la comparación de sus caracteristicas, ventajas y desventajas</v>
      </c>
      <c r="N3" s="5" t="str">
        <f>IFERROR(__xludf.DUMMYFUNCTION("""COMPUTED_VALUE"""),"para utilizarlos en la implementación de redes de forma eficiente y segura")</f>
        <v>para utilizarlos en la implementación de redes de forma eficiente y segura</v>
      </c>
      <c r="O3" s="5"/>
      <c r="P3" s="5" t="str">
        <f>IFERROR(__xludf.DUMMYFUNCTION("""COMPUTED_VALUE"""),"Analizar")</f>
        <v>Analizar</v>
      </c>
    </row>
    <row r="4" ht="15.75" customHeight="1">
      <c r="A4" s="5" t="str">
        <f>IFERROR(__xludf.DUMMYFUNCTION("""COMPUTED_VALUE"""),"5 - Técnicas de Estudio e Investigación")</f>
        <v>5 - Técnicas de Estudio e Investigación</v>
      </c>
      <c r="B4" s="5"/>
      <c r="C4" s="5"/>
      <c r="D4" s="5"/>
      <c r="E4" s="5"/>
      <c r="H4" s="5"/>
      <c r="I4" s="5" t="str">
        <f>IFERROR(__xludf.DUMMYFUNCTION("""COMPUTED_VALUE"""),"El estudiante identifica los principios de funcionamiento de los protocolos de enrutamiento dinámico mediante la comparación de sus caracteristicas, ventajas y desventajas para utilizarlos en la implementación de redes de forma eficiente y segura ")</f>
        <v>El estudiante identifica los principios de funcionamiento de los protocolos de enrutamiento dinámico mediante la comparación de sus caracteristicas, ventajas y desventajas para utilizarlos en la implementación de redes de forma eficiente y segura </v>
      </c>
      <c r="J4" s="5"/>
      <c r="K4" s="5"/>
      <c r="L4" s="5"/>
      <c r="M4" s="5"/>
      <c r="N4" s="5"/>
      <c r="O4" s="5"/>
      <c r="P4" s="5"/>
    </row>
    <row r="5" ht="15.75" customHeight="1">
      <c r="A5" s="5" t="str">
        <f>IFERROR(__xludf.DUMMYFUNCTION("""COMPUTED_VALUE"""),"39 - Deportes 1")</f>
        <v>39 - Deportes 1</v>
      </c>
      <c r="B5" s="5"/>
      <c r="C5" s="5"/>
      <c r="D5" s="5"/>
      <c r="E5" s="5"/>
      <c r="H5" s="5">
        <f>IFERROR(__xludf.DUMMYFUNCTION("""COMPUTED_VALUE"""),3.0)</f>
        <v>3</v>
      </c>
      <c r="I5" s="5" t="str">
        <f>IFERROR(__xludf.DUMMYFUNCTION("""COMPUTED_VALUE"""),"Especifica")</f>
        <v>Especifica</v>
      </c>
      <c r="J5" s="5" t="str">
        <f>IFERROR(__xludf.DUMMYFUNCTION("""COMPUTED_VALUE"""),"El estudiante implementa")</f>
        <v>El estudiante implementa</v>
      </c>
      <c r="K5" s="5" t="str">
        <f>IFERROR(__xludf.DUMMYFUNCTION("""COMPUTED_VALUE"""),"protocolos de redundancia de gateway")</f>
        <v>protocolos de redundancia de gateway</v>
      </c>
      <c r="L5" s="5"/>
      <c r="M5" s="5" t="str">
        <f>IFERROR(__xludf.DUMMYFUNCTION("""COMPUTED_VALUE"""),"mediante HSRP o VRRP")</f>
        <v>mediante HSRP o VRRP</v>
      </c>
      <c r="N5" s="5" t="str">
        <f>IFERROR(__xludf.DUMMYFUNCTION("""COMPUTED_VALUE"""),"para garantizar la alta disponibilidad en la conexión de redes locales.")</f>
        <v>para garantizar la alta disponibilidad en la conexión de redes locales.</v>
      </c>
      <c r="O5" s="5"/>
      <c r="P5" s="5" t="str">
        <f>IFERROR(__xludf.DUMMYFUNCTION("""COMPUTED_VALUE"""),"Aplicar")</f>
        <v>Aplicar</v>
      </c>
    </row>
    <row r="6" ht="15.75" customHeight="1">
      <c r="A6" s="5" t="str">
        <f>IFERROR(__xludf.DUMMYFUNCTION("""COMPUTED_VALUE"""),"6 - Idioma Tecnico 1")</f>
        <v>6 - Idioma Tecnico 1</v>
      </c>
      <c r="B6" s="5"/>
      <c r="C6" s="5"/>
      <c r="D6" s="5"/>
      <c r="E6" s="5"/>
      <c r="H6" s="5"/>
      <c r="I6" s="5" t="str">
        <f>IFERROR(__xludf.DUMMYFUNCTION("""COMPUTED_VALUE"""),"El estudiante implementa protocolos de redundancia de gateway mediante HSRP o VRRP para garantizar la alta disponibilidad en la conexión de redes locales. ")</f>
        <v>El estudiante implementa protocolos de redundancia de gateway mediante HSRP o VRRP para garantizar la alta disponibilidad en la conexión de redes locales. </v>
      </c>
      <c r="J6" s="5"/>
      <c r="K6" s="5"/>
      <c r="L6" s="5"/>
      <c r="M6" s="5"/>
      <c r="N6" s="5"/>
      <c r="O6" s="5"/>
      <c r="P6" s="5"/>
    </row>
    <row r="7" ht="15.75" customHeight="1">
      <c r="A7" s="5" t="str">
        <f>IFERROR(__xludf.DUMMYFUNCTION("""COMPUTED_VALUE"""),"19 - Área Social Humanística 2")</f>
        <v>19 - Área Social Humanística 2</v>
      </c>
      <c r="B7" s="5"/>
      <c r="C7" s="5"/>
      <c r="D7" s="5"/>
      <c r="E7" s="5"/>
      <c r="H7" s="5">
        <f>IFERROR(__xludf.DUMMYFUNCTION("""COMPUTED_VALUE"""),4.0)</f>
        <v>4</v>
      </c>
      <c r="I7" s="5" t="str">
        <f>IFERROR(__xludf.DUMMYFUNCTION("""COMPUTED_VALUE"""),"Especifica")</f>
        <v>Especifica</v>
      </c>
      <c r="J7" s="5" t="str">
        <f>IFERROR(__xludf.DUMMYFUNCTION("""COMPUTED_VALUE"""),"El estudiante diseña")</f>
        <v>El estudiante diseña</v>
      </c>
      <c r="K7" s="5" t="str">
        <f>IFERROR(__xludf.DUMMYFUNCTION("""COMPUTED_VALUE"""),"infraestructura de red inalámbrica")</f>
        <v>infraestructura de red inalámbrica</v>
      </c>
      <c r="L7" s="5"/>
      <c r="M7" s="5" t="str">
        <f>IFERROR(__xludf.DUMMYFUNCTION("""COMPUTED_VALUE""")," empleando puntos de acceso y estándares Wi-Fi")</f>
        <v> empleando puntos de acceso y estándares Wi-Fi</v>
      </c>
      <c r="N7" s="5" t="str">
        <f>IFERROR(__xludf.DUMMYFUNCTION("""COMPUTED_VALUE"""),"bajo condiciones de cobertura y seguridad adecuadas")</f>
        <v>bajo condiciones de cobertura y seguridad adecuadas</v>
      </c>
      <c r="O7" s="5"/>
      <c r="P7" s="5" t="str">
        <f>IFERROR(__xludf.DUMMYFUNCTION("""COMPUTED_VALUE"""),"Aplicar")</f>
        <v>Aplicar</v>
      </c>
    </row>
    <row r="8" ht="15.75" customHeight="1">
      <c r="A8" s="5" t="str">
        <f>IFERROR(__xludf.DUMMYFUNCTION("""COMPUTED_VALUE"""),"103 - Área Matemática Básica 2")</f>
        <v>103 - Área Matemática Básica 2</v>
      </c>
      <c r="B8" s="5"/>
      <c r="C8" s="5"/>
      <c r="D8" s="5"/>
      <c r="E8" s="5"/>
      <c r="H8" s="5"/>
      <c r="I8" s="5" t="str">
        <f>IFERROR(__xludf.DUMMYFUNCTION("""COMPUTED_VALUE"""),"El estudiante diseña infraestructura de red inalámbrica  empleando puntos de acceso y estándares Wi-Fi bajo condiciones de cobertura y seguridad adecuadas ")</f>
        <v>El estudiante diseña infraestructura de red inalámbrica  empleando puntos de acceso y estándares Wi-Fi bajo condiciones de cobertura y seguridad adecuadas </v>
      </c>
      <c r="J8" s="5"/>
      <c r="K8" s="5"/>
      <c r="L8" s="5"/>
      <c r="M8" s="5"/>
      <c r="N8" s="5"/>
      <c r="O8" s="5"/>
      <c r="P8" s="5"/>
    </row>
    <row r="9" ht="15.75" customHeight="1">
      <c r="A9" s="5" t="str">
        <f>IFERROR(__xludf.DUMMYFUNCTION("""COMPUTED_VALUE"""),"960 - Matemática Para Computación 1")</f>
        <v>960 - Matemática Para Computación 1</v>
      </c>
      <c r="B9" s="5"/>
      <c r="C9" s="5"/>
      <c r="D9" s="5"/>
      <c r="E9" s="5"/>
      <c r="H9" s="5">
        <f>IFERROR(__xludf.DUMMYFUNCTION("""COMPUTED_VALUE"""),5.0)</f>
        <v>5</v>
      </c>
      <c r="I9" s="5" t="str">
        <f>IFERROR(__xludf.DUMMYFUNCTION("""COMPUTED_VALUE"""),"Especifica")</f>
        <v>Especifica</v>
      </c>
      <c r="J9" s="5" t="str">
        <f>IFERROR(__xludf.DUMMYFUNCTION("""COMPUTED_VALUE"""),"El estudiante implementa")</f>
        <v>El estudiante implementa</v>
      </c>
      <c r="K9" s="5" t="str">
        <f>IFERROR(__xludf.DUMMYFUNCTION("""COMPUTED_VALUE"""),"el sistema de resolución de nombres")</f>
        <v>el sistema de resolución de nombres</v>
      </c>
      <c r="L9" s="5"/>
      <c r="M9" s="5" t="str">
        <f>IFERROR(__xludf.DUMMYFUNCTION("""COMPUTED_VALUE"""),"utilizando servidores DNS")</f>
        <v>utilizando servidores DNS</v>
      </c>
      <c r="N9" s="5" t="str">
        <f>IFERROR(__xludf.DUMMYFUNCTION("""COMPUTED_VALUE"""),"para asegurar la correcta traducción de nombres de dominio en redes locales")</f>
        <v>para asegurar la correcta traducción de nombres de dominio en redes locales</v>
      </c>
      <c r="O9" s="5"/>
      <c r="P9" s="5" t="str">
        <f>IFERROR(__xludf.DUMMYFUNCTION("""COMPUTED_VALUE"""),"Aplicar")</f>
        <v>Aplicar</v>
      </c>
    </row>
    <row r="10" ht="15.75" customHeight="1">
      <c r="A10" s="5" t="str">
        <f>IFERROR(__xludf.DUMMYFUNCTION("""COMPUTED_VALUE"""),"147 - Física Básica")</f>
        <v>147 - Física Básica</v>
      </c>
      <c r="B10" s="5"/>
      <c r="C10" s="5"/>
      <c r="D10" s="5"/>
      <c r="E10" s="5"/>
      <c r="H10" s="5"/>
      <c r="I10" s="5" t="str">
        <f>IFERROR(__xludf.DUMMYFUNCTION("""COMPUTED_VALUE"""),"El estudiante implementa el sistema de resolución de nombres utilizando servidores DNS para asegurar la correcta traducción de nombres de dominio en redes locales ")</f>
        <v>El estudiante implementa el sistema de resolución de nombres utilizando servidores DNS para asegurar la correcta traducción de nombres de dominio en redes locales </v>
      </c>
      <c r="J10" s="5"/>
      <c r="K10" s="5"/>
      <c r="L10" s="5"/>
      <c r="M10" s="5"/>
      <c r="N10" s="5"/>
      <c r="O10" s="5"/>
      <c r="P10" s="5"/>
    </row>
    <row r="11" ht="15.75" customHeight="1">
      <c r="A11" s="5" t="str">
        <f>IFERROR(__xludf.DUMMYFUNCTION("""COMPUTED_VALUE"""),"40 - Deportes 2")</f>
        <v>40 - Deportes 2</v>
      </c>
      <c r="B11" s="5"/>
      <c r="C11" s="5"/>
      <c r="D11" s="5"/>
      <c r="E11" s="5"/>
      <c r="H11" s="5">
        <f>IFERROR(__xludf.DUMMYFUNCTION("""COMPUTED_VALUE"""),6.0)</f>
        <v>6</v>
      </c>
      <c r="I11" s="5" t="str">
        <f>IFERROR(__xludf.DUMMYFUNCTION("""COMPUTED_VALUE"""),"Especifica")</f>
        <v>Especifica</v>
      </c>
      <c r="J11" s="5" t="str">
        <f>IFERROR(__xludf.DUMMYFUNCTION("""COMPUTED_VALUE"""),"El estudiante configura")</f>
        <v>El estudiante configura</v>
      </c>
      <c r="K11" s="5" t="str">
        <f>IFERROR(__xludf.DUMMYFUNCTION("""COMPUTED_VALUE"""),"la agregación de enlaces")</f>
        <v>la agregación de enlaces</v>
      </c>
      <c r="L11" s="5"/>
      <c r="M11" s="5" t="str">
        <f>IFERROR(__xludf.DUMMYFUNCTION("""COMPUTED_VALUE"""),"utilizando los protocolos LACP o PAgP")</f>
        <v>utilizando los protocolos LACP o PAgP</v>
      </c>
      <c r="N11" s="5" t="str">
        <f>IFERROR(__xludf.DUMMYFUNCTION("""COMPUTED_VALUE"""),"para mejorar el ancho de banda y la tolerancia a fallos en redes Ethernet.")</f>
        <v>para mejorar el ancho de banda y la tolerancia a fallos en redes Ethernet.</v>
      </c>
      <c r="O11" s="5"/>
      <c r="P11" s="5" t="str">
        <f>IFERROR(__xludf.DUMMYFUNCTION("""COMPUTED_VALUE"""),"Aplicar")</f>
        <v>Aplicar</v>
      </c>
    </row>
    <row r="12" ht="15.75" customHeight="1">
      <c r="A12" s="5" t="str">
        <f>IFERROR(__xludf.DUMMYFUNCTION("""COMPUTED_VALUE"""),"8 - Idioma Técnico 2")</f>
        <v>8 - Idioma Técnico 2</v>
      </c>
      <c r="B12" s="5"/>
      <c r="C12" s="5"/>
      <c r="D12" s="5"/>
      <c r="E12" s="5"/>
      <c r="H12" s="5"/>
      <c r="I12" s="5" t="str">
        <f>IFERROR(__xludf.DUMMYFUNCTION("""COMPUTED_VALUE"""),"El estudiante configura la agregación de enlaces utilizando los protocolos LACP o PAgP para mejorar el ancho de banda y la tolerancia a fallos en redes Ethernet. ")</f>
        <v>El estudiante configura la agregación de enlaces utilizando los protocolos LACP o PAgP para mejorar el ancho de banda y la tolerancia a fallos en redes Ethernet. </v>
      </c>
      <c r="J12" s="5"/>
      <c r="K12" s="5"/>
      <c r="L12" s="5"/>
      <c r="M12" s="5"/>
      <c r="N12" s="5"/>
      <c r="O12" s="5"/>
      <c r="P12" s="5"/>
    </row>
    <row r="13" ht="15.75" customHeight="1">
      <c r="A13" s="5" t="str">
        <f>IFERROR(__xludf.DUMMYFUNCTION("""COMPUTED_VALUE"""),"795 - Logica de Sitemas")</f>
        <v>795 - Logica de Sitemas</v>
      </c>
      <c r="B13" s="5" t="str">
        <f>IFERROR(__xludf.DUMMYFUNCTION("""COMPUTED_VALUE"""),"1tGblVNcAY7QU_u00ZUgf5GJjDZOK39vXt9FvZeMfPKg")</f>
        <v>1tGblVNcAY7QU_u00ZUgf5GJjDZOK39vXt9FvZeMfPKg</v>
      </c>
      <c r="C13" s="5" t="str">
        <f>IFERROR(__xludf.DUMMYFUNCTION("""COMPUTED_VALUE"""),"1olpUmnSmvTLYIIWFmjmPX_CYPTPOprpPEwh7xMvm2WM")</f>
        <v>1olpUmnSmvTLYIIWFmjmPX_CYPTPOprpPEwh7xMvm2WM</v>
      </c>
      <c r="D13" s="5" t="str">
        <f>IFERROR(__xludf.DUMMYFUNCTION("""COMPUTED_VALUE"""),"17agcDtIQgmVILM9RXVaUBYkv_J7pJleLEkxEkIyMJJM")</f>
        <v>17agcDtIQgmVILM9RXVaUBYkv_J7pJleLEkxEkIyMJJM</v>
      </c>
      <c r="E13" s="5" t="str">
        <f>IFERROR(__xludf.DUMMYFUNCTION("""COMPUTED_VALUE"""),"1w95w-5-FomsEx4h6E_6QIaFvwjWn3GpS")</f>
        <v>1w95w-5-FomsEx4h6E_6QIaFvwjWn3GpS</v>
      </c>
      <c r="H13" s="5">
        <f>IFERROR(__xludf.DUMMYFUNCTION("""COMPUTED_VALUE"""),7.0)</f>
        <v>7</v>
      </c>
      <c r="I13" s="5" t="str">
        <f>IFERROR(__xludf.DUMMYFUNCTION("""COMPUTED_VALUE"""),"Especifica")</f>
        <v>Especifica</v>
      </c>
      <c r="J13" s="5" t="str">
        <f>IFERROR(__xludf.DUMMYFUNCTION("""COMPUTED_VALUE"""),"El estudiante administra")</f>
        <v>El estudiante administra</v>
      </c>
      <c r="K13" s="5" t="str">
        <f>IFERROR(__xludf.DUMMYFUNCTION("""COMPUTED_VALUE""")," interfaces y configuraciones de seguridad en dispositivos de red")</f>
        <v> interfaces y configuraciones de seguridad en dispositivos de red</v>
      </c>
      <c r="L13" s="5"/>
      <c r="M13" s="5" t="str">
        <f>IFERROR(__xludf.DUMMYFUNCTION("""COMPUTED_VALUE"""),"mediante el uso de comandos, técnicas y buenas prácticas")</f>
        <v>mediante el uso de comandos, técnicas y buenas prácticas</v>
      </c>
      <c r="N13" s="5" t="str">
        <f>IFERROR(__xludf.DUMMYFUNCTION("""COMPUTED_VALUE"""),"para asegurar el correcto funcionamiento y la seguridad de la red")</f>
        <v>para asegurar el correcto funcionamiento y la seguridad de la red</v>
      </c>
      <c r="O13" s="5"/>
      <c r="P13" s="5" t="str">
        <f>IFERROR(__xludf.DUMMYFUNCTION("""COMPUTED_VALUE"""),"Aplicar")</f>
        <v>Aplicar</v>
      </c>
    </row>
    <row r="14" ht="15.75" customHeight="1">
      <c r="A14" s="5" t="str">
        <f>IFERROR(__xludf.DUMMYFUNCTION("""COMPUTED_VALUE"""),"962 - Matemática Para Computación 2")</f>
        <v>962 - Matemática Para Computación 2</v>
      </c>
      <c r="B14" s="5"/>
      <c r="C14" s="5"/>
      <c r="D14" s="5"/>
      <c r="E14" s="5"/>
      <c r="H14" s="5"/>
      <c r="I14" s="5" t="str">
        <f>IFERROR(__xludf.DUMMYFUNCTION("""COMPUTED_VALUE"""),"El estudiante administra  interfaces y configuraciones de seguridad en dispositivos de red mediante el uso de comandos, técnicas y buenas prácticas para asegurar el correcto funcionamiento y la seguridad de la red ")</f>
        <v>El estudiante administra  interfaces y configuraciones de seguridad en dispositivos de red mediante el uso de comandos, técnicas y buenas prácticas para asegurar el correcto funcionamiento y la seguridad de la red </v>
      </c>
      <c r="J14" s="5"/>
      <c r="K14" s="5"/>
      <c r="L14" s="5"/>
      <c r="M14" s="5"/>
      <c r="N14" s="5"/>
      <c r="O14" s="5"/>
      <c r="P14" s="5"/>
    </row>
    <row r="15" ht="15.75" customHeight="1">
      <c r="A15" s="5" t="str">
        <f>IFERROR(__xludf.DUMMYFUNCTION("""COMPUTED_VALUE"""),"770 - Introducción a ala programación y computación 1")</f>
        <v>770 - Introducción a ala programación y computación 1</v>
      </c>
      <c r="B15" s="5" t="str">
        <f>IFERROR(__xludf.DUMMYFUNCTION("""COMPUTED_VALUE"""),"1hnCz3e7R539DMJA_6KBromYXyQWjR5cbX4eUFYyZB78")</f>
        <v>1hnCz3e7R539DMJA_6KBromYXyQWjR5cbX4eUFYyZB78</v>
      </c>
      <c r="C15" s="5" t="str">
        <f>IFERROR(__xludf.DUMMYFUNCTION("""COMPUTED_VALUE"""),"13K0AQ2QyRJmkDL_B9YKTYVy3OKQyLCIBTe0sAqstrFI")</f>
        <v>13K0AQ2QyRJmkDL_B9YKTYVy3OKQyLCIBTe0sAqstrFI</v>
      </c>
      <c r="D15" s="5" t="str">
        <f>IFERROR(__xludf.DUMMYFUNCTION("""COMPUTED_VALUE"""),"1kT0U-6N_PfLXHZnMI7r4DBtAi8DedDHU4nlc6LJYNo0")</f>
        <v>1kT0U-6N_PfLXHZnMI7r4DBtAi8DedDHU4nlc6LJYNo0</v>
      </c>
      <c r="E15" s="5" t="str">
        <f>IFERROR(__xludf.DUMMYFUNCTION("""COMPUTED_VALUE"""),"1ckY3kIc3clzV4xpXc56uv8KpfX4YxL-8")</f>
        <v>1ckY3kIc3clzV4xpXc56uv8KpfX4YxL-8</v>
      </c>
      <c r="H15" s="84">
        <v>8.0</v>
      </c>
      <c r="I15" s="84" t="s">
        <v>328</v>
      </c>
      <c r="J15" s="84" t="s">
        <v>329</v>
      </c>
      <c r="K15" s="84" t="s">
        <v>330</v>
      </c>
      <c r="M15" s="84" t="s">
        <v>331</v>
      </c>
      <c r="N15" s="84" t="s">
        <v>332</v>
      </c>
      <c r="P15" s="84" t="s">
        <v>333</v>
      </c>
    </row>
    <row r="16" ht="15.75" customHeight="1">
      <c r="A16" s="5" t="str">
        <f>IFERROR(__xludf.DUMMYFUNCTION("""COMPUTED_VALUE"""),"107 - Área Matemática Intermedia 1")</f>
        <v>107 - Área Matemática Intermedia 1</v>
      </c>
      <c r="B16" s="5"/>
      <c r="C16" s="5"/>
      <c r="D16" s="5"/>
      <c r="E16" s="5"/>
      <c r="I16" s="84" t="s">
        <v>12</v>
      </c>
    </row>
    <row r="17" ht="15.75" customHeight="1">
      <c r="A17" s="5" t="str">
        <f>IFERROR(__xludf.DUMMYFUNCTION("""COMPUTED_VALUE"""),"150 - Fisica 1")</f>
        <v>150 - Fisica 1</v>
      </c>
      <c r="B17" s="5"/>
      <c r="C17" s="5"/>
      <c r="D17" s="5"/>
      <c r="E17" s="5"/>
      <c r="I17" s="5" t="str">
        <f>I2</f>
        <v>El estudiante diseña e implementa redes de computadoras aplicando principios de enrutamiento, segmentación de redes, redundancia y gestión de servicios de red para garantizar la disponibilidad, eficiencia y seguridad de los servicios de red en entornos empresariales </v>
      </c>
    </row>
    <row r="18" ht="15.75" customHeight="1">
      <c r="A18" s="5" t="str">
        <f>IFERROR(__xludf.DUMMYFUNCTION("""COMPUTED_VALUE"""),"1 - Ética Profesional")</f>
        <v>1 - Ética Profesional</v>
      </c>
      <c r="B18" s="5"/>
      <c r="C18" s="5"/>
      <c r="D18" s="5"/>
      <c r="E18" s="5"/>
      <c r="I18" s="5" t="str">
        <f>I4</f>
        <v>El estudiante identifica los principios de funcionamiento de los protocolos de enrutamiento dinámico mediante la comparación de sus caracteristicas, ventajas y desventajas para utilizarlos en la implementación de redes de forma eficiente y segura </v>
      </c>
    </row>
    <row r="19" ht="15.75" customHeight="1">
      <c r="A19" s="5" t="str">
        <f>IFERROR(__xludf.DUMMYFUNCTION("""COMPUTED_VALUE"""),"9 - Idioma Técnico 3")</f>
        <v>9 - Idioma Técnico 3</v>
      </c>
      <c r="B19" s="5"/>
      <c r="C19" s="5"/>
      <c r="D19" s="5"/>
      <c r="E19" s="5"/>
      <c r="I19" s="5" t="str">
        <f>I6</f>
        <v>El estudiante implementa protocolos de redundancia de gateway mediante HSRP o VRRP para garantizar la alta disponibilidad en la conexión de redes locales. </v>
      </c>
    </row>
    <row r="20" ht="15.75" customHeight="1">
      <c r="A20" s="5" t="str">
        <f>IFERROR(__xludf.DUMMYFUNCTION("""COMPUTED_VALUE"""),"796 - Lenguajes Formales y de Programación")</f>
        <v>796 - Lenguajes Formales y de Programación</v>
      </c>
      <c r="B20" s="5" t="str">
        <f>IFERROR(__xludf.DUMMYFUNCTION("""COMPUTED_VALUE"""),"1-dPQ2ZCWWgBi4gyaV8KmnDWxF063I-zfJutKPMwJjrw")</f>
        <v>1-dPQ2ZCWWgBi4gyaV8KmnDWxF063I-zfJutKPMwJjrw</v>
      </c>
      <c r="C20" s="5" t="str">
        <f>IFERROR(__xludf.DUMMYFUNCTION("""COMPUTED_VALUE"""),"14p5IrzE6q20i9mtWRrbgJgIQTyfVIS4RiO1JbrFY3Ng")</f>
        <v>14p5IrzE6q20i9mtWRrbgJgIQTyfVIS4RiO1JbrFY3Ng</v>
      </c>
      <c r="D20" s="5" t="str">
        <f>IFERROR(__xludf.DUMMYFUNCTION("""COMPUTED_VALUE"""),"1AGg7thSM78QT3j-XZKX-5O8_jS800m3f69bnsKDL7lw")</f>
        <v>1AGg7thSM78QT3j-XZKX-5O8_jS800m3f69bnsKDL7lw</v>
      </c>
      <c r="E20" s="5" t="str">
        <f>IFERROR(__xludf.DUMMYFUNCTION("""COMPUTED_VALUE"""),"1OmnbU2f0aXljqhgz4fTmiAjtEt-JJYai")</f>
        <v>1OmnbU2f0aXljqhgz4fTmiAjtEt-JJYai</v>
      </c>
      <c r="I20" s="5" t="str">
        <f>I8</f>
        <v>El estudiante diseña infraestructura de red inalámbrica  empleando puntos de acceso y estándares Wi-Fi bajo condiciones de cobertura y seguridad adecuadas </v>
      </c>
    </row>
    <row r="21" ht="15.75" customHeight="1">
      <c r="A21" s="5" t="str">
        <f>IFERROR(__xludf.DUMMYFUNCTION("""COMPUTED_VALUE"""),"771 - Introducción a la Programación y Computación 2")</f>
        <v>771 - Introducción a la Programación y Computación 2</v>
      </c>
      <c r="B21" s="5" t="str">
        <f>IFERROR(__xludf.DUMMYFUNCTION("""COMPUTED_VALUE"""),"1__RmanO4MiKBpppCFzGzdDC2fWb5cD2m02xjOur_6nk")</f>
        <v>1__RmanO4MiKBpppCFzGzdDC2fWb5cD2m02xjOur_6nk</v>
      </c>
      <c r="C21" s="5" t="str">
        <f>IFERROR(__xludf.DUMMYFUNCTION("""COMPUTED_VALUE"""),"1hwyEeHtTnYmAXwVixwCmwcQ_1S6x1ID8qghxNj_2les")</f>
        <v>1hwyEeHtTnYmAXwVixwCmwcQ_1S6x1ID8qghxNj_2les</v>
      </c>
      <c r="D21" s="5" t="str">
        <f>IFERROR(__xludf.DUMMYFUNCTION("""COMPUTED_VALUE"""),"1u-w0HNCWqujufP7pN3mFHcpWgitZrec1rkML6inpQK4")</f>
        <v>1u-w0HNCWqujufP7pN3mFHcpWgitZrec1rkML6inpQK4</v>
      </c>
      <c r="E21" s="5" t="str">
        <f>IFERROR(__xludf.DUMMYFUNCTION("""COMPUTED_VALUE"""),"1cHaBQxjzhcYUkXb4b-PtA5PT2axoYWIL")</f>
        <v>1cHaBQxjzhcYUkXb4b-PtA5PT2axoYWIL</v>
      </c>
      <c r="I21" s="5" t="str">
        <f>I10</f>
        <v>El estudiante implementa el sistema de resolución de nombres utilizando servidores DNS para asegurar la correcta traducción de nombres de dominio en redes locales </v>
      </c>
    </row>
    <row r="22" ht="15.75" customHeight="1">
      <c r="A22" s="5" t="str">
        <f>IFERROR(__xludf.DUMMYFUNCTION("""COMPUTED_VALUE"""),"112 - Área Matemática Intermedia 2")</f>
        <v>112 - Área Matemática Intermedia 2</v>
      </c>
      <c r="B22" s="5"/>
      <c r="C22" s="5"/>
      <c r="D22" s="5"/>
      <c r="E22" s="5"/>
      <c r="I22" s="5" t="str">
        <f>I12</f>
        <v>El estudiante configura la agregación de enlaces utilizando los protocolos LACP o PAgP para mejorar el ancho de banda y la tolerancia a fallos en redes Ethernet. </v>
      </c>
    </row>
    <row r="23" ht="15.75" customHeight="1">
      <c r="A23" s="5" t="str">
        <f>IFERROR(__xludf.DUMMYFUNCTION("""COMPUTED_VALUE"""),"114 - Área Matemática Intermedia 3")</f>
        <v>114 - Área Matemática Intermedia 3</v>
      </c>
      <c r="B23" s="5"/>
      <c r="C23" s="5"/>
      <c r="D23" s="5"/>
      <c r="E23" s="5"/>
      <c r="I23" s="5" t="str">
        <f>I14</f>
        <v>El estudiante administra  interfaces y configuraciones de seguridad en dispositivos de red mediante el uso de comandos, técnicas y buenas prácticas para asegurar el correcto funcionamiento y la seguridad de la red </v>
      </c>
    </row>
    <row r="24" ht="15.75" customHeight="1">
      <c r="A24" s="5" t="str">
        <f>IFERROR(__xludf.DUMMYFUNCTION("""COMPUTED_VALUE"""),"152 - Física 2")</f>
        <v>152 - Física 2</v>
      </c>
      <c r="B24" s="5"/>
      <c r="C24" s="5"/>
      <c r="D24" s="5"/>
      <c r="E24" s="5"/>
      <c r="I24" s="84" t="s">
        <v>12</v>
      </c>
    </row>
    <row r="25" ht="15.75" customHeight="1">
      <c r="A25" s="5" t="str">
        <f>IFERROR(__xludf.DUMMYFUNCTION("""COMPUTED_VALUE"""),"10 - Lógica")</f>
        <v>10 - Lógica</v>
      </c>
      <c r="B25" s="5"/>
      <c r="C25" s="5"/>
      <c r="D25" s="5"/>
      <c r="E25" s="5"/>
    </row>
    <row r="26" ht="15.75" customHeight="1">
      <c r="A26" s="5" t="str">
        <f>IFERROR(__xludf.DUMMYFUNCTION("""COMPUTED_VALUE"""),"11 - Idioma Técnico 4")</f>
        <v>11 - Idioma Técnico 4</v>
      </c>
      <c r="B26" s="5"/>
      <c r="C26" s="5"/>
      <c r="D26" s="5"/>
      <c r="E26" s="5"/>
    </row>
    <row r="27" ht="15.75" customHeight="1">
      <c r="A27" s="5" t="str">
        <f>IFERROR(__xludf.DUMMYFUNCTION("""COMPUTED_VALUE"""),"2025 - Prácticas Iniciales")</f>
        <v>2025 - Prácticas Iniciales</v>
      </c>
      <c r="B27" s="5"/>
      <c r="C27" s="5"/>
      <c r="D27" s="5"/>
      <c r="E27" s="5"/>
    </row>
    <row r="28" ht="15.75" customHeight="1">
      <c r="A28" s="5" t="str">
        <f>IFERROR(__xludf.DUMMYFUNCTION("""COMPUTED_VALUE"""),"732 - Estadística 1")</f>
        <v>732 - Estadística 1</v>
      </c>
      <c r="B28" s="5"/>
      <c r="C28" s="5"/>
      <c r="D28" s="5"/>
      <c r="E28" s="5"/>
    </row>
    <row r="29" ht="15.75" customHeight="1">
      <c r="A29" s="5" t="str">
        <f>IFERROR(__xludf.DUMMYFUNCTION("""COMPUTED_VALUE"""),"777 - Organización de Lenguajes y Compiladores 1")</f>
        <v>777 - Organización de Lenguajes y Compiladores 1</v>
      </c>
      <c r="B29" s="5" t="str">
        <f>IFERROR(__xludf.DUMMYFUNCTION("""COMPUTED_VALUE"""),"1sMJr8kYIDF7fR6Jn6GMDZp8CdJCeGqxbVA5UTdBCrkM")</f>
        <v>1sMJr8kYIDF7fR6Jn6GMDZp8CdJCeGqxbVA5UTdBCrkM</v>
      </c>
      <c r="C29" s="5" t="str">
        <f>IFERROR(__xludf.DUMMYFUNCTION("""COMPUTED_VALUE"""),"1sznB5glJmAKD25Jh38PR_uvVmYLeupPdQfr5Z_cGdy0")</f>
        <v>1sznB5glJmAKD25Jh38PR_uvVmYLeupPdQfr5Z_cGdy0</v>
      </c>
      <c r="D29" s="5" t="str">
        <f>IFERROR(__xludf.DUMMYFUNCTION("""COMPUTED_VALUE"""),"1kBA4IGrUYJDRe0Y1euEq_2KSZ_6qIOJf4ChyOoB7-bw")</f>
        <v>1kBA4IGrUYJDRe0Y1euEq_2KSZ_6qIOJf4ChyOoB7-bw</v>
      </c>
      <c r="E29" s="5" t="str">
        <f>IFERROR(__xludf.DUMMYFUNCTION("""COMPUTED_VALUE"""),"14tEUE8qfBh4CI8Qotf2UbaoJFzpnWz0r")</f>
        <v>14tEUE8qfBh4CI8Qotf2UbaoJFzpnWz0r</v>
      </c>
    </row>
    <row r="30" ht="15.75" customHeight="1">
      <c r="A30" s="5" t="str">
        <f>IFERROR(__xludf.DUMMYFUNCTION("""COMPUTED_VALUE"""),"964 - Organización Computacional")</f>
        <v>964 - Organización Computacional</v>
      </c>
      <c r="B30" s="5" t="str">
        <f>IFERROR(__xludf.DUMMYFUNCTION("""COMPUTED_VALUE"""),"1daYmFoqU1khKZXb4p_ygv5jH4tkv8-tTjdTDSUh72F0")</f>
        <v>1daYmFoqU1khKZXb4p_ygv5jH4tkv8-tTjdTDSUh72F0</v>
      </c>
      <c r="C30" s="5" t="str">
        <f>IFERROR(__xludf.DUMMYFUNCTION("""COMPUTED_VALUE"""),"1Iu2w--EUMRmqIHGvbgJsupMFeebEMTKXZFzhrwGZtOs")</f>
        <v>1Iu2w--EUMRmqIHGvbgJsupMFeebEMTKXZFzhrwGZtOs</v>
      </c>
      <c r="D30" s="5" t="str">
        <f>IFERROR(__xludf.DUMMYFUNCTION("""COMPUTED_VALUE"""),"1gqR4HPKEldyIGuEb4K6wpzCwLjthMqCU81C5lPPJfYo")</f>
        <v>1gqR4HPKEldyIGuEb4K6wpzCwLjthMqCU81C5lPPJfYo</v>
      </c>
      <c r="E30" s="5" t="str">
        <f>IFERROR(__xludf.DUMMYFUNCTION("""COMPUTED_VALUE"""),"168JiBG-dVAZLw3Z00Wh0GzOSNJ7yxpVe")</f>
        <v>168JiBG-dVAZLw3Z00Wh0GzOSNJ7yxpVe</v>
      </c>
    </row>
    <row r="31" ht="15.75" customHeight="1">
      <c r="A31" s="5" t="str">
        <f>IFERROR(__xludf.DUMMYFUNCTION("""COMPUTED_VALUE"""),"772 - Estructuras de Datos")</f>
        <v>772 - Estructuras de Datos</v>
      </c>
      <c r="B31" s="5" t="str">
        <f>IFERROR(__xludf.DUMMYFUNCTION("""COMPUTED_VALUE"""),"1rTNY7hLmB5N26Z2z6EtF0axcaKKizdu0eLKqLiwUhto")</f>
        <v>1rTNY7hLmB5N26Z2z6EtF0axcaKKizdu0eLKqLiwUhto</v>
      </c>
      <c r="C31" s="5" t="str">
        <f>IFERROR(__xludf.DUMMYFUNCTION("""COMPUTED_VALUE"""),"1e8AAZ395NIODTRjmbwP3Bvdb1OJlsJawLywq7NixwcM")</f>
        <v>1e8AAZ395NIODTRjmbwP3Bvdb1OJlsJawLywq7NixwcM</v>
      </c>
      <c r="D31" s="5" t="str">
        <f>IFERROR(__xludf.DUMMYFUNCTION("""COMPUTED_VALUE"""),"1PVCPYoBYbA64z-ceE8HVIWfvtziNTX_CeNB1XrAFUmk")</f>
        <v>1PVCPYoBYbA64z-ceE8HVIWfvtziNTX_CeNB1XrAFUmk</v>
      </c>
      <c r="E31" s="5" t="str">
        <f>IFERROR(__xludf.DUMMYFUNCTION("""COMPUTED_VALUE"""),"1E0q2biUjzF_2MGRSFGlAtpUs_jiKeYCi")</f>
        <v>1E0q2biUjzF_2MGRSFGlAtpUs_jiKeYCi</v>
      </c>
    </row>
    <row r="32" ht="15.75" customHeight="1">
      <c r="A32" s="5" t="str">
        <f>IFERROR(__xludf.DUMMYFUNCTION("""COMPUTED_VALUE"""),"116 - Matemática Aplicada 3")</f>
        <v>116 - Matemática Aplicada 3</v>
      </c>
      <c r="B32" s="5"/>
      <c r="C32" s="5"/>
      <c r="D32" s="5"/>
      <c r="E32" s="5"/>
    </row>
    <row r="33" ht="15.75" customHeight="1">
      <c r="A33" s="5" t="str">
        <f>IFERROR(__xludf.DUMMYFUNCTION("""COMPUTED_VALUE"""),"118 - Matemática Aplicada 1")</f>
        <v>118 - Matemática Aplicada 1</v>
      </c>
      <c r="B33" s="5"/>
      <c r="C33" s="5"/>
      <c r="D33" s="5"/>
      <c r="E33" s="5"/>
    </row>
    <row r="34" ht="15.75" customHeight="1">
      <c r="A34" s="5" t="str">
        <f>IFERROR(__xludf.DUMMYFUNCTION("""COMPUTED_VALUE"""),"18 - Filosofía de la Ciencia")</f>
        <v>18 - Filosofía de la Ciencia</v>
      </c>
      <c r="B34" s="5"/>
      <c r="C34" s="5"/>
      <c r="D34" s="5"/>
      <c r="E34" s="5"/>
    </row>
    <row r="35" ht="15.75" customHeight="1">
      <c r="A35" s="5" t="str">
        <f>IFERROR(__xludf.DUMMYFUNCTION("""COMPUTED_VALUE"""),"722 - Teoría de Sistemas 1")</f>
        <v>722 - Teoría de Sistemas 1</v>
      </c>
      <c r="B35" s="5" t="str">
        <f>IFERROR(__xludf.DUMMYFUNCTION("""COMPUTED_VALUE"""),"1npGvBttUX2JHkjnmDRQmNhZacltUudlNKCQsLV09BaU")</f>
        <v>1npGvBttUX2JHkjnmDRQmNhZacltUudlNKCQsLV09BaU</v>
      </c>
      <c r="C35" s="5" t="str">
        <f>IFERROR(__xludf.DUMMYFUNCTION("""COMPUTED_VALUE"""),"1hMUPf0qs2ca-iLxfgxe8cYMynK4MJCa34p7GqRHJXbE")</f>
        <v>1hMUPf0qs2ca-iLxfgxe8cYMynK4MJCa34p7GqRHJXbE</v>
      </c>
      <c r="D35" s="5" t="str">
        <f>IFERROR(__xludf.DUMMYFUNCTION("""COMPUTED_VALUE"""),"1ATHMFdf0XbWCqh2hcVgPbB3YAnr637GqzneY0kwZPXs")</f>
        <v>1ATHMFdf0XbWCqh2hcVgPbB3YAnr637GqzneY0kwZPXs</v>
      </c>
      <c r="E35" s="5" t="str">
        <f>IFERROR(__xludf.DUMMYFUNCTION("""COMPUTED_VALUE"""),"1me1nH7wLH9V0Y0D1dBAqO-cxBMvcPd1a")</f>
        <v>1me1nH7wLH9V0Y0D1dBAqO-cxBMvcPd1a</v>
      </c>
    </row>
    <row r="36" ht="15.75" customHeight="1">
      <c r="A36" s="5" t="str">
        <f>IFERROR(__xludf.DUMMYFUNCTION("""COMPUTED_VALUE"""),"601 - Investigación de Operaciones 1")</f>
        <v>601 - Investigación de Operaciones 1</v>
      </c>
      <c r="B36" s="5"/>
      <c r="C36" s="5"/>
      <c r="D36" s="5"/>
      <c r="E36" s="5"/>
    </row>
    <row r="37" ht="15.75" customHeight="1">
      <c r="A37" s="5" t="str">
        <f>IFERROR(__xludf.DUMMYFUNCTION("""COMPUTED_VALUE"""),"14 - Economía")</f>
        <v>14 - Economía</v>
      </c>
      <c r="B37" s="5" t="str">
        <f>IFERROR(__xludf.DUMMYFUNCTION("""COMPUTED_VALUE"""),"169ieOogZaXHMs_PddYQfqqWTOgqfbgT1NUf8dchmb4U")</f>
        <v>169ieOogZaXHMs_PddYQfqqWTOgqfbgT1NUf8dchmb4U</v>
      </c>
      <c r="C37" s="5" t="str">
        <f>IFERROR(__xludf.DUMMYFUNCTION("""COMPUTED_VALUE"""),"1aRV1pjb7CPc1NcugRe2l92I-OqNZYb_4YmhuHZtvXzs")</f>
        <v>1aRV1pjb7CPc1NcugRe2l92I-OqNZYb_4YmhuHZtvXzs</v>
      </c>
      <c r="D37" s="5" t="str">
        <f>IFERROR(__xludf.DUMMYFUNCTION("""COMPUTED_VALUE"""),"1pajOO3AWmOi1jPG43utDMvSL31e0t1UDzgvEQYveS28")</f>
        <v>1pajOO3AWmOi1jPG43utDMvSL31e0t1UDzgvEQYveS28</v>
      </c>
      <c r="E37" s="5" t="str">
        <f>IFERROR(__xludf.DUMMYFUNCTION("""COMPUTED_VALUE"""),"1WqxKIBh1lpbr01vS0jn_ragnl3d_04zY")</f>
        <v>1WqxKIBh1lpbr01vS0jn_ragnl3d_04zY</v>
      </c>
    </row>
    <row r="38" ht="15.75" customHeight="1">
      <c r="A38" s="5" t="str">
        <f>IFERROR(__xludf.DUMMYFUNCTION("""COMPUTED_VALUE"""),"781 - Organización de Lenguajes y Compiladores 2")</f>
        <v>781 - Organización de Lenguajes y Compiladores 2</v>
      </c>
      <c r="B38" s="5" t="str">
        <f>IFERROR(__xludf.DUMMYFUNCTION("""COMPUTED_VALUE"""),"18dQYgiKWkpI2wogupgHf8u3PbCa0cKqMH6-ZsAIhLPw")</f>
        <v>18dQYgiKWkpI2wogupgHf8u3PbCa0cKqMH6-ZsAIhLPw</v>
      </c>
      <c r="C38" s="5" t="str">
        <f>IFERROR(__xludf.DUMMYFUNCTION("""COMPUTED_VALUE"""),"1FvDr2nu5sW0gxDkpPanB4sWbi78KZCAhc6wrywlrvlE")</f>
        <v>1FvDr2nu5sW0gxDkpPanB4sWbi78KZCAhc6wrywlrvlE</v>
      </c>
      <c r="D38" s="5" t="str">
        <f>IFERROR(__xludf.DUMMYFUNCTION("""COMPUTED_VALUE"""),"1vR-fd-_MbOLAfMSv4L0B7CMj6jdlTkOQCD95r1XcqZI")</f>
        <v>1vR-fd-_MbOLAfMSv4L0B7CMj6jdlTkOQCD95r1XcqZI</v>
      </c>
      <c r="E38" s="5" t="str">
        <f>IFERROR(__xludf.DUMMYFUNCTION("""COMPUTED_VALUE"""),"1OpTiDYbGu0wNKI3xw8Lxhx1c4euS0YR9")</f>
        <v>1OpTiDYbGu0wNKI3xw8Lxhx1c4euS0YR9</v>
      </c>
    </row>
    <row r="39" ht="15.75" customHeight="1">
      <c r="A39" s="5" t="str">
        <f>IFERROR(__xludf.DUMMYFUNCTION("""COMPUTED_VALUE"""),"778 - Arquitectura de Computadoras y Ensambladores 1")</f>
        <v>778 - Arquitectura de Computadoras y Ensambladores 1</v>
      </c>
      <c r="B39" s="5" t="str">
        <f>IFERROR(__xludf.DUMMYFUNCTION("""COMPUTED_VALUE"""),"13gNb-7XS_aMptaL1TLnLB5k06Y_okRzOgjzOxLHNuiI")</f>
        <v>13gNb-7XS_aMptaL1TLnLB5k06Y_okRzOgjzOxLHNuiI</v>
      </c>
      <c r="C39" s="5" t="str">
        <f>IFERROR(__xludf.DUMMYFUNCTION("""COMPUTED_VALUE"""),"1dlO25kugHQowRwF3LcOkrFuLGg-hP9mn9OW7x7GssMc")</f>
        <v>1dlO25kugHQowRwF3LcOkrFuLGg-hP9mn9OW7x7GssMc</v>
      </c>
      <c r="D39" s="5" t="str">
        <f>IFERROR(__xludf.DUMMYFUNCTION("""COMPUTED_VALUE"""),"1jMElka7Ve71KPvj9i1bHpM_BAVnEwEXLC-W_04LIFGg")</f>
        <v>1jMElka7Ve71KPvj9i1bHpM_BAVnEwEXLC-W_04LIFGg</v>
      </c>
      <c r="E39" s="5" t="str">
        <f>IFERROR(__xludf.DUMMYFUNCTION("""COMPUTED_VALUE"""),"1vPaqqtPi3QjCFIUp-K5im-qBz572iNPY")</f>
        <v>1vPaqqtPi3QjCFIUp-K5im-qBz572iNPY</v>
      </c>
    </row>
    <row r="40" ht="15.75" customHeight="1">
      <c r="A40" s="5" t="str">
        <f>IFERROR(__xludf.DUMMYFUNCTION("""COMPUTED_VALUE"""),"773 - Manejo e Implementación de Archivos")</f>
        <v>773 - Manejo e Implementación de Archivos</v>
      </c>
      <c r="B40" s="5" t="str">
        <f>IFERROR(__xludf.DUMMYFUNCTION("""COMPUTED_VALUE"""),"1VDaIod2C3XfezxQfz50xvWZ9yVVdVvNIqd-1xbJmaD8")</f>
        <v>1VDaIod2C3XfezxQfz50xvWZ9yVVdVvNIqd-1xbJmaD8</v>
      </c>
      <c r="C40" s="5" t="str">
        <f>IFERROR(__xludf.DUMMYFUNCTION("""COMPUTED_VALUE"""),"1MkqyTtzzzyQyC--twNt__AoC_Sd0UBC67j0f9nktivE")</f>
        <v>1MkqyTtzzzyQyC--twNt__AoC_Sd0UBC67j0f9nktivE</v>
      </c>
      <c r="D40" s="5" t="str">
        <f>IFERROR(__xludf.DUMMYFUNCTION("""COMPUTED_VALUE"""),"1TN3z_RT4NXTQfbj6qQEFc9gmXRHLB6-fy_oyWA0RHdU")</f>
        <v>1TN3z_RT4NXTQfbj6qQEFc9gmXRHLB6-fy_oyWA0RHdU</v>
      </c>
      <c r="E40" s="5" t="str">
        <f>IFERROR(__xludf.DUMMYFUNCTION("""COMPUTED_VALUE"""),"1Nn4F-GdSnEftvTXSfmVRSNkPuH0v1E3D")</f>
        <v>1Nn4F-GdSnEftvTXSfmVRSNkPuH0v1E3D</v>
      </c>
    </row>
    <row r="41" ht="15.75" customHeight="1">
      <c r="A41" s="5" t="str">
        <f>IFERROR(__xludf.DUMMYFUNCTION("""COMPUTED_VALUE"""),"122 - Matemática Aplicada 4")</f>
        <v>122 - Matemática Aplicada 4</v>
      </c>
      <c r="B41" s="5"/>
      <c r="C41" s="5"/>
      <c r="D41" s="5"/>
      <c r="E41" s="5"/>
    </row>
    <row r="42" ht="15.75" customHeight="1">
      <c r="A42" s="5" t="str">
        <f>IFERROR(__xludf.DUMMYFUNCTION("""COMPUTED_VALUE"""),"120 - Matemática Aplicada 2")</f>
        <v>120 - Matemática Aplicada 2</v>
      </c>
      <c r="B42" s="5"/>
      <c r="C42" s="5"/>
      <c r="D42" s="5"/>
      <c r="E42" s="5"/>
    </row>
    <row r="43" ht="15.75" customHeight="1">
      <c r="A43" s="5" t="str">
        <f>IFERROR(__xludf.DUMMYFUNCTION("""COMPUTED_VALUE"""),"200 - Ingeniería Eléctrica 1")</f>
        <v>200 - Ingeniería Eléctrica 1</v>
      </c>
      <c r="B43" s="5"/>
      <c r="C43" s="5"/>
      <c r="D43" s="5"/>
      <c r="E43" s="5"/>
    </row>
    <row r="44" ht="15.75" customHeight="1">
      <c r="A44" s="5" t="str">
        <f>IFERROR(__xludf.DUMMYFUNCTION("""COMPUTED_VALUE"""),"724 - Teoría de Sistemas 2")</f>
        <v>724 - Teoría de Sistemas 2</v>
      </c>
      <c r="B44" s="5" t="str">
        <f>IFERROR(__xludf.DUMMYFUNCTION("""COMPUTED_VALUE"""),"1Oh-yJJ9oc8SdDPJao-u31YXfwOPrsifu2o1a7Sf2-9k")</f>
        <v>1Oh-yJJ9oc8SdDPJao-u31YXfwOPrsifu2o1a7Sf2-9k</v>
      </c>
      <c r="C44" s="5" t="str">
        <f>IFERROR(__xludf.DUMMYFUNCTION("""COMPUTED_VALUE"""),"1O2rxycdV4XrytI_g4llqenReY8-rYp3frKI7rd6fNMI")</f>
        <v>1O2rxycdV4XrytI_g4llqenReY8-rYp3frKI7rd6fNMI</v>
      </c>
      <c r="D44" s="5" t="str">
        <f>IFERROR(__xludf.DUMMYFUNCTION("""COMPUTED_VALUE"""),"1uWuKRV1yUDuRgCMclGBs18DlrkJbY-3RrPrV1PnXLeM")</f>
        <v>1uWuKRV1yUDuRgCMclGBs18DlrkJbY-3RrPrV1PnXLeM</v>
      </c>
      <c r="E44" s="5" t="str">
        <f>IFERROR(__xludf.DUMMYFUNCTION("""COMPUTED_VALUE"""),"1EQVlwt_Q14_MHhr3GeYfJvtnySQAorrC")</f>
        <v>1EQVlwt_Q14_MHhr3GeYfJvtnySQAorrC</v>
      </c>
    </row>
    <row r="45" ht="15.75" customHeight="1">
      <c r="A45" s="5" t="str">
        <f>IFERROR(__xludf.DUMMYFUNCTION("""COMPUTED_VALUE"""),"603 - Investigación de Operaciones 2")</f>
        <v>603 - Investigación de Operaciones 2</v>
      </c>
      <c r="B45" s="5"/>
      <c r="C45" s="5"/>
      <c r="D45" s="5"/>
      <c r="E45" s="5"/>
    </row>
    <row r="46" ht="15.75" customHeight="1">
      <c r="A46" s="5" t="str">
        <f>IFERROR(__xludf.DUMMYFUNCTION("""COMPUTED_VALUE"""),"734 - Estadística 2")</f>
        <v>734 - Estadística 2</v>
      </c>
      <c r="B46" s="5"/>
      <c r="C46" s="5"/>
      <c r="D46" s="5"/>
      <c r="E46" s="5"/>
    </row>
    <row r="47" ht="15.75" customHeight="1">
      <c r="A47" s="5" t="str">
        <f>IFERROR(__xludf.DUMMYFUNCTION("""COMPUTED_VALUE"""),"281 - Sistemas Operativos 1")</f>
        <v>281 - Sistemas Operativos 1</v>
      </c>
      <c r="B47" s="5" t="str">
        <f>IFERROR(__xludf.DUMMYFUNCTION("""COMPUTED_VALUE"""),"1RAzDRLQZEv8Ck7PxnFQbrklrekiw5bDJFX0wgP7vFSQ")</f>
        <v>1RAzDRLQZEv8Ck7PxnFQbrklrekiw5bDJFX0wgP7vFSQ</v>
      </c>
      <c r="C47" s="5" t="str">
        <f>IFERROR(__xludf.DUMMYFUNCTION("""COMPUTED_VALUE"""),"145JPmfq4pDEEE_ipNtWzYQNDVrAg9WOQ9ocmZu_NegE")</f>
        <v>145JPmfq4pDEEE_ipNtWzYQNDVrAg9WOQ9ocmZu_NegE</v>
      </c>
      <c r="D47" s="5" t="str">
        <f>IFERROR(__xludf.DUMMYFUNCTION("""COMPUTED_VALUE"""),"1HE-c5k7b7a4sV8kZRb8whPINiB0Q_xMq-7-LwYVSiEA")</f>
        <v>1HE-c5k7b7a4sV8kZRb8whPINiB0Q_xMq-7-LwYVSiEA</v>
      </c>
      <c r="E47" s="5" t="str">
        <f>IFERROR(__xludf.DUMMYFUNCTION("""COMPUTED_VALUE"""),"1n0J1NqUgfuTdZBYJs6ClPsEPAT-BsF53")</f>
        <v>1n0J1NqUgfuTdZBYJs6ClPsEPAT-BsF53</v>
      </c>
    </row>
    <row r="48" ht="15.75" customHeight="1">
      <c r="A48" s="5" t="str">
        <f>IFERROR(__xludf.DUMMYFUNCTION("""COMPUTED_VALUE"""),"779 - Arquitectura de Computadoras y Ensambladores 2")</f>
        <v>779 - Arquitectura de Computadoras y Ensambladores 2</v>
      </c>
      <c r="B48" s="5" t="str">
        <f>IFERROR(__xludf.DUMMYFUNCTION("""COMPUTED_VALUE"""),"1_uxBhWcRvgBlCjf2s6O-Hvly7rBvJyZdswUKwm6KP5Y")</f>
        <v>1_uxBhWcRvgBlCjf2s6O-Hvly7rBvJyZdswUKwm6KP5Y</v>
      </c>
      <c r="C48" s="5" t="str">
        <f>IFERROR(__xludf.DUMMYFUNCTION("""COMPUTED_VALUE"""),"1dqk67SNWBGb15fqe17ZBfmxUg9pla5H7nqVOrGHYEJ4")</f>
        <v>1dqk67SNWBGb15fqe17ZBfmxUg9pla5H7nqVOrGHYEJ4</v>
      </c>
      <c r="D48" s="5" t="str">
        <f>IFERROR(__xludf.DUMMYFUNCTION("""COMPUTED_VALUE"""),"1I4Bx-1TpNE382Kclmp7qlhsORNllFJ6iza9or1MYlQM")</f>
        <v>1I4Bx-1TpNE382Kclmp7qlhsORNllFJ6iza9or1MYlQM</v>
      </c>
      <c r="E48" s="5" t="str">
        <f>IFERROR(__xludf.DUMMYFUNCTION("""COMPUTED_VALUE"""),"1fb6OBuOK__kn1iOUatpXGXqw-Xx2KUF3")</f>
        <v>1fb6OBuOK__kn1iOUatpXGXqw-Xx2KUF3</v>
      </c>
    </row>
    <row r="49" ht="15.75" customHeight="1">
      <c r="A49" s="5" t="str">
        <f>IFERROR(__xludf.DUMMYFUNCTION("""COMPUTED_VALUE"""),"970 - Redes de Computadoras 1")</f>
        <v>970 - Redes de Computadoras 1</v>
      </c>
      <c r="B49" s="5" t="str">
        <f>IFERROR(__xludf.DUMMYFUNCTION("""COMPUTED_VALUE"""),"1z_6lSkIcVZpEVQ4tR8c-eSvVvTxWsXwhmFojsLWeBGc")</f>
        <v>1z_6lSkIcVZpEVQ4tR8c-eSvVvTxWsXwhmFojsLWeBGc</v>
      </c>
      <c r="C49" s="5" t="str">
        <f>IFERROR(__xludf.DUMMYFUNCTION("""COMPUTED_VALUE"""),"18wRQLI8Pz51ZFEFWKE1SD6XVhlxOdJa1PpxDFo2dRT4")</f>
        <v>18wRQLI8Pz51ZFEFWKE1SD6XVhlxOdJa1PpxDFo2dRT4</v>
      </c>
      <c r="D49" s="5" t="str">
        <f>IFERROR(__xludf.DUMMYFUNCTION("""COMPUTED_VALUE"""),"1i-Uona9IG1TfHaWeowvwDDQBbBF5rm-kKLnZwWQbchA")</f>
        <v>1i-Uona9IG1TfHaWeowvwDDQBbBF5rm-kKLnZwWQbchA</v>
      </c>
      <c r="E49" s="5" t="str">
        <f>IFERROR(__xludf.DUMMYFUNCTION("""COMPUTED_VALUE"""),"1MyEh58_aw-4JAg_UmiHarHdZJMAoZYFg")</f>
        <v>1MyEh58_aw-4JAg_UmiHarHdZJMAoZYFg</v>
      </c>
    </row>
    <row r="50" ht="15.75" customHeight="1">
      <c r="A50" s="5" t="str">
        <f>IFERROR(__xludf.DUMMYFUNCTION("""COMPUTED_VALUE"""),"774 - Sistemas de Bases de Datos 1")</f>
        <v>774 - Sistemas de Bases de Datos 1</v>
      </c>
      <c r="B50" s="5" t="str">
        <f>IFERROR(__xludf.DUMMYFUNCTION("""COMPUTED_VALUE"""),"1h1zzA1-Xq9ihet57bP4f0PLQnKeojJUanhgpuP67hKs")</f>
        <v>1h1zzA1-Xq9ihet57bP4f0PLQnKeojJUanhgpuP67hKs</v>
      </c>
      <c r="C50" s="5" t="str">
        <f>IFERROR(__xludf.DUMMYFUNCTION("""COMPUTED_VALUE"""),"1xYInTWRmhz45q5vjazDVsb1EGOCbYqibWRBgZMK1g2I")</f>
        <v>1xYInTWRmhz45q5vjazDVsb1EGOCbYqibWRBgZMK1g2I</v>
      </c>
      <c r="D50" s="5" t="str">
        <f>IFERROR(__xludf.DUMMYFUNCTION("""COMPUTED_VALUE"""),"1ab_tQ3tdHfx3wTYZggg6topYWfMdNDjc_9Pl6gMgeY0")</f>
        <v>1ab_tQ3tdHfx3wTYZggg6topYWfMdNDjc_9Pl6gMgeY0</v>
      </c>
      <c r="E50" s="5" t="str">
        <f>IFERROR(__xludf.DUMMYFUNCTION("""COMPUTED_VALUE"""),"1a0bdit9CmOXEhJOXc35cohqfdNKmMAzD")</f>
        <v>1a0bdit9CmOXEhJOXc35cohqfdNKmMAzD</v>
      </c>
    </row>
    <row r="51" ht="15.75" customHeight="1">
      <c r="A51" s="5" t="str">
        <f>IFERROR(__xludf.DUMMYFUNCTION("""COMPUTED_VALUE"""),"2036 - Prácticas Intermedias")</f>
        <v>2036 - Prácticas Intermedias</v>
      </c>
      <c r="B51" s="5"/>
      <c r="C51" s="5"/>
      <c r="D51" s="5"/>
      <c r="E51" s="5"/>
    </row>
    <row r="52" ht="15.75" customHeight="1">
      <c r="A52" s="5" t="str">
        <f>IFERROR(__xludf.DUMMYFUNCTION("""COMPUTED_VALUE"""),"285 - Sistemas Operativos 2")</f>
        <v>285 - Sistemas Operativos 2</v>
      </c>
      <c r="B52" s="5" t="str">
        <f>IFERROR(__xludf.DUMMYFUNCTION("""COMPUTED_VALUE"""),"1VCx3jdfVNJvtMfY5j_W624CAT1QxC-9qVw_ts_erFM8")</f>
        <v>1VCx3jdfVNJvtMfY5j_W624CAT1QxC-9qVw_ts_erFM8</v>
      </c>
      <c r="C52" s="5" t="str">
        <f>IFERROR(__xludf.DUMMYFUNCTION("""COMPUTED_VALUE"""),"1ssmi68Gibgtkl07Zn0H_wQWjqhj_SfcpUhCdmyvVjb4")</f>
        <v>1ssmi68Gibgtkl07Zn0H_wQWjqhj_SfcpUhCdmyvVjb4</v>
      </c>
      <c r="D52" s="5" t="str">
        <f>IFERROR(__xludf.DUMMYFUNCTION("""COMPUTED_VALUE"""),"1bIFK2VHNoCYqh3rnNBIgLzQpv40VUWzyYaRVu-gQbTI")</f>
        <v>1bIFK2VHNoCYqh3rnNBIgLzQpv40VUWzyYaRVu-gQbTI</v>
      </c>
      <c r="E52" s="5" t="str">
        <f>IFERROR(__xludf.DUMMYFUNCTION("""COMPUTED_VALUE"""),"1q8mN6aa9bhjGWUIaszZNHjuEk-b6qckg")</f>
        <v>1q8mN6aa9bhjGWUIaszZNHjuEk-b6qckg</v>
      </c>
    </row>
    <row r="53" ht="15.75" customHeight="1">
      <c r="A53" s="5" t="str">
        <f>IFERROR(__xludf.DUMMYFUNCTION("""COMPUTED_VALUE"""),"975 - Redes de Computadoras 2")</f>
        <v>975 - Redes de Computadoras 2</v>
      </c>
      <c r="B53" s="5" t="str">
        <f>IFERROR(__xludf.DUMMYFUNCTION("""COMPUTED_VALUE"""),"1JcTacSIMIoXQmOixc1cssvrK_MVzZYH-Yo4FFSny6Nk")</f>
        <v>1JcTacSIMIoXQmOixc1cssvrK_MVzZYH-Yo4FFSny6Nk</v>
      </c>
      <c r="C53" s="5" t="str">
        <f>IFERROR(__xludf.DUMMYFUNCTION("""COMPUTED_VALUE"""),"1JLgRGqqoVVNY2eFrI2m3ylhPGOUPiyZN7_tK8VnOywQ")</f>
        <v>1JLgRGqqoVVNY2eFrI2m3ylhPGOUPiyZN7_tK8VnOywQ</v>
      </c>
      <c r="D53" s="5" t="str">
        <f>IFERROR(__xludf.DUMMYFUNCTION("""COMPUTED_VALUE"""),"1IL8QCca0XDIN9zPNoVS7hKBCHZQ9eh42iA_U0q-_ktQ")</f>
        <v>1IL8QCca0XDIN9zPNoVS7hKBCHZQ9eh42iA_U0q-_ktQ</v>
      </c>
      <c r="E53" s="5" t="str">
        <f>IFERROR(__xludf.DUMMYFUNCTION("""COMPUTED_VALUE"""),"1gu0dvm6zoJE2RmJVBG6ZIV_BFoLoxJfB")</f>
        <v>1gu0dvm6zoJE2RmJVBG6ZIV_BFoLoxJfB</v>
      </c>
    </row>
    <row r="54" ht="15.75" customHeight="1">
      <c r="A54" s="5" t="str">
        <f>IFERROR(__xludf.DUMMYFUNCTION("""COMPUTED_VALUE"""),"775 - Sistemas de Bases de Datos 2")</f>
        <v>775 - Sistemas de Bases de Datos 2</v>
      </c>
      <c r="B54" s="5" t="str">
        <f>IFERROR(__xludf.DUMMYFUNCTION("""COMPUTED_VALUE"""),"1TCVGX95CGGMGYvyB2K8cDve9RSMthqD6Tc1-CrmctiM")</f>
        <v>1TCVGX95CGGMGYvyB2K8cDve9RSMthqD6Tc1-CrmctiM</v>
      </c>
      <c r="C54" s="5" t="str">
        <f>IFERROR(__xludf.DUMMYFUNCTION("""COMPUTED_VALUE"""),"1c8vA2_5i-ARXIPU3ZxB3bwcKRbWh46erGG5KH3wrJyU")</f>
        <v>1c8vA2_5i-ARXIPU3ZxB3bwcKRbWh46erGG5KH3wrJyU</v>
      </c>
      <c r="D54" s="5" t="str">
        <f>IFERROR(__xludf.DUMMYFUNCTION("""COMPUTED_VALUE"""),"17_WFCeqzOngZrZqB-G0qa2RVksxKYCq8VrQTxvdfvyg")</f>
        <v>17_WFCeqzOngZrZqB-G0qa2RVksxKYCq8VrQTxvdfvyg</v>
      </c>
      <c r="E54" s="5" t="str">
        <f>IFERROR(__xludf.DUMMYFUNCTION("""COMPUTED_VALUE"""),"d/1-KBylfOI9IIiZlF-l2dlJlM6PNNdjzFl")</f>
        <v>d/1-KBylfOI9IIiZlF-l2dlJlM6PNNdjzFl</v>
      </c>
    </row>
    <row r="55" ht="15.75" customHeight="1">
      <c r="A55" s="5" t="str">
        <f>IFERROR(__xludf.DUMMYFUNCTION("""COMPUTED_VALUE"""),"283 - Análisis y Diseño de Sistemas 1")</f>
        <v>283 - Análisis y Diseño de Sistemas 1</v>
      </c>
      <c r="B55" s="5" t="str">
        <f>IFERROR(__xludf.DUMMYFUNCTION("""COMPUTED_VALUE"""),"1Y3HF-OxPbgEhNi6pNhbpImrQsH3btlYO6xtsnryrunY")</f>
        <v>1Y3HF-OxPbgEhNi6pNhbpImrQsH3btlYO6xtsnryrunY</v>
      </c>
      <c r="C55" s="5" t="str">
        <f>IFERROR(__xludf.DUMMYFUNCTION("""COMPUTED_VALUE"""),"12umvxFMZmSLGZenSQOXCnUePgu7-gug8FmFRz5MKlkE")</f>
        <v>12umvxFMZmSLGZenSQOXCnUePgu7-gug8FmFRz5MKlkE</v>
      </c>
      <c r="D55" s="5" t="str">
        <f>IFERROR(__xludf.DUMMYFUNCTION("""COMPUTED_VALUE"""),"1gwmb6_MjiG_JUXAI5JWT33vnYBsnPqtoeHWc1yoFWQQ")</f>
        <v>1gwmb6_MjiG_JUXAI5JWT33vnYBsnPqtoeHWc1yoFWQQ</v>
      </c>
      <c r="E55" s="5" t="str">
        <f>IFERROR(__xludf.DUMMYFUNCTION("""COMPUTED_VALUE"""),"1QXb23bY6W9aTRkpiCON7Q0ews5p7hatK")</f>
        <v>1QXb23bY6W9aTRkpiCON7Q0ews5p7hatK</v>
      </c>
    </row>
    <row r="56" ht="15.75" customHeight="1">
      <c r="A56" s="5" t="str">
        <f>IFERROR(__xludf.DUMMYFUNCTION("""COMPUTED_VALUE"""),"797 - Seminario de Sistemas 1")</f>
        <v>797 - Seminario de Sistemas 1</v>
      </c>
      <c r="B56" s="5" t="str">
        <f>IFERROR(__xludf.DUMMYFUNCTION("""COMPUTED_VALUE"""),"1VXfuZgL8iNYOe8XfW_5s4rVnIq-_Xurqk8xlOGGexqY")</f>
        <v>1VXfuZgL8iNYOe8XfW_5s4rVnIq-_Xurqk8xlOGGexqY</v>
      </c>
      <c r="C56" s="5" t="str">
        <f>IFERROR(__xludf.DUMMYFUNCTION("""COMPUTED_VALUE"""),"1eWOPuodcZlQ4YNCFI3CQ-Zpw7nxkVx7vi3XlMdj8he4")</f>
        <v>1eWOPuodcZlQ4YNCFI3CQ-Zpw7nxkVx7vi3XlMdj8he4</v>
      </c>
      <c r="D56" s="5" t="str">
        <f>IFERROR(__xludf.DUMMYFUNCTION("""COMPUTED_VALUE"""),"13DUp9JOUZdD2C1BdD-os-W-bLO-jSufbMHC7eJ5PBSo")</f>
        <v>13DUp9JOUZdD2C1BdD-os-W-bLO-jSufbMHC7eJ5PBSo</v>
      </c>
      <c r="E56" s="5" t="str">
        <f>IFERROR(__xludf.DUMMYFUNCTION("""COMPUTED_VALUE"""),"1EnANLnqSuVktTF4SdlpIOuHPbefsIOnc")</f>
        <v>1EnANLnqSuVktTF4SdlpIOuHPbefsIOnc</v>
      </c>
    </row>
    <row r="57" ht="15.75" customHeight="1">
      <c r="A57" s="5" t="str">
        <f>IFERROR(__xludf.DUMMYFUNCTION("""COMPUTED_VALUE"""),"700 - Ingeniería Económica 1")</f>
        <v>700 - Ingeniería Económica 1</v>
      </c>
      <c r="B57" s="5"/>
      <c r="C57" s="5"/>
      <c r="D57" s="5"/>
      <c r="E57" s="5"/>
    </row>
    <row r="58" ht="15.75" customHeight="1">
      <c r="A58" s="5" t="str">
        <f>IFERROR(__xludf.DUMMYFUNCTION("""COMPUTED_VALUE"""),"729 - Modelación y Simulación 1")</f>
        <v>729 - Modelación y Simulación 1</v>
      </c>
      <c r="B58" s="5" t="str">
        <f>IFERROR(__xludf.DUMMYFUNCTION("""COMPUTED_VALUE"""),"17u8GNz3HZ-i9KS-yxFiuJx9u7OawTwjyLcvLoG_x6W8")</f>
        <v>17u8GNz3HZ-i9KS-yxFiuJx9u7OawTwjyLcvLoG_x6W8</v>
      </c>
      <c r="C58" s="5" t="str">
        <f>IFERROR(__xludf.DUMMYFUNCTION("""COMPUTED_VALUE"""),"1NFJSyWLsOrGAG7qFKpXyw79GRTTb4abmj-M6aBddS5U")</f>
        <v>1NFJSyWLsOrGAG7qFKpXyw79GRTTb4abmj-M6aBddS5U</v>
      </c>
      <c r="D58" s="5" t="str">
        <f>IFERROR(__xludf.DUMMYFUNCTION("""COMPUTED_VALUE"""),"1toY-3JEeuVBJwRbyxsqyquwh-orXIfZE8KB3e43PXok")</f>
        <v>1toY-3JEeuVBJwRbyxsqyquwh-orXIfZE8KB3e43PXok</v>
      </c>
      <c r="E58" s="5" t="str">
        <f>IFERROR(__xludf.DUMMYFUNCTION("""COMPUTED_VALUE"""),"15sfPZmXt41hGkttgpVICPuKozdPNEJ6A")</f>
        <v>15sfPZmXt41hGkttgpVICPuKozdPNEJ6A</v>
      </c>
    </row>
    <row r="59" ht="15.75" customHeight="1">
      <c r="A59" s="5" t="str">
        <f>IFERROR(__xludf.DUMMYFUNCTION("""COMPUTED_VALUE"""),"786 - Sistemas Organizacionales y Gerenciales 1")</f>
        <v>786 - Sistemas Organizacionales y Gerenciales 1</v>
      </c>
      <c r="B59" s="5" t="str">
        <f>IFERROR(__xludf.DUMMYFUNCTION("""COMPUTED_VALUE"""),"1VTtCckO64u9REDx8UoxNJrYiavZGQU_hh4HvsOUiqlc")</f>
        <v>1VTtCckO64u9REDx8UoxNJrYiavZGQU_hh4HvsOUiqlc</v>
      </c>
      <c r="C59" s="5" t="str">
        <f>IFERROR(__xludf.DUMMYFUNCTION("""COMPUTED_VALUE"""),"1dMwVEKpg3j4uCN3CqoVXOWkBQbHNw7DIhtU8Bhc5Mqc")</f>
        <v>1dMwVEKpg3j4uCN3CqoVXOWkBQbHNw7DIhtU8Bhc5Mqc</v>
      </c>
      <c r="D59" s="5" t="str">
        <f>IFERROR(__xludf.DUMMYFUNCTION("""COMPUTED_VALUE"""),"1eh447vkO2YeAmVFqKtzinqlk4a4Y1JJKjOtv9eVOlY0")</f>
        <v>1eh447vkO2YeAmVFqKtzinqlk4a4Y1JJKjOtv9eVOlY0</v>
      </c>
      <c r="E59" s="5" t="str">
        <f>IFERROR(__xludf.DUMMYFUNCTION("""COMPUTED_VALUE"""),"1txIe6LugQ0CGgSIkqRY1UZvHL7CtMqgD")</f>
        <v>1txIe6LugQ0CGgSIkqRY1UZvHL7CtMqgD</v>
      </c>
    </row>
    <row r="60" ht="15.75" customHeight="1">
      <c r="A60" s="5" t="str">
        <f>IFERROR(__xludf.DUMMYFUNCTION("""COMPUTED_VALUE"""),"972 - Inteligencia Artificial 1")</f>
        <v>972 - Inteligencia Artificial 1</v>
      </c>
      <c r="B60" s="5" t="str">
        <f>IFERROR(__xludf.DUMMYFUNCTION("""COMPUTED_VALUE"""),"1C04a6qH3d2zJVb1hJwa6tsRQVM9LUb_nwyxMovG5tdI")</f>
        <v>1C04a6qH3d2zJVb1hJwa6tsRQVM9LUb_nwyxMovG5tdI</v>
      </c>
      <c r="C60" s="5" t="str">
        <f>IFERROR(__xludf.DUMMYFUNCTION("""COMPUTED_VALUE"""),"1CEh1GcUg3ntzgPT9yUocLDlrLJKmZCCl1MWUrEyfwzg")</f>
        <v>1CEh1GcUg3ntzgPT9yUocLDlrLJKmZCCl1MWUrEyfwzg</v>
      </c>
      <c r="D60" s="5" t="str">
        <f>IFERROR(__xludf.DUMMYFUNCTION("""COMPUTED_VALUE"""),"1oncZrzGawvfNWTdhWsLhXGKvrApliYXhCf81eUnkV20")</f>
        <v>1oncZrzGawvfNWTdhWsLhXGKvrApliYXhCf81eUnkV20</v>
      </c>
      <c r="E60" s="5" t="str">
        <f>IFERROR(__xludf.DUMMYFUNCTION("""COMPUTED_VALUE"""),"1eMKEvvWQ4yFq38z3ks0ZmIZ43xAVGgyM")</f>
        <v>1eMKEvvWQ4yFq38z3ks0ZmIZ43xAVGgyM</v>
      </c>
    </row>
    <row r="61" ht="15.75" customHeight="1">
      <c r="A61" s="5" t="str">
        <f>IFERROR(__xludf.DUMMYFUNCTION("""COMPUTED_VALUE"""),"966 - Seguridad y Auditoría de Redes de Computadoras")</f>
        <v>966 - Seguridad y Auditoría de Redes de Computadoras</v>
      </c>
      <c r="B61" s="5"/>
      <c r="C61" s="5"/>
      <c r="D61" s="5"/>
      <c r="E61" s="5"/>
    </row>
    <row r="62" ht="15.75" customHeight="1">
      <c r="A62" s="5" t="str">
        <f>IFERROR(__xludf.DUMMYFUNCTION("""COMPUTED_VALUE"""),"785 - Análisis y Diseño de Sistemas 2")</f>
        <v>785 - Análisis y Diseño de Sistemas 2</v>
      </c>
      <c r="B62" s="5" t="str">
        <f>IFERROR(__xludf.DUMMYFUNCTION("""COMPUTED_VALUE"""),"1_ufF1kvClwUUTsCz0V0fLuXjs_JRZWRSMCWkUEd8co4")</f>
        <v>1_ufF1kvClwUUTsCz0V0fLuXjs_JRZWRSMCWkUEd8co4</v>
      </c>
      <c r="C62" s="5" t="str">
        <f>IFERROR(__xludf.DUMMYFUNCTION("""COMPUTED_VALUE"""),"1HaBdPkxZx1GRiw5WlqxQhbxPWuW-mZVFEoUho7tsLDY")</f>
        <v>1HaBdPkxZx1GRiw5WlqxQhbxPWuW-mZVFEoUho7tsLDY</v>
      </c>
      <c r="D62" s="5"/>
      <c r="E62" s="5"/>
    </row>
    <row r="63" ht="15.75" customHeight="1">
      <c r="A63" s="5" t="str">
        <f>IFERROR(__xludf.DUMMYFUNCTION("""COMPUTED_VALUE"""),"798 - Seminario de Sistemas 2")</f>
        <v>798 - Seminario de Sistemas 2</v>
      </c>
      <c r="B63" s="5" t="str">
        <f>IFERROR(__xludf.DUMMYFUNCTION("""COMPUTED_VALUE"""),"1v6hbJdWzxkj7s5D7oM894pu3kMAvhEZGXUMfRFv7yKQ")</f>
        <v>1v6hbJdWzxkj7s5D7oM894pu3kMAvhEZGXUMfRFv7yKQ</v>
      </c>
      <c r="C63" s="5" t="str">
        <f>IFERROR(__xludf.DUMMYFUNCTION("""COMPUTED_VALUE"""),"1LxPO_wuZRiAXrS1EicVG-gQWzjILKll8Nqvs3MS7G_k")</f>
        <v>1LxPO_wuZRiAXrS1EicVG-gQWzjILKll8Nqvs3MS7G_k</v>
      </c>
      <c r="D63" s="5" t="str">
        <f>IFERROR(__xludf.DUMMYFUNCTION("""COMPUTED_VALUE"""),"1BWLmO3asfl7g244aKrskvOVVUItkuDglmE1c2bmkR30")</f>
        <v>1BWLmO3asfl7g244aKrskvOVVUItkuDglmE1c2bmkR30</v>
      </c>
      <c r="E63" s="5" t="str">
        <f>IFERROR(__xludf.DUMMYFUNCTION("""COMPUTED_VALUE"""),"1Aq8boJeyyodIKEdkrfe9fWB5RIGSLDb5")</f>
        <v>1Aq8boJeyyodIKEdkrfe9fWB5RIGSLDb5</v>
      </c>
    </row>
    <row r="64" ht="15.75" customHeight="1">
      <c r="A64" s="5" t="str">
        <f>IFERROR(__xludf.DUMMYFUNCTION("""COMPUTED_VALUE"""),"788 - Sistemas Aplicados 1")</f>
        <v>788 - Sistemas Aplicados 1</v>
      </c>
      <c r="B64" s="5"/>
      <c r="C64" s="5"/>
      <c r="D64" s="5"/>
      <c r="E64" s="5"/>
    </row>
    <row r="65" ht="15.75" customHeight="1">
      <c r="A65" s="5" t="str">
        <f>IFERROR(__xludf.DUMMYFUNCTION("""COMPUTED_VALUE"""),"776 - Bases de Datos Avanzadas")</f>
        <v>776 - Bases de Datos Avanzadas</v>
      </c>
      <c r="B65" s="5" t="str">
        <f>IFERROR(__xludf.DUMMYFUNCTION("""COMPUTED_VALUE"""),"1SZ2dJz29IsruB5vMYQ514xwGe6wyVx6cjMu_iwnHpFo")</f>
        <v>1SZ2dJz29IsruB5vMYQ514xwGe6wyVx6cjMu_iwnHpFo</v>
      </c>
      <c r="C65" s="5"/>
      <c r="D65" s="5"/>
      <c r="E65" s="5"/>
    </row>
    <row r="66" ht="15.75" customHeight="1">
      <c r="A66" s="5" t="str">
        <f>IFERROR(__xludf.DUMMYFUNCTION("""COMPUTED_VALUE"""),"2009 - Prácticas Finales Ingeniería Ciencias y Sistemas")</f>
        <v>2009 - Prácticas Finales Ingeniería Ciencias y Sistemas</v>
      </c>
      <c r="B66" s="5"/>
      <c r="C66" s="5"/>
      <c r="D66" s="5"/>
      <c r="E66" s="5"/>
    </row>
    <row r="67" ht="15.75" customHeight="1">
      <c r="A67" s="5" t="str">
        <f>IFERROR(__xludf.DUMMYFUNCTION("""COMPUTED_VALUE"""),"720 - Modelación y Simulación 2")</f>
        <v>720 - Modelación y Simulación 2</v>
      </c>
      <c r="B67" s="5" t="str">
        <f>IFERROR(__xludf.DUMMYFUNCTION("""COMPUTED_VALUE"""),"1ebc3-I4AbsLDHtzhtolQz7pqZDPvmSE0yZJu1xY6lLY")</f>
        <v>1ebc3-I4AbsLDHtzhtolQz7pqZDPvmSE0yZJu1xY6lLY</v>
      </c>
      <c r="C67" s="5" t="str">
        <f>IFERROR(__xludf.DUMMYFUNCTION("""COMPUTED_VALUE"""),"1VnSdYE6hCH1oAG4XdaAltDp-IuIjLZzv9KdrOGh2-0Y")</f>
        <v>1VnSdYE6hCH1oAG4XdaAltDp-IuIjLZzv9KdrOGh2-0Y</v>
      </c>
      <c r="D67" s="5" t="str">
        <f>IFERROR(__xludf.DUMMYFUNCTION("""COMPUTED_VALUE"""),"1LLT4wjh6eEkdi7y6_yd99pbR2Q8NPBHYmsciMZpRqUE")</f>
        <v>1LLT4wjh6eEkdi7y6_yd99pbR2Q8NPBHYmsciMZpRqUE</v>
      </c>
      <c r="E67" s="5" t="str">
        <f>IFERROR(__xludf.DUMMYFUNCTION("""COMPUTED_VALUE"""),"11D7BpB1NYAQLsl-xomWKo7ibetJ_b2JE")</f>
        <v>11D7BpB1NYAQLsl-xomWKo7ibetJ_b2JE</v>
      </c>
    </row>
    <row r="68" ht="15.75" customHeight="1">
      <c r="A68" s="5" t="str">
        <f>IFERROR(__xludf.DUMMYFUNCTION("""COMPUTED_VALUE"""),"787 - Sistemas Organizacionales y Gerenciales 2")</f>
        <v>787 - Sistemas Organizacionales y Gerenciales 2</v>
      </c>
      <c r="B68" s="5" t="str">
        <f>IFERROR(__xludf.DUMMYFUNCTION("""COMPUTED_VALUE"""),"1KpYHYX_EAJ-h4GLtSoCT8Rqz-xU4Qh5pUnEiPyxmEZA")</f>
        <v>1KpYHYX_EAJ-h4GLtSoCT8Rqz-xU4Qh5pUnEiPyxmEZA</v>
      </c>
      <c r="C68" s="5" t="str">
        <f>IFERROR(__xludf.DUMMYFUNCTION("""COMPUTED_VALUE"""),"106SYnPHxQ47_qT62NOXndjd6mPwE7LV7AXR9D4-euB8")</f>
        <v>106SYnPHxQ47_qT62NOXndjd6mPwE7LV7AXR9D4-euB8</v>
      </c>
      <c r="D68" s="5" t="str">
        <f>IFERROR(__xludf.DUMMYFUNCTION("""COMPUTED_VALUE"""),"1uo3-u0rbLWUGIyMydUz-lOWpj7xdx2oKwNH9T1cU12A")</f>
        <v>1uo3-u0rbLWUGIyMydUz-lOWpj7xdx2oKwNH9T1cU12A</v>
      </c>
      <c r="E68" s="5" t="str">
        <f>IFERROR(__xludf.DUMMYFUNCTION("""COMPUTED_VALUE"""),"1wmyYrKnHpQJd0Iebc9cCHZwq93Te5Iq8")</f>
        <v>1wmyYrKnHpQJd0Iebc9cCHZwq93Te5Iq8</v>
      </c>
    </row>
    <row r="69" ht="15.75" customHeight="1">
      <c r="A69" s="5" t="str">
        <f>IFERROR(__xludf.DUMMYFUNCTION("""COMPUTED_VALUE"""),"790 - Emprendedores de Negocios Informáticos")</f>
        <v>790 - Emprendedores de Negocios Informáticos</v>
      </c>
      <c r="B69" s="5"/>
      <c r="C69" s="5"/>
      <c r="D69" s="5"/>
      <c r="E69" s="5"/>
    </row>
    <row r="70" ht="15.75" customHeight="1">
      <c r="A70" s="5" t="str">
        <f>IFERROR(__xludf.DUMMYFUNCTION("""COMPUTED_VALUE"""),"968 - Inteligencia Artificial 2")</f>
        <v>968 - Inteligencia Artificial 2</v>
      </c>
      <c r="B70" s="5"/>
      <c r="C70" s="5"/>
      <c r="D70" s="5"/>
      <c r="E70" s="5"/>
    </row>
    <row r="71" ht="15.75" customHeight="1">
      <c r="A71" s="5" t="str">
        <f>IFERROR(__xludf.DUMMYFUNCTION("""COMPUTED_VALUE"""),"974 - Redes de Nueva Generación")</f>
        <v>974 - Redes de Nueva Generación</v>
      </c>
      <c r="B71" s="5"/>
      <c r="C71" s="5"/>
      <c r="D71" s="5"/>
      <c r="E71" s="5"/>
    </row>
    <row r="72" ht="15.75" customHeight="1">
      <c r="A72" s="5" t="str">
        <f>IFERROR(__xludf.DUMMYFUNCTION("""COMPUTED_VALUE"""),"780 - Software Avanzado")</f>
        <v>780 - Software Avanzado</v>
      </c>
      <c r="B72" s="5" t="str">
        <f>IFERROR(__xludf.DUMMYFUNCTION("""COMPUTED_VALUE"""),"1SZ2dJz29IsruB5vMYQ514xwGe6wyVx6cjMu_iwnHpFo")</f>
        <v>1SZ2dJz29IsruB5vMYQ514xwGe6wyVx6cjMu_iwnHpFo</v>
      </c>
      <c r="C72" s="5" t="str">
        <f>IFERROR(__xludf.DUMMYFUNCTION("""COMPUTED_VALUE"""),"13JrqVT0c3I6SzCOF1sKpi1qJKOryNTT4TsCaNwuV-24")</f>
        <v>13JrqVT0c3I6SzCOF1sKpi1qJKOryNTT4TsCaNwuV-24</v>
      </c>
      <c r="D72" s="5" t="str">
        <f>IFERROR(__xludf.DUMMYFUNCTION("""COMPUTED_VALUE"""),"1QVpX8zi83Rr6KfcUvSEKp9NqRCfEFmL1eZ88Oeeolto")</f>
        <v>1QVpX8zi83Rr6KfcUvSEKp9NqRCfEFmL1eZ88Oeeolto</v>
      </c>
      <c r="E72" s="5" t="str">
        <f>IFERROR(__xludf.DUMMYFUNCTION("""COMPUTED_VALUE"""),"1j6tUIPNPfK0lVrpQxNZKyB23LcXzn5Ge")</f>
        <v>1j6tUIPNPfK0lVrpQxNZKyB23LcXzn5Ge</v>
      </c>
    </row>
    <row r="73" ht="15.75" customHeight="1">
      <c r="A73" s="5" t="str">
        <f>IFERROR(__xludf.DUMMYFUNCTION("""COMPUTED_VALUE"""),"789 - Sistemas Aplicados 2")</f>
        <v>789 - Sistemas Aplicados 2</v>
      </c>
      <c r="B73" s="5"/>
      <c r="C73" s="5"/>
      <c r="D73" s="5"/>
      <c r="E73" s="5"/>
    </row>
    <row r="74" ht="15.75" customHeight="1">
      <c r="A74" s="5" t="str">
        <f>IFERROR(__xludf.DUMMYFUNCTION("""COMPUTED_VALUE"""),"735 - Auditoría de Proyectos de Software")</f>
        <v>735 - Auditoría de Proyectos de Software</v>
      </c>
      <c r="B74" s="5"/>
      <c r="C74" s="5"/>
      <c r="D74" s="5"/>
      <c r="E74" s="5"/>
    </row>
    <row r="75" ht="15.75" customHeight="1">
      <c r="A75" s="5" t="str">
        <f>IFERROR(__xludf.DUMMYFUNCTION("""COMPUTED_VALUE"""),"7999 - Seminario de Investigación EPS Sistemas")</f>
        <v>7999 - Seminario de Investigación EPS Sistemas</v>
      </c>
      <c r="B75" s="5"/>
      <c r="C75" s="5"/>
      <c r="D75" s="5"/>
      <c r="E75" s="5"/>
    </row>
    <row r="76" ht="15.75" customHeight="1">
      <c r="A76" s="5" t="str">
        <f>IFERROR(__xludf.DUMMYFUNCTION("""COMPUTED_VALUE"""),"799 - Seminario de Investigación")</f>
        <v>799 - Seminario de Investigación</v>
      </c>
      <c r="B76" s="5"/>
      <c r="C76" s="5"/>
      <c r="D76" s="5"/>
      <c r="E76" s="5"/>
    </row>
    <row r="77" ht="15.75" customHeight="1">
      <c r="A77" s="5" t="str">
        <f>IFERROR(__xludf.DUMMYFUNCTION("""COMPUTED_VALUE"""),"90 - Programacion de Computadoras 1")</f>
        <v>90 - Programacion de Computadoras 1</v>
      </c>
      <c r="B77" s="5" t="str">
        <f>IFERROR(__xludf.DUMMYFUNCTION("""COMPUTED_VALUE"""),"1qvDDGj5yCc7f5CzNszeAsW2HPXfptQjvWIcbjskCMYM")</f>
        <v>1qvDDGj5yCc7f5CzNszeAsW2HPXfptQjvWIcbjskCMYM</v>
      </c>
      <c r="C77" s="5" t="str">
        <f>IFERROR(__xludf.DUMMYFUNCTION("""COMPUTED_VALUE"""),"1YPGQg3r0TE0ZsibgKarHMDVR2FLaHLC0G5O84_GpNhw")</f>
        <v>1YPGQg3r0TE0ZsibgKarHMDVR2FLaHLC0G5O84_GpNhw</v>
      </c>
      <c r="D77" s="5" t="str">
        <f>IFERROR(__xludf.DUMMYFUNCTION("""COMPUTED_VALUE"""),"1A_jprbCHQlF7SUg-tly0Ak7hJtMh8U9qL3lUg0S2T4U")</f>
        <v>1A_jprbCHQlF7SUg-tly0Ak7hJtMh8U9qL3lUg0S2T4U</v>
      </c>
      <c r="E77" s="5" t="str">
        <f>IFERROR(__xludf.DUMMYFUNCTION("""COMPUTED_VALUE"""),"1QT0XgtJhS0WdXvrmJ9l5fhkQxyPS7eMI")</f>
        <v>1QT0XgtJhS0WdXvrmJ9l5fhkQxyPS7eMI</v>
      </c>
    </row>
    <row r="78" ht="15.75" customHeight="1">
      <c r="A78" s="5" t="str">
        <f>IFERROR(__xludf.DUMMYFUNCTION("""COMPUTED_VALUE"""),"92 - Programacion de Computadoras 2")</f>
        <v>92 - Programacion de Computadoras 2</v>
      </c>
      <c r="B78" s="5" t="str">
        <f>IFERROR(__xludf.DUMMYFUNCTION("""COMPUTED_VALUE"""),"1SCiXODhHsEGBVGnnYk9ZrO_gSOSvcGwu7lDEJBfLaEw")</f>
        <v>1SCiXODhHsEGBVGnnYk9ZrO_gSOSvcGwu7lDEJBfLaEw</v>
      </c>
      <c r="C78" s="5" t="str">
        <f>IFERROR(__xludf.DUMMYFUNCTION("""COMPUTED_VALUE"""),"1Bf3nWt47xcnM3VU3BvJaD4AcWQd-1GK4pJm4b69PzDk")</f>
        <v>1Bf3nWt47xcnM3VU3BvJaD4AcWQd-1GK4pJm4b69PzDk</v>
      </c>
      <c r="D78" s="5" t="str">
        <f>IFERROR(__xludf.DUMMYFUNCTION("""COMPUTED_VALUE"""),"1DHgSe2VDZ9KBUhl4_7NdyzagI7iar5NJSgD9rUtytdY")</f>
        <v>1DHgSe2VDZ9KBUhl4_7NdyzagI7iar5NJSgD9rUtytdY</v>
      </c>
      <c r="E78" s="5" t="str">
        <f>IFERROR(__xludf.DUMMYFUNCTION("""COMPUTED_VALUE"""),"1FHqe10A7z4kQFMWfvfI8tkxBkAgiF7u2e1XlqT1-63E")</f>
        <v>1FHqe10A7z4kQFMWfvfI8tkxBkAgiF7u2e1XlqT1-63E</v>
      </c>
    </row>
    <row r="79" ht="15.75" customHeight="1">
      <c r="A79" s="5" t="str">
        <f>IFERROR(__xludf.DUMMYFUNCTION("""COMPUTED_VALUE"""),"667 - Programacion Comercial 1")</f>
        <v>667 - Programacion Comercial 1</v>
      </c>
      <c r="B79" s="5" t="str">
        <f>IFERROR(__xludf.DUMMYFUNCTION("""COMPUTED_VALUE"""),"1q-0CM7N_hXOxknvTAL7P8U9-t9hqpm1-3l5E6r3G-qg")</f>
        <v>1q-0CM7N_hXOxknvTAL7P8U9-t9hqpm1-3l5E6r3G-qg</v>
      </c>
      <c r="C79" s="5" t="str">
        <f>IFERROR(__xludf.DUMMYFUNCTION("""COMPUTED_VALUE"""),"1R41rwbBQZrh9qjZ3XYjH5mTM9rwh34s58Htn787_YnY")</f>
        <v>1R41rwbBQZrh9qjZ3XYjH5mTM9rwh34s58Htn787_YnY</v>
      </c>
      <c r="D79" s="5" t="str">
        <f>IFERROR(__xludf.DUMMYFUNCTION("""COMPUTED_VALUE"""),"1s3J2CHGyPGSPwPm7T7m5o_7sQCrWwpQ5xqzAk04bgVA")</f>
        <v>1s3J2CHGyPGSPwPm7T7m5o_7sQCrWwpQ5xqzAk04bgVA</v>
      </c>
      <c r="E79" s="5" t="str">
        <f>IFERROR(__xludf.DUMMYFUNCTION("""COMPUTED_VALUE"""),"1VSynsMtKbK1ktIqRzKf6QEpnepidsJka")</f>
        <v>1VSynsMtKbK1ktIqRzKf6QEpnepidsJka</v>
      </c>
    </row>
    <row r="80" ht="15.75" customHeight="1">
      <c r="A80" s="5" t="str">
        <f>IFERROR(__xludf.DUMMYFUNCTION("""COMPUTED_VALUE"""),"768 - Algoritmos")</f>
        <v>768 - Algoritmos</v>
      </c>
      <c r="B80" s="5" t="str">
        <f>IFERROR(__xludf.DUMMYFUNCTION("""COMPUTED_VALUE"""),"1SjAd6zUsLAnVyCAYH7AjoRBdaM836qJGVSbcpa5npcA")</f>
        <v>1SjAd6zUsLAnVyCAYH7AjoRBdaM836qJGVSbcpa5npcA</v>
      </c>
      <c r="C80" s="5" t="str">
        <f>IFERROR(__xludf.DUMMYFUNCTION("""COMPUTED_VALUE"""),"1afm0IKlaJOgHVN4bCH6AUAoNUqhq0_44_T5aENeyCWo")</f>
        <v>1afm0IKlaJOgHVN4bCH6AUAoNUqhq0_44_T5aENeyCWo</v>
      </c>
      <c r="D80" s="5" t="str">
        <f>IFERROR(__xludf.DUMMYFUNCTION("""COMPUTED_VALUE"""),"1G1fW33CrLmmI1Pxdgw_cAdUJKRHg8LpG4-p2vnoWUqw")</f>
        <v>1G1fW33CrLmmI1Pxdgw_cAdUJKRHg8LpG4-p2vnoWUqw</v>
      </c>
      <c r="E80" s="5" t="str">
        <f>IFERROR(__xludf.DUMMYFUNCTION("""COMPUTED_VALUE"""),"1ySU7wJA5-EonRSWzEsgL03LPoX0Yz7rw")</f>
        <v>1ySU7wJA5-EonRSWzEsgL03LPoX0Yz7rw</v>
      </c>
    </row>
    <row r="81" ht="15.75" customHeight="1">
      <c r="A81" s="5" t="str">
        <f>IFERROR(__xludf.DUMMYFUNCTION("""COMPUTED_VALUE"""),"0089 - Comunicación Asertiva")</f>
        <v>0089 - Comunicación Asertiva</v>
      </c>
      <c r="B81" s="5"/>
      <c r="C81" s="5"/>
      <c r="D81" s="5" t="str">
        <f>IFERROR(__xludf.DUMMYFUNCTION("""COMPUTED_VALUE"""),"1_Ei-qZBLFjKXYNiETo-SLQ_i6LLtwBqz0DelGIPi31I")</f>
        <v>1_Ei-qZBLFjKXYNiETo-SLQ_i6LLtwBqz0DelGIPi31I</v>
      </c>
      <c r="E81" s="5" t="str">
        <f>IFERROR(__xludf.DUMMYFUNCTION("""COMPUTED_VALUE"""),"10NGlQjOf6PbS47vS9QrPsz0UIEnfLTPH")</f>
        <v>10NGlQjOf6PbS47vS9QrPsz0UIEnfLTPH</v>
      </c>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ht="15.75" customHeight="1">
      <c r="A261" s="5"/>
      <c r="B261" s="5"/>
      <c r="C261" s="5"/>
      <c r="D261" s="5"/>
      <c r="E261" s="5"/>
    </row>
    <row r="262" ht="15.75" customHeight="1">
      <c r="A262" s="5"/>
      <c r="B262" s="5"/>
      <c r="C262" s="5"/>
      <c r="D262" s="5"/>
      <c r="E262" s="5"/>
    </row>
    <row r="263" ht="15.75" customHeight="1">
      <c r="A263" s="5"/>
      <c r="B263" s="5"/>
      <c r="C263" s="5"/>
      <c r="D263" s="5"/>
      <c r="E263" s="5"/>
    </row>
    <row r="264" ht="15.75" customHeight="1">
      <c r="A264" s="5"/>
      <c r="B264" s="5"/>
      <c r="C264" s="5"/>
      <c r="D264" s="5"/>
      <c r="E264" s="5"/>
    </row>
    <row r="265" ht="15.75" customHeight="1">
      <c r="A265" s="5"/>
      <c r="B265" s="5"/>
      <c r="C265" s="5"/>
      <c r="D265" s="5"/>
      <c r="E265" s="5"/>
    </row>
    <row r="266" ht="15.75" customHeight="1">
      <c r="A266" s="5"/>
      <c r="B266" s="5"/>
      <c r="C266" s="5"/>
      <c r="D266" s="5"/>
      <c r="E266" s="5"/>
    </row>
    <row r="267" ht="15.75" customHeight="1">
      <c r="A267" s="5"/>
      <c r="B267" s="5"/>
      <c r="C267" s="5"/>
      <c r="D267" s="5"/>
      <c r="E267" s="5"/>
    </row>
    <row r="268" ht="15.75" customHeight="1">
      <c r="A268" s="5"/>
      <c r="B268" s="5"/>
      <c r="C268" s="5"/>
      <c r="D268" s="5"/>
      <c r="E268" s="5"/>
    </row>
    <row r="269" ht="15.75" customHeight="1">
      <c r="A269" s="5"/>
      <c r="B269" s="5"/>
      <c r="C269" s="5"/>
      <c r="D269" s="5"/>
      <c r="E269" s="5"/>
    </row>
    <row r="270" ht="15.75" customHeight="1">
      <c r="A270" s="5"/>
      <c r="B270" s="5"/>
      <c r="C270" s="5"/>
      <c r="D270" s="5"/>
      <c r="E270" s="5"/>
    </row>
    <row r="271" ht="15.75" customHeight="1">
      <c r="A271" s="5"/>
      <c r="B271" s="5"/>
      <c r="C271" s="5"/>
      <c r="D271" s="5"/>
      <c r="E271" s="5"/>
    </row>
    <row r="272" ht="15.75" customHeight="1">
      <c r="A272" s="5"/>
      <c r="B272" s="5"/>
      <c r="C272" s="5"/>
      <c r="D272" s="5"/>
      <c r="E272" s="5"/>
    </row>
    <row r="273" ht="15.75" customHeight="1">
      <c r="A273" s="5"/>
      <c r="B273" s="5"/>
      <c r="C273" s="5"/>
      <c r="D273" s="5"/>
      <c r="E273" s="5"/>
    </row>
    <row r="274" ht="15.75" customHeight="1">
      <c r="A274" s="5"/>
      <c r="B274" s="5"/>
      <c r="C274" s="5"/>
      <c r="D274" s="5"/>
      <c r="E274" s="5"/>
    </row>
    <row r="275" ht="15.75" customHeight="1">
      <c r="A275" s="5"/>
      <c r="B275" s="5"/>
      <c r="C275" s="5"/>
      <c r="D275" s="5"/>
      <c r="E275" s="5"/>
    </row>
    <row r="276" ht="15.75" customHeight="1">
      <c r="A276" s="5"/>
      <c r="B276" s="5"/>
      <c r="C276" s="5"/>
      <c r="D276" s="5"/>
      <c r="E276" s="5"/>
    </row>
    <row r="277" ht="15.75" customHeight="1">
      <c r="A277" s="5"/>
      <c r="B277" s="5"/>
      <c r="C277" s="5"/>
      <c r="D277" s="5"/>
      <c r="E277" s="5"/>
    </row>
    <row r="278" ht="15.75" customHeight="1">
      <c r="A278" s="5"/>
      <c r="B278" s="5"/>
      <c r="C278" s="5"/>
      <c r="D278" s="5"/>
      <c r="E278" s="5"/>
    </row>
    <row r="279" ht="15.75" customHeight="1">
      <c r="A279" s="5"/>
      <c r="B279" s="5"/>
      <c r="C279" s="5"/>
      <c r="D279" s="5"/>
      <c r="E279" s="5"/>
    </row>
    <row r="280" ht="15.75" customHeight="1">
      <c r="A280" s="5"/>
      <c r="B280" s="5"/>
      <c r="C280" s="5"/>
      <c r="D280" s="5"/>
      <c r="E280" s="5"/>
    </row>
    <row r="281" ht="15.75" customHeight="1">
      <c r="A281" s="5"/>
      <c r="B281" s="5"/>
      <c r="C281" s="5"/>
      <c r="D281" s="5"/>
      <c r="E281" s="5"/>
    </row>
    <row r="282" ht="15.75" customHeight="1">
      <c r="A282" s="5"/>
      <c r="B282" s="5"/>
      <c r="C282" s="5"/>
      <c r="D282" s="5"/>
      <c r="E282" s="5"/>
    </row>
    <row r="283" ht="15.75" customHeight="1">
      <c r="A283" s="5"/>
      <c r="B283" s="5"/>
      <c r="C283" s="5"/>
      <c r="D283" s="5"/>
      <c r="E283" s="5"/>
    </row>
    <row r="284" ht="15.75" customHeight="1">
      <c r="A284" s="5"/>
      <c r="B284" s="5"/>
      <c r="C284" s="5"/>
      <c r="D284" s="5"/>
      <c r="E284" s="5"/>
    </row>
    <row r="285" ht="15.75" customHeight="1">
      <c r="A285" s="5"/>
      <c r="B285" s="5"/>
      <c r="C285" s="5"/>
      <c r="D285" s="5"/>
      <c r="E285" s="5"/>
    </row>
    <row r="286" ht="15.75" customHeight="1">
      <c r="A286" s="5"/>
      <c r="B286" s="5"/>
      <c r="C286" s="5"/>
      <c r="D286" s="5"/>
      <c r="E286" s="5"/>
    </row>
    <row r="287" ht="15.75" customHeight="1">
      <c r="A287" s="5"/>
      <c r="B287" s="5"/>
      <c r="C287" s="5"/>
      <c r="D287" s="5"/>
      <c r="E287" s="5"/>
    </row>
    <row r="288" ht="15.75" customHeight="1">
      <c r="A288" s="5"/>
      <c r="B288" s="5"/>
      <c r="C288" s="5"/>
      <c r="D288" s="5"/>
      <c r="E288" s="5"/>
    </row>
    <row r="289" ht="15.75" customHeight="1">
      <c r="A289" s="5"/>
      <c r="B289" s="5"/>
      <c r="C289" s="5"/>
      <c r="D289" s="5"/>
      <c r="E289" s="5"/>
    </row>
    <row r="290" ht="15.75" customHeight="1">
      <c r="A290" s="5"/>
      <c r="B290" s="5"/>
      <c r="C290" s="5"/>
      <c r="D290" s="5"/>
      <c r="E290" s="5"/>
    </row>
    <row r="291" ht="15.75" customHeight="1">
      <c r="A291" s="5"/>
      <c r="B291" s="5"/>
      <c r="C291" s="5"/>
      <c r="D291" s="5"/>
      <c r="E291" s="5"/>
    </row>
    <row r="292" ht="15.75" customHeight="1">
      <c r="A292" s="5"/>
      <c r="B292" s="5"/>
      <c r="C292" s="5"/>
      <c r="D292" s="5"/>
      <c r="E292" s="5"/>
    </row>
    <row r="293" ht="15.75" customHeight="1">
      <c r="A293" s="5"/>
      <c r="B293" s="5"/>
      <c r="C293" s="5"/>
      <c r="D293" s="5"/>
      <c r="E293" s="5"/>
    </row>
    <row r="294" ht="15.75" customHeight="1">
      <c r="A294" s="5"/>
      <c r="B294" s="5"/>
      <c r="C294" s="5"/>
      <c r="D294" s="5"/>
      <c r="E294" s="5"/>
    </row>
    <row r="295" ht="15.75" customHeight="1">
      <c r="A295" s="5"/>
      <c r="B295" s="5"/>
      <c r="C295" s="5"/>
      <c r="D295" s="5"/>
      <c r="E295" s="5"/>
    </row>
    <row r="296" ht="15.75" customHeight="1">
      <c r="A296" s="5"/>
      <c r="B296" s="5"/>
      <c r="C296" s="5"/>
      <c r="D296" s="5"/>
      <c r="E296" s="5"/>
    </row>
    <row r="297" ht="15.75" customHeight="1">
      <c r="A297" s="5"/>
      <c r="B297" s="5"/>
      <c r="C297" s="5"/>
      <c r="D297" s="5"/>
      <c r="E297" s="5"/>
    </row>
    <row r="298" ht="15.75" customHeight="1">
      <c r="A298" s="5"/>
      <c r="B298" s="5"/>
      <c r="C298" s="5"/>
      <c r="D298" s="5"/>
      <c r="E298" s="5"/>
    </row>
    <row r="299" ht="15.75" customHeight="1">
      <c r="A299" s="5"/>
      <c r="B299" s="5"/>
      <c r="C299" s="5"/>
      <c r="D299" s="5"/>
      <c r="E299" s="5"/>
    </row>
    <row r="300" ht="15.75" customHeight="1">
      <c r="A300" s="5"/>
      <c r="B300" s="5"/>
      <c r="C300" s="5"/>
      <c r="D300" s="5"/>
      <c r="E300" s="5"/>
    </row>
    <row r="301" ht="15.75" customHeight="1">
      <c r="A301" s="5"/>
      <c r="B301" s="5"/>
      <c r="C301" s="5"/>
      <c r="D301" s="5"/>
      <c r="E301" s="5"/>
    </row>
    <row r="302" ht="15.75" customHeight="1">
      <c r="A302" s="5"/>
      <c r="B302" s="5"/>
      <c r="C302" s="5"/>
      <c r="D302" s="5"/>
      <c r="E302" s="5"/>
    </row>
    <row r="303" ht="15.75" customHeight="1">
      <c r="A303" s="5"/>
      <c r="B303" s="5"/>
      <c r="C303" s="5"/>
      <c r="D303" s="5"/>
      <c r="E303" s="5"/>
    </row>
    <row r="304" ht="15.75" customHeight="1">
      <c r="A304" s="5"/>
      <c r="B304" s="5"/>
      <c r="C304" s="5"/>
      <c r="D304" s="5"/>
      <c r="E304" s="5"/>
    </row>
    <row r="305" ht="15.75" customHeight="1">
      <c r="A305" s="5"/>
      <c r="B305" s="5"/>
      <c r="C305" s="5"/>
      <c r="D305" s="5"/>
      <c r="E305" s="5"/>
    </row>
    <row r="306" ht="15.75" customHeight="1">
      <c r="A306" s="5"/>
      <c r="B306" s="5"/>
      <c r="C306" s="5"/>
      <c r="D306" s="5"/>
      <c r="E306" s="5"/>
    </row>
    <row r="307" ht="15.75" customHeight="1">
      <c r="A307" s="5"/>
      <c r="B307" s="5"/>
      <c r="C307" s="5"/>
      <c r="D307" s="5"/>
      <c r="E307" s="5"/>
    </row>
    <row r="308" ht="15.75" customHeight="1">
      <c r="A308" s="5"/>
      <c r="B308" s="5"/>
      <c r="C308" s="5"/>
      <c r="D308" s="5"/>
      <c r="E308" s="5"/>
    </row>
    <row r="309" ht="15.75" customHeight="1">
      <c r="A309" s="5"/>
      <c r="B309" s="5"/>
      <c r="C309" s="5"/>
      <c r="D309" s="5"/>
      <c r="E309" s="5"/>
    </row>
    <row r="310" ht="15.75" customHeight="1">
      <c r="A310" s="5"/>
      <c r="B310" s="5"/>
      <c r="C310" s="5"/>
      <c r="D310" s="5"/>
      <c r="E310" s="5"/>
    </row>
    <row r="311" ht="15.75" customHeight="1">
      <c r="A311" s="5"/>
      <c r="B311" s="5"/>
      <c r="C311" s="5"/>
      <c r="D311" s="5"/>
      <c r="E311" s="5"/>
    </row>
    <row r="312" ht="15.75" customHeight="1">
      <c r="A312" s="5"/>
      <c r="B312" s="5"/>
      <c r="C312" s="5"/>
      <c r="D312" s="5"/>
      <c r="E312" s="5"/>
    </row>
    <row r="313" ht="15.75" customHeight="1">
      <c r="A313" s="5"/>
      <c r="B313" s="5"/>
      <c r="C313" s="5"/>
      <c r="D313" s="5"/>
      <c r="E313" s="5"/>
    </row>
    <row r="314" ht="15.75" customHeight="1">
      <c r="A314" s="5"/>
      <c r="B314" s="5"/>
      <c r="C314" s="5"/>
      <c r="D314" s="5"/>
      <c r="E314" s="5"/>
    </row>
    <row r="315" ht="15.75" customHeight="1">
      <c r="A315" s="5"/>
      <c r="B315" s="5"/>
      <c r="C315" s="5"/>
      <c r="D315" s="5"/>
      <c r="E315" s="5"/>
    </row>
    <row r="316" ht="15.75" customHeight="1">
      <c r="A316" s="5"/>
      <c r="B316" s="5"/>
      <c r="C316" s="5"/>
      <c r="D316" s="5"/>
      <c r="E316" s="5"/>
    </row>
    <row r="317" ht="15.75" customHeight="1">
      <c r="A317" s="5"/>
      <c r="B317" s="5"/>
      <c r="C317" s="5"/>
      <c r="D317" s="5"/>
      <c r="E317" s="5"/>
    </row>
    <row r="318" ht="15.75" customHeight="1">
      <c r="A318" s="5"/>
      <c r="B318" s="5"/>
      <c r="C318" s="5"/>
      <c r="D318" s="5"/>
      <c r="E318" s="5"/>
    </row>
    <row r="319" ht="15.75" customHeight="1">
      <c r="A319" s="5"/>
      <c r="B319" s="5"/>
      <c r="C319" s="5"/>
      <c r="D319" s="5"/>
      <c r="E319" s="5"/>
    </row>
    <row r="320" ht="15.75" customHeight="1">
      <c r="A320" s="5"/>
      <c r="B320" s="5"/>
      <c r="C320" s="5"/>
      <c r="D320" s="5"/>
      <c r="E320" s="5"/>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sheetData>
  <mergeCells count="4">
    <mergeCell ref="K15:L15"/>
    <mergeCell ref="N15:O15"/>
    <mergeCell ref="I16:P16"/>
    <mergeCell ref="I24:P24"/>
  </mergeCells>
  <drawing r:id="rId1"/>
</worksheet>
</file>