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úbrica Proyecto 1" sheetId="1" r:id="rId4"/>
  </sheets>
  <definedNames/>
  <calcPr/>
  <extLst>
    <ext uri="GoogleSheetsCustomDataVersion2">
      <go:sheetsCustomData xmlns:go="http://customooxmlschemas.google.com/" r:id="rId5" roundtripDataChecksum="tQcRjI7XCNwlReOTbAxGTm8UXBUOR50CDGzbK6dZV7g="/>
    </ext>
  </extLst>
</workbook>
</file>

<file path=xl/sharedStrings.xml><?xml version="1.0" encoding="utf-8"?>
<sst xmlns="http://schemas.openxmlformats.org/spreadsheetml/2006/main" count="264" uniqueCount="170">
  <si>
    <t>RÚBRICA DE CALIFICACIÓN - PROYECTO 1</t>
  </si>
  <si>
    <t>No.</t>
  </si>
  <si>
    <t>Criterio de evaluación</t>
  </si>
  <si>
    <t>Punteo máximo</t>
  </si>
  <si>
    <t>Satisfactorio (100%-61%)</t>
  </si>
  <si>
    <t>Necesita mejorar (60%-0%)</t>
  </si>
  <si>
    <t>Obtenido</t>
  </si>
  <si>
    <t>CONOCIMIENTOS</t>
  </si>
  <si>
    <t>1</t>
  </si>
  <si>
    <t>VTP (VLAN TRUNKING PROTOCOL)</t>
  </si>
  <si>
    <t>1.1</t>
  </si>
  <si>
    <t>VTP Servidor configurado correctamente</t>
  </si>
  <si>
    <t>Descripción</t>
  </si>
  <si>
    <t>El switch VTP Server está configurado con el dominio y contraseña correctos, modo server, y las VLANs se sincronizan exitosamente con los clientes.</t>
  </si>
  <si>
    <t>El switch no está en modo server, el dominio VTP es incorrecto, falta contraseña o las VLANs no se sincronizan.</t>
  </si>
  <si>
    <t>Rango del punteo</t>
  </si>
  <si>
    <t>2 - 1 / 2</t>
  </si>
  <si>
    <t>0 /</t>
  </si>
  <si>
    <t>1.2</t>
  </si>
  <si>
    <t>VTP Cliente configurado correctamente en todos los switches</t>
  </si>
  <si>
    <t>Todos los switches cliente están en modo VTP client, pertenecen al mismo dominio que el servidor y reciben correctamente las VLANs propagadas.</t>
  </si>
  <si>
    <t>Algunos switches no están en modo client, no pertenecen al dominio correcto o no reciben las VLANs.</t>
  </si>
  <si>
    <t>2 - 1 /</t>
  </si>
  <si>
    <t>0 / 0.5</t>
  </si>
  <si>
    <t>0.5</t>
  </si>
  <si>
    <t>Puntos</t>
  </si>
  <si>
    <t>2</t>
  </si>
  <si>
    <t>COMUNICACIÓN ENTRE VLANS Y ACLS</t>
  </si>
  <si>
    <t>2.1</t>
  </si>
  <si>
    <t>Comunicación exitosa entre VLAN Verde de ambos edificios</t>
  </si>
  <si>
    <t>Los dispositivos de VLAN Verde del edificio izquierdo pueden hacer ping exitoso a dispositivos de VLAN Verde del edificio derecho y viceversa.</t>
  </si>
  <si>
    <t>La comunicación entre VLANs Verde falla, hay pérdida de paquetes o no existe conectividad.</t>
  </si>
  <si>
    <t>4 - 3 /</t>
  </si>
  <si>
    <t>2 - 0 /</t>
  </si>
  <si>
    <t>2.2</t>
  </si>
  <si>
    <t>Bloqueo efectivo de comunicación entre VLAN Verde y VLAN Naranja</t>
  </si>
  <si>
    <t>Las ACLs están configuradas correctamente y bloquean toda comunicación entre VLAN Verde y VLAN Naranja en ambas direcciones. Ping entre estas VLANs falla como debe ser.</t>
  </si>
  <si>
    <t>Las ACLs no bloquean la comunicación o están mal configuradas permitiendo tráfico no autorizado.</t>
  </si>
  <si>
    <t>2.3</t>
  </si>
  <si>
    <t>Comunicación exitosa entre VLAN Naranja de ambos edificios</t>
  </si>
  <si>
    <t>Los dispositivos de VLAN Naranja del edificio izquierdo pueden hacer ping exitoso a dispositivos de VLAN Naranja del edificio derecho y viceversa.</t>
  </si>
  <si>
    <t>La comunicación entre VLANs Naranja falla, hay pérdida de paquetes o no existe conectividad.</t>
  </si>
  <si>
    <t>2.4</t>
  </si>
  <si>
    <t>Bloqueo efectivo de comunicación entre VLAN Naranja y VLAN Verde</t>
  </si>
  <si>
    <t>Las ACLs están configuradas correctamente y bloquean toda comunicación entre VLAN Naranja y VLAN Verde en ambas direcciones.</t>
  </si>
  <si>
    <t>Las ACLs no bloquean la comunicación o permiten tráfico no autorizado entre estas VLANs.</t>
  </si>
  <si>
    <t>2.5</t>
  </si>
  <si>
    <t>VLAN ADMIN puede comunicarse con todas las VLANs</t>
  </si>
  <si>
    <t>Los dispositivos de VLAN ADMIN pueden iniciar comunicación (ping) exitosa hacia cualquier dispositivo de VLAN Verde y VLAN Naranja de ambos edificios.</t>
  </si>
  <si>
    <t>VLAN ADMIN no puede comunicarse con alguna de las VLANs o la comunicación es parcial.</t>
  </si>
  <si>
    <t>2.6</t>
  </si>
  <si>
    <t>Bloqueo de comunicación iniciada desde otras VLANs hacia VLAN ADMIN</t>
  </si>
  <si>
    <t>Las ACLs implementan correctamente control unidireccional: ADMIN puede iniciar comunicación, pero ninguna otra VLAN puede iniciar ping hacia ADMIN.</t>
  </si>
  <si>
    <t>Otras VLANs pueden iniciar comunicación con ADMIN o el control unidireccional no funciona.</t>
  </si>
  <si>
    <t>3</t>
  </si>
  <si>
    <t>ENRUTAMIENTO DINÁMICO (OSPF O EIGRP)</t>
  </si>
  <si>
    <t>3.1</t>
  </si>
  <si>
    <t>Protocolo de enrutamiento configurado correctamente entre edificios (Red MAN)</t>
  </si>
  <si>
    <t>OSPF (carné pares) o EIGRP (carné impares) está configurado correctamente en los MSW Cisco 3650 que interconectan los 4 edificios. Las rutas se propagan exitosamente.</t>
  </si>
  <si>
    <t>El protocolo no está configurado, las rutas no se propagan o hay problemas de adyacencia.</t>
  </si>
  <si>
    <t>3 -2 /</t>
  </si>
  <si>
    <t>1 - 0 /</t>
  </si>
  <si>
    <t>3.2</t>
  </si>
  <si>
    <t>Protocolo de enrutamiento configurado para inter-VLAN en edificios con LACP/PAgP</t>
  </si>
  <si>
    <t>OSPF o EIGRP está configurado en switches multicapa para enrutamiento inter-VLAN en edificios izquierdo y derecho.</t>
  </si>
  <si>
    <t>El enrutamiento inter-VLAN no funciona o no usa el protocolo dinámico requerido.</t>
  </si>
  <si>
    <t>3.3</t>
  </si>
  <si>
    <t>Conexiones con fibra óptica (GigabitEthernet) entre MSW Cisco 3650</t>
  </si>
  <si>
    <t>Las conexiones entre edificios usan módulos de fibra óptica (GigabitEthernet) en los MSW 3650.</t>
  </si>
  <si>
    <t>Las conexiones no usan fibra óptica o usan interfaces incorrectas.</t>
  </si>
  <si>
    <t>1 /</t>
  </si>
  <si>
    <t>4</t>
  </si>
  <si>
    <t>LACP (LINK AGGREGATION CONTROL PROTOCOL)</t>
  </si>
  <si>
    <t>4.1</t>
  </si>
  <si>
    <t>5 enlaces LACP capa 2 configurados correctamente en edificio izquierdo</t>
  </si>
  <si>
    <t>Los 5 enlaces LACP están configurados en modo activo o pasivo según corresponda, los canales están formados (up), y funcionan correctamente para agregación de ancho de banda.</t>
  </si>
  <si>
    <t>Algunos enlaces LACP no están formados, están en modo incorrecto o no funcionan adecuadamente.</t>
  </si>
  <si>
    <t>4 - 2 /</t>
  </si>
  <si>
    <t>4.2</t>
  </si>
  <si>
    <t>Tolerancia a fallos: Sin pérdida de paquetes al deshabilitar un puerto LACP</t>
  </si>
  <si>
    <t>Al deshabilitar un puerto de cualquier canal LACP, no hay pérdida de paquetes ni interrupción del servicio. El tráfico se redistribuye automáticamente.</t>
  </si>
  <si>
    <t>Hay pérdida de paquetes, interrupción del servicio o el tráfico no se redistribuye al deshabilitar un puerto.</t>
  </si>
  <si>
    <t>5</t>
  </si>
  <si>
    <t>PAGP (PORT AGGREGATION PROTOCOL)</t>
  </si>
  <si>
    <t>5.1</t>
  </si>
  <si>
    <t>3 enlaces PAgP capa 2 configurados correctamente en edificio derecho</t>
  </si>
  <si>
    <t>Los 3 enlaces PAgP están configurados en modo desirable o auto según corresponda, los canales están formados y funcionan correctamente.</t>
  </si>
  <si>
    <t>Algunos enlaces PAgP no están formados, modo incorrecto o no funcionan adecuadamente.</t>
  </si>
  <si>
    <t>5.2</t>
  </si>
  <si>
    <t>PAgP capa 3 configurado correctamente (si aplica según topología)</t>
  </si>
  <si>
    <t>Si la topología requiere PAgP en capa 3, está configurado correctamente con direcciones IP en la interfaz de port-channel.</t>
  </si>
  <si>
    <t>PAgP capa 3 no está configurado correctamente o falta direccionamiento IP.</t>
  </si>
  <si>
    <t>5.3</t>
  </si>
  <si>
    <t>Tolerancia a fallos en enlaces PAgP</t>
  </si>
  <si>
    <t>Al deshabilitar un puerto de cualquier canal PAgP, no hay pérdida significativa de paquetes y el tráfico se redistribuye.</t>
  </si>
  <si>
    <t>Hay pérdida de paquetes o interrupción del servicio al deshabilitar un puerto PAgP.</t>
  </si>
  <si>
    <t>6</t>
  </si>
  <si>
    <t>DHCP (DYNAMIC HOST CONFIGURATION PROTOCOL)</t>
  </si>
  <si>
    <t>6.1</t>
  </si>
  <si>
    <t>Servidor DHCP izquierdo configurado con pools para sus VLANs</t>
  </si>
  <si>
    <t>El servidor DHCP izquierdo tiene configurados pools de direcciones IP para VLAN Naranja y Verde del edificio izquierdo, con rangos, gateway y DNS correctos.</t>
  </si>
  <si>
    <t>Faltan pools, rangos incorrectos o configuración incompleta del servidor DHCP izquierdo.</t>
  </si>
  <si>
    <t>6.2</t>
  </si>
  <si>
    <t>Servidor DHCP derecho configurado con pools para sus VLANs</t>
  </si>
  <si>
    <t>El servidor DHCP derecho tiene configurados pools de direcciones IP para VLAN Naranja y Verde del edificio derecho, con rangos, gateway y DNS correctos.</t>
  </si>
  <si>
    <t>Faltan pools, rangos incorrectos o configuración incompleta del servidor DHCP derecho.</t>
  </si>
  <si>
    <t>6.3</t>
  </si>
  <si>
    <t>DHCP Relay (IP Helper) configurado en routers</t>
  </si>
  <si>
    <t>Los routers tienen configurado ip helper-address correctamente en las interfaces VLAN para reenviar solicitudes DHCP a los servidores correspondientes.</t>
  </si>
  <si>
    <t>Falta configuración de DHCP Relay o está mal configurado en algunos routers.</t>
  </si>
  <si>
    <t>6.4</t>
  </si>
  <si>
    <t>Todos los dispositivos finales obtienen IP dinámica de DHCP</t>
  </si>
  <si>
    <t>TODOS los PCs y laptops de la red obtienen direcciones IP automáticamente de los servidores DHCP. No hay IPs estáticas en dispositivos finales.</t>
  </si>
  <si>
    <t>Algunos dispositivos tienen IP estática, no obtienen IP de DHCP o hay fallos en la asignación.</t>
  </si>
  <si>
    <t>7</t>
  </si>
  <si>
    <t>MANUAL TÉCNICO Y DOCUMENTACIÓN</t>
  </si>
  <si>
    <t>7.1</t>
  </si>
  <si>
    <t>README.md con topología y diseño de subnetting VLSM/FLSM</t>
  </si>
  <si>
    <t>El README incluye descripción/diagrama de topología y tablas completas de subnetting VLSM (VLANs) y FLSM (enlaces), con rangos, broadcast, gateway.</t>
  </si>
  <si>
    <t>Falta topología, subnetting incompleto o documentación poco clara.</t>
  </si>
  <si>
    <t>3 - 2 /</t>
  </si>
  <si>
    <t>7.2</t>
  </si>
  <si>
    <t>Documentación de configuraciones DHCP</t>
  </si>
  <si>
    <t>El manual documenta pools configurados, rangos de direcciones, gateways y configuración de DHCP Relay.</t>
  </si>
  <si>
    <t>Documentación DHCP incompleta o poco detallada.</t>
  </si>
  <si>
    <t>7.3</t>
  </si>
  <si>
    <t>Documentación de ACLs utilizadas</t>
  </si>
  <si>
    <t>El manual documenta todas las ACLs: número, reglas (permit/deny), interfaz de aplicación, dirección (in/out) y justificación.</t>
  </si>
  <si>
    <t>Documentación de ACLs incompleta o falta justificación.</t>
  </si>
  <si>
    <t>7.4</t>
  </si>
  <si>
    <t>Comandos principales utilizados</t>
  </si>
  <si>
    <t>El manual incluye comandos clave para VLANs, VTP, LACP, PAgP, OSPF/EIGRP, DHCP y ACLs con explicaciones claras.</t>
  </si>
  <si>
    <t>Faltan comandos importantes o las explicaciones son insuficientes.</t>
  </si>
  <si>
    <t>TOTAL</t>
  </si>
  <si>
    <t>HABILIDADES</t>
  </si>
  <si>
    <t>8</t>
  </si>
  <si>
    <t>EVALUACIÓN DE CONOCIMIENTO INDIVIDUAL</t>
  </si>
  <si>
    <t>8.1</t>
  </si>
  <si>
    <t>Estudiante 1 - Evaluación oral/práctica</t>
  </si>
  <si>
    <t>El estudiante demuestra dominio completo del proyecto: explica claramente las configuraciones realizadas, justifica decisiones técnicas de diseño de red y subnetting, responde correctamente preguntas sobre LACP/PAgP, ACLs, DHCP y protocolos de enrutamiento.</t>
  </si>
  <si>
    <t>El estudiante no puede explicar las configuraciones, no comprende los conceptos implementados (VLANs, ACLs, agregación, DHCP), no puede justificar decisiones técnicas o no responde correctamente las preguntas.</t>
  </si>
  <si>
    <t>20 - 10 /</t>
  </si>
  <si>
    <t>10 - 0 /</t>
  </si>
  <si>
    <t>PENALIZACIONES</t>
  </si>
  <si>
    <t>P1</t>
  </si>
  <si>
    <t>Topología diferente a la solicitada</t>
  </si>
  <si>
    <t>-60%</t>
  </si>
  <si>
    <t>Se penaliza con el 60% del punteo total si la topología implementada difiere significativamente de la solicitada.</t>
  </si>
  <si>
    <t>P2</t>
  </si>
  <si>
    <t>Sin seguimiento por medio de Github o Gitlab</t>
  </si>
  <si>
    <t>-10%</t>
  </si>
  <si>
    <t>No se realizó control de versiones o seguimiento del proyecto en repositorio Git.</t>
  </si>
  <si>
    <t>P3</t>
  </si>
  <si>
    <t>Nombre del repositorio o organización de carpetas errónea</t>
  </si>
  <si>
    <t>-5%</t>
  </si>
  <si>
    <t>El nombre del repositorio no sigue las convenciones establecidas o la estructura de carpetas es incorrecta.</t>
  </si>
  <si>
    <t>P4</t>
  </si>
  <si>
    <t>Impuntualidad en la calificación</t>
  </si>
  <si>
    <t>El grupo no se presenta puntualmente a la sesión de calificación establecida.</t>
  </si>
  <si>
    <t>P5</t>
  </si>
  <si>
    <t>Entrega tarde</t>
  </si>
  <si>
    <t>-10 a -100%</t>
  </si>
  <si>
    <t>Se penaliza progresivamente según el tiempo de retraso.</t>
  </si>
  <si>
    <t>P6</t>
  </si>
  <si>
    <t>No están todos los estudiantes presentes en la calificación</t>
  </si>
  <si>
    <t>Algún miembro del grupo no está presente durante la sesión de calificación.</t>
  </si>
  <si>
    <t xml:space="preserve">ADVERTENCIA </t>
  </si>
  <si>
    <t>A1</t>
  </si>
  <si>
    <t>Con el objetivo de optimizar el proceso de calificación, si durante los horarios establecidos se presentan tiempos muertos, se podrá realizar un corrimiento en el orden de calificaciones. En caso de que un estudiante se presente antes del horario que le corresponde, deberá esperar a que finalice la evaluación del estudiante que esté siendo atendido en ese momento.</t>
  </si>
  <si>
    <t>TOTAL FINAL</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</si>
</sst>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4.0"/>
      <color rgb="FFFFFFFF"/>
      <name val="Calibri"/>
    </font>
    <font/>
    <font>
      <b/>
      <sz val="12.0"/>
      <color rgb="FFFFFFFF"/>
      <name val="Calibri"/>
    </font>
    <font>
      <b/>
      <sz val="11.0"/>
      <color rgb="FFFFFFFF"/>
      <name val="Calibri"/>
    </font>
    <font>
      <sz val="11.0"/>
      <color theme="1"/>
      <name val="Calibri"/>
    </font>
    <font>
      <b/>
      <sz val="11.0"/>
      <color theme="1"/>
      <name val="Calibri"/>
    </font>
    <font>
      <b/>
      <sz val="12.0"/>
      <color theme="1"/>
      <name val="Calibri"/>
    </font>
    <font>
      <sz val="11.0"/>
      <color rgb="FFFFFFFF"/>
      <name val="Calibri"/>
    </font>
    <font>
      <sz val="11.0"/>
      <color rgb="FF000000"/>
      <name val="Calibri"/>
    </font>
  </fonts>
  <fills count="9">
    <fill>
      <patternFill patternType="none"/>
    </fill>
    <fill>
      <patternFill patternType="lightGray"/>
    </fill>
    <fill>
      <patternFill patternType="solid">
        <fgColor rgb="FF1F4E78"/>
        <bgColor rgb="FF1F4E78"/>
      </patternFill>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E7E6E6"/>
        <bgColor rgb="FFE7E6E6"/>
      </patternFill>
    </fill>
    <fill>
      <patternFill patternType="solid">
        <fgColor rgb="FFFFD966"/>
        <bgColor rgb="FFFFD966"/>
      </patternFill>
    </fill>
    <fill>
      <patternFill patternType="solid">
        <fgColor rgb="FFFF6B6B"/>
        <bgColor rgb="FFFF6B6B"/>
      </patternFill>
    </fill>
  </fills>
  <borders count="11">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2" fontId="3" numFmtId="0" xfId="0" applyAlignment="1" applyBorder="1" applyFont="1">
      <alignment horizontal="center" shrinkToFit="0" vertical="center" wrapText="1"/>
    </xf>
    <xf borderId="5" fillId="2" fontId="3" numFmtId="0" xfId="0" applyAlignment="1" applyBorder="1" applyFont="1">
      <alignment horizontal="left" shrinkToFit="0" vertical="center" wrapText="1"/>
    </xf>
    <xf borderId="6" fillId="0" fontId="2" numFmtId="0" xfId="0" applyBorder="1" applyFont="1"/>
    <xf borderId="7" fillId="0" fontId="2" numFmtId="0" xfId="0" applyBorder="1" applyFont="1"/>
    <xf borderId="4" fillId="3" fontId="4" numFmtId="0" xfId="0" applyAlignment="1" applyBorder="1" applyFill="1" applyFont="1">
      <alignment horizontal="center" shrinkToFit="0" vertical="center" wrapText="1"/>
    </xf>
    <xf borderId="4" fillId="3" fontId="4" numFmtId="0" xfId="0" applyAlignment="1" applyBorder="1" applyFont="1">
      <alignment horizontal="left" shrinkToFit="0" vertical="center" wrapText="1"/>
    </xf>
    <xf borderId="8" fillId="0" fontId="5" numFmtId="0" xfId="0" applyAlignment="1" applyBorder="1" applyFont="1">
      <alignment horizontal="center" shrinkToFit="0" vertical="center" wrapText="1"/>
    </xf>
    <xf borderId="8" fillId="0" fontId="5" numFmtId="0" xfId="0" applyAlignment="1" applyBorder="1" applyFont="1">
      <alignment horizontal="left" shrinkToFit="0" vertical="center" wrapText="1"/>
    </xf>
    <xf borderId="4" fillId="0" fontId="5" numFmtId="0" xfId="0" applyAlignment="1" applyBorder="1" applyFont="1">
      <alignment shrinkToFit="0" vertical="center" wrapText="1"/>
    </xf>
    <xf borderId="4" fillId="4" fontId="5" numFmtId="0" xfId="0" applyAlignment="1" applyBorder="1" applyFill="1" applyFont="1">
      <alignment horizontal="left" shrinkToFit="0" vertical="center" wrapText="1"/>
    </xf>
    <xf borderId="4" fillId="5" fontId="5" numFmtId="0" xfId="0" applyAlignment="1" applyBorder="1" applyFill="1" applyFont="1">
      <alignment horizontal="left" shrinkToFit="0" vertical="center" wrapText="1"/>
    </xf>
    <xf borderId="4" fillId="0" fontId="5" numFmtId="0" xfId="0" applyAlignment="1" applyBorder="1" applyFont="1">
      <alignment horizontal="center" shrinkToFit="0" vertical="center" wrapText="1"/>
    </xf>
    <xf borderId="9" fillId="0" fontId="2" numFmtId="0" xfId="0" applyBorder="1" applyFont="1"/>
    <xf borderId="9" fillId="0" fontId="5" numFmtId="0" xfId="0" applyAlignment="1" applyBorder="1" applyFont="1">
      <alignment shrinkToFit="0" vertical="center" wrapText="1"/>
    </xf>
    <xf quotePrefix="1" borderId="4" fillId="0" fontId="5" numFmtId="0" xfId="0" applyAlignment="1" applyBorder="1" applyFont="1">
      <alignment horizontal="center" readingOrder="0" vertical="center"/>
    </xf>
    <xf quotePrefix="1" borderId="4" fillId="0" fontId="5" numFmtId="0" xfId="0" applyAlignment="1" applyBorder="1" applyFont="1">
      <alignment horizontal="center" vertical="center"/>
    </xf>
    <xf borderId="4" fillId="0" fontId="5" numFmtId="0" xfId="0" applyAlignment="1" applyBorder="1" applyFont="1">
      <alignment horizontal="center" readingOrder="0" shrinkToFit="0" vertical="center" wrapText="1"/>
    </xf>
    <xf borderId="4" fillId="0" fontId="5" numFmtId="0" xfId="0" applyBorder="1" applyFont="1"/>
    <xf borderId="4" fillId="0" fontId="6" numFmtId="0" xfId="0" applyBorder="1" applyFont="1"/>
    <xf borderId="4" fillId="0" fontId="6" numFmtId="0" xfId="0" applyAlignment="1" applyBorder="1" applyFont="1">
      <alignment horizontal="center"/>
    </xf>
    <xf borderId="4" fillId="0" fontId="5" numFmtId="0" xfId="0" applyAlignment="1" applyBorder="1" applyFont="1">
      <alignment readingOrder="0"/>
    </xf>
    <xf borderId="4" fillId="6" fontId="6" numFmtId="0" xfId="0" applyAlignment="1" applyBorder="1" applyFill="1" applyFont="1">
      <alignment readingOrder="0"/>
    </xf>
    <xf borderId="4" fillId="6" fontId="6" numFmtId="0" xfId="0" applyBorder="1" applyFont="1"/>
    <xf borderId="4" fillId="4" fontId="5" numFmtId="0" xfId="0" applyAlignment="1" applyBorder="1" applyFont="1">
      <alignment horizontal="left" readingOrder="0" shrinkToFit="0" vertical="center" wrapText="1"/>
    </xf>
    <xf borderId="8" fillId="0" fontId="5" numFmtId="0" xfId="0" applyAlignment="1" applyBorder="1" applyFont="1">
      <alignment horizontal="center" readingOrder="0" shrinkToFit="0" vertical="center" wrapText="1"/>
    </xf>
    <xf borderId="5" fillId="7" fontId="7" numFmtId="0" xfId="0" applyBorder="1" applyFill="1" applyFont="1"/>
    <xf borderId="10" fillId="0" fontId="2" numFmtId="0" xfId="0" applyBorder="1" applyFont="1"/>
    <xf borderId="4" fillId="7" fontId="7" numFmtId="0" xfId="0" applyAlignment="1" applyBorder="1" applyFont="1">
      <alignment horizontal="center"/>
    </xf>
    <xf borderId="4" fillId="7" fontId="7" numFmtId="0" xfId="0" applyBorder="1" applyFont="1"/>
    <xf borderId="4" fillId="8" fontId="8" numFmtId="0" xfId="0" applyAlignment="1" applyBorder="1" applyFill="1" applyFont="1">
      <alignment horizontal="center" shrinkToFit="0" vertical="center" wrapText="1"/>
    </xf>
    <xf borderId="4" fillId="8" fontId="8" numFmtId="0" xfId="0" applyAlignment="1" applyBorder="1" applyFont="1">
      <alignment horizontal="left" shrinkToFit="0" vertical="center" wrapText="1"/>
    </xf>
    <xf borderId="5" fillId="8" fontId="8" numFmtId="0" xfId="0" applyAlignment="1" applyBorder="1" applyFont="1">
      <alignment horizontal="center" shrinkToFit="0" vertical="center" wrapText="1"/>
    </xf>
    <xf borderId="4" fillId="3" fontId="4" numFmtId="0" xfId="0" applyAlignment="1" applyBorder="1" applyFont="1">
      <alignment horizontal="left" readingOrder="0" shrinkToFit="0" vertical="center" wrapText="1"/>
    </xf>
    <xf borderId="4" fillId="7" fontId="8" numFmtId="0" xfId="0" applyAlignment="1" applyBorder="1" applyFont="1">
      <alignment horizontal="center" readingOrder="0" shrinkToFit="0" vertical="center" wrapText="1"/>
    </xf>
    <xf borderId="5" fillId="7" fontId="9" numFmtId="0" xfId="0" applyAlignment="1" applyBorder="1" applyFont="1">
      <alignment horizontal="left" readingOrder="0" shrinkToFit="0" vertical="center" wrapText="1"/>
    </xf>
    <xf borderId="5" fillId="2" fontId="1" numFmtId="0" xfId="0" applyBorder="1" applyFont="1"/>
    <xf borderId="4" fillId="2" fontId="1" numFmtId="0" xfId="0" applyAlignment="1" applyBorder="1" applyFont="1">
      <alignment horizontal="center"/>
    </xf>
    <xf borderId="4" fillId="2"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45.0"/>
    <col customWidth="1" min="3" max="3" width="12.0"/>
    <col customWidth="1" min="4" max="4" width="17.29"/>
    <col customWidth="1" min="5" max="6" width="50.0"/>
    <col customWidth="1" min="7" max="7" width="12.0"/>
    <col customWidth="1" min="8" max="26" width="9.14"/>
  </cols>
  <sheetData>
    <row r="1">
      <c r="A1" s="1" t="s">
        <v>0</v>
      </c>
      <c r="B1" s="2"/>
      <c r="C1" s="2"/>
      <c r="D1" s="2"/>
      <c r="E1" s="2"/>
      <c r="F1" s="2"/>
      <c r="G1" s="3"/>
    </row>
    <row r="2" ht="39.75" customHeight="1">
      <c r="A2" s="4" t="s">
        <v>1</v>
      </c>
      <c r="B2" s="4" t="s">
        <v>2</v>
      </c>
      <c r="C2" s="4" t="s">
        <v>3</v>
      </c>
      <c r="D2" s="4"/>
      <c r="E2" s="4" t="s">
        <v>4</v>
      </c>
      <c r="F2" s="4" t="s">
        <v>5</v>
      </c>
      <c r="G2" s="4" t="s">
        <v>6</v>
      </c>
    </row>
    <row r="3" ht="15.75" customHeight="1">
      <c r="A3" s="5" t="s">
        <v>7</v>
      </c>
      <c r="B3" s="6"/>
      <c r="C3" s="6"/>
      <c r="D3" s="6"/>
      <c r="E3" s="6"/>
      <c r="F3" s="6"/>
      <c r="G3" s="7"/>
    </row>
    <row r="4">
      <c r="A4" s="8" t="s">
        <v>8</v>
      </c>
      <c r="B4" s="9" t="s">
        <v>9</v>
      </c>
      <c r="C4" s="8"/>
      <c r="D4" s="8"/>
      <c r="E4" s="9"/>
      <c r="F4" s="9"/>
      <c r="G4" s="9"/>
    </row>
    <row r="5">
      <c r="A5" s="10" t="s">
        <v>10</v>
      </c>
      <c r="B5" s="11" t="s">
        <v>11</v>
      </c>
      <c r="C5" s="10">
        <v>2.0</v>
      </c>
      <c r="D5" s="12" t="s">
        <v>12</v>
      </c>
      <c r="E5" s="13" t="s">
        <v>13</v>
      </c>
      <c r="F5" s="14" t="s">
        <v>14</v>
      </c>
      <c r="G5" s="15"/>
    </row>
    <row r="6">
      <c r="A6" s="16"/>
      <c r="B6" s="16"/>
      <c r="C6" s="16"/>
      <c r="D6" s="17" t="s">
        <v>15</v>
      </c>
      <c r="E6" s="18" t="s">
        <v>16</v>
      </c>
      <c r="F6" s="19" t="s">
        <v>17</v>
      </c>
      <c r="G6" s="20">
        <v>2.0</v>
      </c>
    </row>
    <row r="7">
      <c r="A7" s="10" t="s">
        <v>18</v>
      </c>
      <c r="B7" s="11" t="s">
        <v>19</v>
      </c>
      <c r="C7" s="10">
        <v>2.0</v>
      </c>
      <c r="D7" s="12" t="s">
        <v>12</v>
      </c>
      <c r="E7" s="13" t="s">
        <v>20</v>
      </c>
      <c r="F7" s="14" t="s">
        <v>21</v>
      </c>
      <c r="G7" s="15"/>
    </row>
    <row r="8">
      <c r="A8" s="16"/>
      <c r="B8" s="16"/>
      <c r="C8" s="16"/>
      <c r="D8" s="17" t="s">
        <v>15</v>
      </c>
      <c r="E8" s="19" t="s">
        <v>22</v>
      </c>
      <c r="F8" s="18" t="s">
        <v>23</v>
      </c>
      <c r="G8" s="20" t="s">
        <v>24</v>
      </c>
    </row>
    <row r="9">
      <c r="A9" s="21"/>
      <c r="B9" s="22" t="s">
        <v>25</v>
      </c>
      <c r="C9" s="23">
        <f>SUM(C5:C7)</f>
        <v>4</v>
      </c>
      <c r="D9" s="23"/>
      <c r="E9" s="21"/>
      <c r="F9" s="24"/>
      <c r="G9" s="25">
        <v>2.0</v>
      </c>
    </row>
    <row r="10">
      <c r="A10" s="8" t="s">
        <v>26</v>
      </c>
      <c r="B10" s="9" t="s">
        <v>27</v>
      </c>
      <c r="C10" s="8"/>
      <c r="D10" s="8"/>
      <c r="E10" s="9"/>
      <c r="F10" s="9"/>
      <c r="G10" s="9"/>
    </row>
    <row r="11">
      <c r="A11" s="10" t="s">
        <v>28</v>
      </c>
      <c r="B11" s="11" t="s">
        <v>29</v>
      </c>
      <c r="C11" s="10">
        <v>4.0</v>
      </c>
      <c r="D11" s="12" t="s">
        <v>12</v>
      </c>
      <c r="E11" s="13" t="s">
        <v>30</v>
      </c>
      <c r="F11" s="14" t="s">
        <v>31</v>
      </c>
      <c r="G11" s="15"/>
    </row>
    <row r="12">
      <c r="A12" s="16"/>
      <c r="B12" s="16"/>
      <c r="C12" s="16"/>
      <c r="D12" s="17" t="s">
        <v>15</v>
      </c>
      <c r="E12" s="19" t="s">
        <v>32</v>
      </c>
      <c r="F12" s="19" t="s">
        <v>33</v>
      </c>
      <c r="G12" s="15"/>
    </row>
    <row r="13">
      <c r="A13" s="10" t="s">
        <v>34</v>
      </c>
      <c r="B13" s="11" t="s">
        <v>35</v>
      </c>
      <c r="C13" s="10">
        <v>4.0</v>
      </c>
      <c r="D13" s="12" t="s">
        <v>12</v>
      </c>
      <c r="E13" s="13" t="s">
        <v>36</v>
      </c>
      <c r="F13" s="14" t="s">
        <v>37</v>
      </c>
      <c r="G13" s="15"/>
    </row>
    <row r="14">
      <c r="A14" s="16"/>
      <c r="B14" s="16"/>
      <c r="C14" s="16"/>
      <c r="D14" s="17" t="s">
        <v>15</v>
      </c>
      <c r="E14" s="19" t="s">
        <v>32</v>
      </c>
      <c r="F14" s="19" t="s">
        <v>33</v>
      </c>
      <c r="G14" s="15"/>
    </row>
    <row r="15" ht="60.0" customHeight="1">
      <c r="A15" s="10" t="s">
        <v>38</v>
      </c>
      <c r="B15" s="11" t="s">
        <v>39</v>
      </c>
      <c r="C15" s="10">
        <v>4.0</v>
      </c>
      <c r="D15" s="12" t="s">
        <v>12</v>
      </c>
      <c r="E15" s="13" t="s">
        <v>40</v>
      </c>
      <c r="F15" s="14" t="s">
        <v>41</v>
      </c>
      <c r="G15" s="15"/>
    </row>
    <row r="16">
      <c r="A16" s="16"/>
      <c r="B16" s="16"/>
      <c r="C16" s="16"/>
      <c r="D16" s="17" t="s">
        <v>15</v>
      </c>
      <c r="E16" s="19" t="s">
        <v>32</v>
      </c>
      <c r="F16" s="19" t="s">
        <v>33</v>
      </c>
      <c r="G16" s="15"/>
    </row>
    <row r="17" ht="60.0" customHeight="1">
      <c r="A17" s="10" t="s">
        <v>42</v>
      </c>
      <c r="B17" s="11" t="s">
        <v>43</v>
      </c>
      <c r="C17" s="10">
        <v>4.0</v>
      </c>
      <c r="D17" s="12" t="s">
        <v>12</v>
      </c>
      <c r="E17" s="13" t="s">
        <v>44</v>
      </c>
      <c r="F17" s="14" t="s">
        <v>45</v>
      </c>
      <c r="G17" s="15"/>
    </row>
    <row r="18">
      <c r="A18" s="16"/>
      <c r="B18" s="16"/>
      <c r="C18" s="16"/>
      <c r="D18" s="17" t="s">
        <v>15</v>
      </c>
      <c r="E18" s="19" t="s">
        <v>32</v>
      </c>
      <c r="F18" s="19" t="s">
        <v>33</v>
      </c>
      <c r="G18" s="15"/>
    </row>
    <row r="19" ht="60.0" customHeight="1">
      <c r="A19" s="10" t="s">
        <v>46</v>
      </c>
      <c r="B19" s="11" t="s">
        <v>47</v>
      </c>
      <c r="C19" s="10">
        <v>4.0</v>
      </c>
      <c r="D19" s="12" t="s">
        <v>12</v>
      </c>
      <c r="E19" s="13" t="s">
        <v>48</v>
      </c>
      <c r="F19" s="14" t="s">
        <v>49</v>
      </c>
      <c r="G19" s="15"/>
    </row>
    <row r="20">
      <c r="A20" s="16"/>
      <c r="B20" s="16"/>
      <c r="C20" s="16"/>
      <c r="D20" s="17" t="s">
        <v>15</v>
      </c>
      <c r="E20" s="19" t="s">
        <v>32</v>
      </c>
      <c r="F20" s="19" t="s">
        <v>33</v>
      </c>
      <c r="G20" s="15"/>
    </row>
    <row r="21" ht="15.75" customHeight="1">
      <c r="A21" s="10" t="s">
        <v>50</v>
      </c>
      <c r="B21" s="11" t="s">
        <v>51</v>
      </c>
      <c r="C21" s="10">
        <v>4.0</v>
      </c>
      <c r="D21" s="12" t="s">
        <v>12</v>
      </c>
      <c r="E21" s="13" t="s">
        <v>52</v>
      </c>
      <c r="F21" s="14" t="s">
        <v>53</v>
      </c>
      <c r="G21" s="15"/>
    </row>
    <row r="22" ht="15.75" customHeight="1">
      <c r="A22" s="16"/>
      <c r="B22" s="16"/>
      <c r="C22" s="16"/>
      <c r="D22" s="17" t="s">
        <v>15</v>
      </c>
      <c r="E22" s="19" t="s">
        <v>32</v>
      </c>
      <c r="F22" s="19" t="s">
        <v>33</v>
      </c>
      <c r="G22" s="15"/>
    </row>
    <row r="23" ht="15.75" customHeight="1">
      <c r="A23" s="21"/>
      <c r="B23" s="22" t="s">
        <v>25</v>
      </c>
      <c r="C23" s="23">
        <f>SUM(C11:C21)</f>
        <v>24</v>
      </c>
      <c r="D23" s="23"/>
      <c r="E23" s="21"/>
      <c r="F23" s="21"/>
      <c r="G23" s="26"/>
    </row>
    <row r="24" ht="15.75" customHeight="1">
      <c r="A24" s="8" t="s">
        <v>54</v>
      </c>
      <c r="B24" s="9" t="s">
        <v>55</v>
      </c>
      <c r="C24" s="8"/>
      <c r="D24" s="8"/>
      <c r="E24" s="9"/>
      <c r="F24" s="9"/>
      <c r="G24" s="9"/>
    </row>
    <row r="25" ht="15.75" customHeight="1">
      <c r="A25" s="10" t="s">
        <v>56</v>
      </c>
      <c r="B25" s="11" t="s">
        <v>57</v>
      </c>
      <c r="C25" s="10">
        <v>3.0</v>
      </c>
      <c r="D25" s="12" t="s">
        <v>12</v>
      </c>
      <c r="E25" s="27" t="s">
        <v>58</v>
      </c>
      <c r="F25" s="14" t="s">
        <v>59</v>
      </c>
      <c r="G25" s="15"/>
    </row>
    <row r="26" ht="15.75" customHeight="1">
      <c r="A26" s="16"/>
      <c r="B26" s="16"/>
      <c r="C26" s="16"/>
      <c r="D26" s="17" t="s">
        <v>15</v>
      </c>
      <c r="E26" s="19" t="s">
        <v>60</v>
      </c>
      <c r="F26" s="19" t="s">
        <v>61</v>
      </c>
      <c r="G26" s="15"/>
    </row>
    <row r="27" ht="15.75" customHeight="1">
      <c r="A27" s="10" t="s">
        <v>62</v>
      </c>
      <c r="B27" s="11" t="s">
        <v>63</v>
      </c>
      <c r="C27" s="28">
        <v>3.0</v>
      </c>
      <c r="D27" s="12" t="s">
        <v>12</v>
      </c>
      <c r="E27" s="13" t="s">
        <v>64</v>
      </c>
      <c r="F27" s="14" t="s">
        <v>65</v>
      </c>
      <c r="G27" s="15"/>
    </row>
    <row r="28" ht="15.75" customHeight="1">
      <c r="A28" s="16"/>
      <c r="B28" s="16"/>
      <c r="C28" s="16"/>
      <c r="D28" s="17" t="s">
        <v>15</v>
      </c>
      <c r="E28" s="19" t="s">
        <v>22</v>
      </c>
      <c r="F28" s="19" t="s">
        <v>17</v>
      </c>
      <c r="G28" s="15"/>
    </row>
    <row r="29" ht="15.75" customHeight="1">
      <c r="A29" s="10" t="s">
        <v>66</v>
      </c>
      <c r="B29" s="11" t="s">
        <v>67</v>
      </c>
      <c r="C29" s="28">
        <v>2.0</v>
      </c>
      <c r="D29" s="12" t="s">
        <v>12</v>
      </c>
      <c r="E29" s="13" t="s">
        <v>68</v>
      </c>
      <c r="F29" s="14" t="s">
        <v>69</v>
      </c>
      <c r="G29" s="15"/>
    </row>
    <row r="30" ht="15.75" customHeight="1">
      <c r="A30" s="16"/>
      <c r="B30" s="16"/>
      <c r="C30" s="16"/>
      <c r="D30" s="17" t="s">
        <v>15</v>
      </c>
      <c r="E30" s="19" t="s">
        <v>70</v>
      </c>
      <c r="F30" s="19" t="s">
        <v>17</v>
      </c>
      <c r="G30" s="15"/>
    </row>
    <row r="31" ht="15.75" customHeight="1">
      <c r="A31" s="21"/>
      <c r="B31" s="22" t="s">
        <v>25</v>
      </c>
      <c r="C31" s="23">
        <f>SUM(C25:C29)</f>
        <v>8</v>
      </c>
      <c r="D31" s="23"/>
      <c r="E31" s="21"/>
      <c r="F31" s="21"/>
      <c r="G31" s="26"/>
    </row>
    <row r="32" ht="15.75" customHeight="1">
      <c r="A32" s="8" t="s">
        <v>71</v>
      </c>
      <c r="B32" s="9" t="s">
        <v>72</v>
      </c>
      <c r="C32" s="8"/>
      <c r="D32" s="8"/>
      <c r="E32" s="9"/>
      <c r="F32" s="9"/>
      <c r="G32" s="9"/>
    </row>
    <row r="33" ht="60.0" customHeight="1">
      <c r="A33" s="10" t="s">
        <v>73</v>
      </c>
      <c r="B33" s="11" t="s">
        <v>74</v>
      </c>
      <c r="C33" s="10">
        <v>4.0</v>
      </c>
      <c r="D33" s="12" t="s">
        <v>12</v>
      </c>
      <c r="E33" s="13" t="s">
        <v>75</v>
      </c>
      <c r="F33" s="14" t="s">
        <v>76</v>
      </c>
      <c r="G33" s="15"/>
    </row>
    <row r="34" ht="15.75" customHeight="1">
      <c r="A34" s="16"/>
      <c r="B34" s="16"/>
      <c r="C34" s="16"/>
      <c r="D34" s="17" t="s">
        <v>15</v>
      </c>
      <c r="E34" s="19" t="s">
        <v>77</v>
      </c>
      <c r="F34" s="19" t="s">
        <v>61</v>
      </c>
      <c r="G34" s="15"/>
    </row>
    <row r="35" ht="60.0" customHeight="1">
      <c r="A35" s="10" t="s">
        <v>78</v>
      </c>
      <c r="B35" s="11" t="s">
        <v>79</v>
      </c>
      <c r="C35" s="10">
        <v>2.0</v>
      </c>
      <c r="D35" s="12" t="s">
        <v>12</v>
      </c>
      <c r="E35" s="13" t="s">
        <v>80</v>
      </c>
      <c r="F35" s="14" t="s">
        <v>81</v>
      </c>
      <c r="G35" s="15"/>
    </row>
    <row r="36" ht="15.75" customHeight="1">
      <c r="A36" s="16"/>
      <c r="B36" s="16"/>
      <c r="C36" s="16"/>
      <c r="D36" s="17" t="s">
        <v>15</v>
      </c>
      <c r="E36" s="19" t="s">
        <v>22</v>
      </c>
      <c r="F36" s="19" t="s">
        <v>17</v>
      </c>
      <c r="G36" s="15"/>
    </row>
    <row r="37" ht="15.75" customHeight="1">
      <c r="A37" s="21"/>
      <c r="B37" s="22" t="s">
        <v>25</v>
      </c>
      <c r="C37" s="23">
        <f>SUM(C33:C35)</f>
        <v>6</v>
      </c>
      <c r="D37" s="23"/>
      <c r="E37" s="21"/>
      <c r="F37" s="21"/>
      <c r="G37" s="26"/>
    </row>
    <row r="38" ht="15.75" customHeight="1">
      <c r="A38" s="8" t="s">
        <v>82</v>
      </c>
      <c r="B38" s="9" t="s">
        <v>83</v>
      </c>
      <c r="C38" s="8"/>
      <c r="D38" s="8"/>
      <c r="E38" s="9"/>
      <c r="F38" s="9"/>
      <c r="G38" s="9"/>
    </row>
    <row r="39" ht="15.75" customHeight="1">
      <c r="A39" s="10" t="s">
        <v>84</v>
      </c>
      <c r="B39" s="11" t="s">
        <v>85</v>
      </c>
      <c r="C39" s="10">
        <v>2.0</v>
      </c>
      <c r="D39" s="12" t="s">
        <v>12</v>
      </c>
      <c r="E39" s="13" t="s">
        <v>86</v>
      </c>
      <c r="F39" s="14" t="s">
        <v>87</v>
      </c>
      <c r="G39" s="15"/>
    </row>
    <row r="40" ht="15.75" customHeight="1">
      <c r="A40" s="16"/>
      <c r="B40" s="16"/>
      <c r="C40" s="16"/>
      <c r="D40" s="17" t="s">
        <v>15</v>
      </c>
      <c r="E40" s="19" t="s">
        <v>22</v>
      </c>
      <c r="F40" s="19" t="s">
        <v>17</v>
      </c>
      <c r="G40" s="15"/>
    </row>
    <row r="41" ht="15.75" customHeight="1">
      <c r="A41" s="10" t="s">
        <v>88</v>
      </c>
      <c r="B41" s="11" t="s">
        <v>89</v>
      </c>
      <c r="C41" s="10">
        <v>2.0</v>
      </c>
      <c r="D41" s="12" t="s">
        <v>12</v>
      </c>
      <c r="E41" s="13" t="s">
        <v>90</v>
      </c>
      <c r="F41" s="14" t="s">
        <v>91</v>
      </c>
      <c r="G41" s="15"/>
    </row>
    <row r="42" ht="15.75" customHeight="1">
      <c r="A42" s="16"/>
      <c r="B42" s="16"/>
      <c r="C42" s="16"/>
      <c r="D42" s="17" t="s">
        <v>15</v>
      </c>
      <c r="E42" s="19" t="s">
        <v>22</v>
      </c>
      <c r="F42" s="19" t="s">
        <v>17</v>
      </c>
      <c r="G42" s="15"/>
    </row>
    <row r="43" ht="15.75" customHeight="1">
      <c r="A43" s="10" t="s">
        <v>92</v>
      </c>
      <c r="B43" s="11" t="s">
        <v>93</v>
      </c>
      <c r="C43" s="28">
        <v>2.0</v>
      </c>
      <c r="D43" s="12" t="s">
        <v>12</v>
      </c>
      <c r="E43" s="13" t="s">
        <v>94</v>
      </c>
      <c r="F43" s="14" t="s">
        <v>95</v>
      </c>
      <c r="G43" s="15"/>
    </row>
    <row r="44" ht="15.75" customHeight="1">
      <c r="A44" s="16"/>
      <c r="B44" s="16"/>
      <c r="C44" s="16"/>
      <c r="D44" s="17" t="s">
        <v>15</v>
      </c>
      <c r="E44" s="19" t="s">
        <v>70</v>
      </c>
      <c r="F44" s="19" t="s">
        <v>17</v>
      </c>
      <c r="G44" s="15"/>
    </row>
    <row r="45" ht="15.75" customHeight="1">
      <c r="A45" s="21"/>
      <c r="B45" s="22" t="s">
        <v>25</v>
      </c>
      <c r="C45" s="23">
        <f>SUM(C39:C43)</f>
        <v>6</v>
      </c>
      <c r="D45" s="23"/>
      <c r="E45" s="21"/>
      <c r="F45" s="21"/>
      <c r="G45" s="26"/>
    </row>
    <row r="46" ht="15.75" customHeight="1">
      <c r="A46" s="8" t="s">
        <v>96</v>
      </c>
      <c r="B46" s="9" t="s">
        <v>97</v>
      </c>
      <c r="C46" s="8"/>
      <c r="D46" s="8"/>
      <c r="E46" s="9"/>
      <c r="F46" s="9"/>
      <c r="G46" s="9"/>
    </row>
    <row r="47" ht="60.0" customHeight="1">
      <c r="A47" s="10" t="s">
        <v>98</v>
      </c>
      <c r="B47" s="11" t="s">
        <v>99</v>
      </c>
      <c r="C47" s="10">
        <v>4.0</v>
      </c>
      <c r="D47" s="12" t="s">
        <v>12</v>
      </c>
      <c r="E47" s="13" t="s">
        <v>100</v>
      </c>
      <c r="F47" s="14" t="s">
        <v>101</v>
      </c>
      <c r="G47" s="15"/>
    </row>
    <row r="48" ht="15.75" customHeight="1">
      <c r="A48" s="16"/>
      <c r="B48" s="16"/>
      <c r="C48" s="16"/>
      <c r="D48" s="17" t="s">
        <v>15</v>
      </c>
      <c r="E48" s="19" t="s">
        <v>32</v>
      </c>
      <c r="F48" s="19" t="s">
        <v>33</v>
      </c>
      <c r="G48" s="15"/>
    </row>
    <row r="49" ht="60.0" customHeight="1">
      <c r="A49" s="10" t="s">
        <v>102</v>
      </c>
      <c r="B49" s="11" t="s">
        <v>103</v>
      </c>
      <c r="C49" s="10">
        <v>4.0</v>
      </c>
      <c r="D49" s="12" t="s">
        <v>12</v>
      </c>
      <c r="E49" s="13" t="s">
        <v>104</v>
      </c>
      <c r="F49" s="14" t="s">
        <v>105</v>
      </c>
      <c r="G49" s="15"/>
    </row>
    <row r="50" ht="15.75" customHeight="1">
      <c r="A50" s="16"/>
      <c r="B50" s="16"/>
      <c r="C50" s="16"/>
      <c r="D50" s="17" t="s">
        <v>15</v>
      </c>
      <c r="E50" s="19" t="s">
        <v>32</v>
      </c>
      <c r="F50" s="19" t="s">
        <v>33</v>
      </c>
      <c r="G50" s="15"/>
    </row>
    <row r="51" ht="60.0" customHeight="1">
      <c r="A51" s="10" t="s">
        <v>106</v>
      </c>
      <c r="B51" s="11" t="s">
        <v>107</v>
      </c>
      <c r="C51" s="10">
        <v>4.0</v>
      </c>
      <c r="D51" s="12" t="s">
        <v>12</v>
      </c>
      <c r="E51" s="13" t="s">
        <v>108</v>
      </c>
      <c r="F51" s="14" t="s">
        <v>109</v>
      </c>
      <c r="G51" s="15"/>
    </row>
    <row r="52" ht="15.75" customHeight="1">
      <c r="A52" s="16"/>
      <c r="B52" s="16"/>
      <c r="C52" s="16"/>
      <c r="D52" s="17" t="s">
        <v>15</v>
      </c>
      <c r="E52" s="19" t="s">
        <v>32</v>
      </c>
      <c r="F52" s="19" t="s">
        <v>33</v>
      </c>
      <c r="G52" s="15"/>
    </row>
    <row r="53" ht="60.0" customHeight="1">
      <c r="A53" s="10" t="s">
        <v>110</v>
      </c>
      <c r="B53" s="11" t="s">
        <v>111</v>
      </c>
      <c r="C53" s="28">
        <v>8.0</v>
      </c>
      <c r="D53" s="12" t="s">
        <v>12</v>
      </c>
      <c r="E53" s="13" t="s">
        <v>112</v>
      </c>
      <c r="F53" s="14" t="s">
        <v>113</v>
      </c>
      <c r="G53" s="15"/>
    </row>
    <row r="54" ht="15.75" customHeight="1">
      <c r="A54" s="16"/>
      <c r="B54" s="16"/>
      <c r="C54" s="16"/>
      <c r="D54" s="17" t="s">
        <v>15</v>
      </c>
      <c r="E54" s="19" t="s">
        <v>32</v>
      </c>
      <c r="F54" s="19" t="s">
        <v>33</v>
      </c>
      <c r="G54" s="15"/>
    </row>
    <row r="55" ht="15.75" customHeight="1">
      <c r="A55" s="21"/>
      <c r="B55" s="22" t="s">
        <v>25</v>
      </c>
      <c r="C55" s="23">
        <f>SUM(C47:C53)</f>
        <v>20</v>
      </c>
      <c r="D55" s="23"/>
      <c r="E55" s="21"/>
      <c r="F55" s="21"/>
      <c r="G55" s="26"/>
    </row>
    <row r="56" ht="15.75" customHeight="1">
      <c r="A56" s="8" t="s">
        <v>114</v>
      </c>
      <c r="B56" s="9" t="s">
        <v>115</v>
      </c>
      <c r="C56" s="8"/>
      <c r="D56" s="8"/>
      <c r="E56" s="9"/>
      <c r="F56" s="9"/>
      <c r="G56" s="9"/>
    </row>
    <row r="57" ht="15.75" customHeight="1">
      <c r="A57" s="10" t="s">
        <v>116</v>
      </c>
      <c r="B57" s="11" t="s">
        <v>117</v>
      </c>
      <c r="C57" s="10">
        <v>3.0</v>
      </c>
      <c r="D57" s="12" t="s">
        <v>12</v>
      </c>
      <c r="E57" s="13" t="s">
        <v>118</v>
      </c>
      <c r="F57" s="14" t="s">
        <v>119</v>
      </c>
      <c r="G57" s="15"/>
    </row>
    <row r="58" ht="15.75" customHeight="1">
      <c r="A58" s="16"/>
      <c r="B58" s="16"/>
      <c r="C58" s="16"/>
      <c r="D58" s="17" t="s">
        <v>15</v>
      </c>
      <c r="E58" s="19" t="s">
        <v>120</v>
      </c>
      <c r="F58" s="19" t="s">
        <v>61</v>
      </c>
      <c r="G58" s="15"/>
    </row>
    <row r="59" ht="15.75" customHeight="1">
      <c r="A59" s="10" t="s">
        <v>121</v>
      </c>
      <c r="B59" s="11" t="s">
        <v>122</v>
      </c>
      <c r="C59" s="28">
        <v>3.0</v>
      </c>
      <c r="D59" s="12" t="s">
        <v>12</v>
      </c>
      <c r="E59" s="13" t="s">
        <v>123</v>
      </c>
      <c r="F59" s="14" t="s">
        <v>124</v>
      </c>
      <c r="G59" s="15"/>
    </row>
    <row r="60" ht="15.75" customHeight="1">
      <c r="A60" s="16"/>
      <c r="B60" s="16"/>
      <c r="C60" s="16"/>
      <c r="D60" s="17" t="s">
        <v>15</v>
      </c>
      <c r="E60" s="19" t="s">
        <v>22</v>
      </c>
      <c r="F60" s="19" t="s">
        <v>17</v>
      </c>
      <c r="G60" s="15"/>
    </row>
    <row r="61" ht="15.75" customHeight="1">
      <c r="A61" s="10" t="s">
        <v>125</v>
      </c>
      <c r="B61" s="11" t="s">
        <v>126</v>
      </c>
      <c r="C61" s="28">
        <v>3.0</v>
      </c>
      <c r="D61" s="12" t="s">
        <v>12</v>
      </c>
      <c r="E61" s="13" t="s">
        <v>127</v>
      </c>
      <c r="F61" s="14" t="s">
        <v>128</v>
      </c>
      <c r="G61" s="15"/>
    </row>
    <row r="62" ht="15.75" customHeight="1">
      <c r="A62" s="16"/>
      <c r="B62" s="16"/>
      <c r="C62" s="16"/>
      <c r="D62" s="17" t="s">
        <v>15</v>
      </c>
      <c r="E62" s="19" t="s">
        <v>22</v>
      </c>
      <c r="F62" s="19" t="s">
        <v>17</v>
      </c>
      <c r="G62" s="15"/>
    </row>
    <row r="63" ht="15.75" customHeight="1">
      <c r="A63" s="10" t="s">
        <v>129</v>
      </c>
      <c r="B63" s="11" t="s">
        <v>130</v>
      </c>
      <c r="C63" s="28">
        <v>3.0</v>
      </c>
      <c r="D63" s="12" t="s">
        <v>12</v>
      </c>
      <c r="E63" s="13" t="s">
        <v>131</v>
      </c>
      <c r="F63" s="14" t="s">
        <v>132</v>
      </c>
      <c r="G63" s="15"/>
    </row>
    <row r="64" ht="15.75" customHeight="1">
      <c r="A64" s="16"/>
      <c r="B64" s="16"/>
      <c r="C64" s="16"/>
      <c r="D64" s="17" t="s">
        <v>15</v>
      </c>
      <c r="E64" s="19" t="s">
        <v>22</v>
      </c>
      <c r="F64" s="19" t="s">
        <v>17</v>
      </c>
      <c r="G64" s="15"/>
    </row>
    <row r="65" ht="15.75" customHeight="1">
      <c r="A65" s="21"/>
      <c r="B65" s="22" t="s">
        <v>25</v>
      </c>
      <c r="C65" s="23">
        <f>SUM(C57:C63)</f>
        <v>12</v>
      </c>
      <c r="D65" s="23"/>
      <c r="E65" s="21"/>
      <c r="F65" s="21"/>
      <c r="G65" s="26"/>
    </row>
    <row r="66" ht="15.75" customHeight="1">
      <c r="A66" s="29" t="s">
        <v>133</v>
      </c>
      <c r="B66" s="30"/>
      <c r="C66" s="31">
        <f>SUM(C65,C55,C45,C37,C31,C23,C9)</f>
        <v>80</v>
      </c>
      <c r="D66" s="32"/>
      <c r="E66" s="32"/>
      <c r="F66" s="32"/>
      <c r="G66" s="32"/>
    </row>
    <row r="67" ht="15.75" customHeight="1">
      <c r="A67" s="5" t="s">
        <v>134</v>
      </c>
      <c r="B67" s="6"/>
      <c r="C67" s="6"/>
      <c r="D67" s="6"/>
      <c r="E67" s="6"/>
      <c r="F67" s="6"/>
      <c r="G67" s="30"/>
    </row>
    <row r="68" ht="15.75" customHeight="1">
      <c r="A68" s="8" t="s">
        <v>135</v>
      </c>
      <c r="B68" s="9" t="s">
        <v>136</v>
      </c>
      <c r="C68" s="8"/>
      <c r="D68" s="8"/>
      <c r="E68" s="9"/>
      <c r="F68" s="9"/>
      <c r="G68" s="9"/>
    </row>
    <row r="69" ht="15.75" customHeight="1">
      <c r="A69" s="10" t="s">
        <v>137</v>
      </c>
      <c r="B69" s="11" t="s">
        <v>138</v>
      </c>
      <c r="C69" s="28">
        <v>20.0</v>
      </c>
      <c r="D69" s="12" t="s">
        <v>12</v>
      </c>
      <c r="E69" s="13" t="s">
        <v>139</v>
      </c>
      <c r="F69" s="14" t="s">
        <v>140</v>
      </c>
      <c r="G69" s="15"/>
    </row>
    <row r="70" ht="15.75" customHeight="1">
      <c r="A70" s="16"/>
      <c r="B70" s="16"/>
      <c r="C70" s="16"/>
      <c r="D70" s="17" t="s">
        <v>15</v>
      </c>
      <c r="E70" s="18" t="s">
        <v>141</v>
      </c>
      <c r="F70" s="18" t="s">
        <v>142</v>
      </c>
      <c r="G70" s="15"/>
    </row>
    <row r="71" ht="15.75" customHeight="1">
      <c r="A71" s="21"/>
      <c r="B71" s="22" t="s">
        <v>25</v>
      </c>
      <c r="C71" s="23">
        <f>SUM(C69:C70)</f>
        <v>20</v>
      </c>
      <c r="D71" s="22"/>
      <c r="E71" s="21"/>
      <c r="F71" s="21"/>
      <c r="G71" s="26"/>
    </row>
    <row r="72" ht="15.75" customHeight="1">
      <c r="A72" s="8"/>
      <c r="B72" s="9" t="s">
        <v>143</v>
      </c>
      <c r="C72" s="8"/>
      <c r="D72" s="9"/>
      <c r="E72" s="9"/>
      <c r="F72" s="9"/>
      <c r="G72" s="9"/>
    </row>
    <row r="73" ht="15.75" customHeight="1">
      <c r="A73" s="33" t="s">
        <v>144</v>
      </c>
      <c r="B73" s="34" t="s">
        <v>145</v>
      </c>
      <c r="C73" s="33" t="s">
        <v>146</v>
      </c>
      <c r="D73" s="35" t="s">
        <v>147</v>
      </c>
      <c r="E73" s="6"/>
      <c r="F73" s="6"/>
      <c r="G73" s="15"/>
    </row>
    <row r="74" ht="15.75" customHeight="1">
      <c r="A74" s="33" t="s">
        <v>148</v>
      </c>
      <c r="B74" s="34" t="s">
        <v>149</v>
      </c>
      <c r="C74" s="33" t="s">
        <v>150</v>
      </c>
      <c r="D74" s="35" t="s">
        <v>151</v>
      </c>
      <c r="E74" s="6"/>
      <c r="F74" s="6"/>
      <c r="G74" s="15"/>
    </row>
    <row r="75" ht="15.75" customHeight="1">
      <c r="A75" s="33" t="s">
        <v>152</v>
      </c>
      <c r="B75" s="34" t="s">
        <v>153</v>
      </c>
      <c r="C75" s="33" t="s">
        <v>154</v>
      </c>
      <c r="D75" s="35" t="s">
        <v>155</v>
      </c>
      <c r="E75" s="6"/>
      <c r="F75" s="6"/>
      <c r="G75" s="15"/>
    </row>
    <row r="76" ht="15.75" customHeight="1">
      <c r="A76" s="33" t="s">
        <v>156</v>
      </c>
      <c r="B76" s="34" t="s">
        <v>157</v>
      </c>
      <c r="C76" s="33" t="s">
        <v>150</v>
      </c>
      <c r="D76" s="35" t="s">
        <v>158</v>
      </c>
      <c r="E76" s="6"/>
      <c r="F76" s="6"/>
      <c r="G76" s="15"/>
    </row>
    <row r="77" ht="15.0" customHeight="1">
      <c r="A77" s="33" t="s">
        <v>159</v>
      </c>
      <c r="B77" s="34" t="s">
        <v>160</v>
      </c>
      <c r="C77" s="33" t="s">
        <v>161</v>
      </c>
      <c r="D77" s="35" t="s">
        <v>162</v>
      </c>
      <c r="E77" s="6"/>
      <c r="F77" s="6"/>
      <c r="G77" s="15"/>
    </row>
    <row r="78" ht="25.5" customHeight="1">
      <c r="A78" s="33" t="s">
        <v>163</v>
      </c>
      <c r="B78" s="34" t="s">
        <v>164</v>
      </c>
      <c r="C78" s="33" t="s">
        <v>150</v>
      </c>
      <c r="D78" s="35" t="s">
        <v>165</v>
      </c>
      <c r="E78" s="6"/>
      <c r="F78" s="6"/>
      <c r="G78" s="15"/>
    </row>
    <row r="79" ht="15.75" customHeight="1">
      <c r="A79" s="8"/>
      <c r="B79" s="36" t="s">
        <v>166</v>
      </c>
      <c r="C79" s="8"/>
      <c r="D79" s="9"/>
      <c r="E79" s="9"/>
      <c r="F79" s="9"/>
      <c r="G79" s="9"/>
    </row>
    <row r="80" ht="15.75" customHeight="1">
      <c r="A80" s="37" t="s">
        <v>167</v>
      </c>
      <c r="B80" s="38" t="s">
        <v>168</v>
      </c>
      <c r="C80" s="6"/>
      <c r="D80" s="6"/>
      <c r="E80" s="6"/>
      <c r="F80" s="30"/>
      <c r="G80" s="15"/>
    </row>
    <row r="81" ht="15.75" customHeight="1">
      <c r="A81" s="39" t="s">
        <v>169</v>
      </c>
      <c r="B81" s="30"/>
      <c r="C81" s="40">
        <f>SUM(C66,C71)</f>
        <v>100</v>
      </c>
      <c r="D81" s="41"/>
      <c r="E81" s="41"/>
      <c r="F81" s="41"/>
      <c r="G81" s="41"/>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87">
    <mergeCell ref="B35:B36"/>
    <mergeCell ref="C35:C36"/>
    <mergeCell ref="A29:A30"/>
    <mergeCell ref="B29:B30"/>
    <mergeCell ref="C29:C30"/>
    <mergeCell ref="A33:A34"/>
    <mergeCell ref="B33:B34"/>
    <mergeCell ref="C33:C34"/>
    <mergeCell ref="A35:A36"/>
    <mergeCell ref="B43:B44"/>
    <mergeCell ref="C43:C44"/>
    <mergeCell ref="A39:A40"/>
    <mergeCell ref="B39:B40"/>
    <mergeCell ref="C39:C40"/>
    <mergeCell ref="A41:A42"/>
    <mergeCell ref="B41:B42"/>
    <mergeCell ref="C41:C42"/>
    <mergeCell ref="A43:A44"/>
    <mergeCell ref="B51:B52"/>
    <mergeCell ref="C51:C52"/>
    <mergeCell ref="A47:A48"/>
    <mergeCell ref="B47:B48"/>
    <mergeCell ref="C47:C48"/>
    <mergeCell ref="A49:A50"/>
    <mergeCell ref="B49:B50"/>
    <mergeCell ref="C49:C50"/>
    <mergeCell ref="A51:A52"/>
    <mergeCell ref="B61:B62"/>
    <mergeCell ref="C61:C62"/>
    <mergeCell ref="A57:A58"/>
    <mergeCell ref="B57:B58"/>
    <mergeCell ref="C57:C58"/>
    <mergeCell ref="A59:A60"/>
    <mergeCell ref="B59:B60"/>
    <mergeCell ref="C59:C60"/>
    <mergeCell ref="A61:A62"/>
    <mergeCell ref="A63:A64"/>
    <mergeCell ref="B63:B64"/>
    <mergeCell ref="C63:C64"/>
    <mergeCell ref="A66:B66"/>
    <mergeCell ref="A67:G67"/>
    <mergeCell ref="A69:A70"/>
    <mergeCell ref="B69:B70"/>
    <mergeCell ref="B80:F80"/>
    <mergeCell ref="A81:B81"/>
    <mergeCell ref="C69:C70"/>
    <mergeCell ref="D73:F73"/>
    <mergeCell ref="D74:F74"/>
    <mergeCell ref="D75:F75"/>
    <mergeCell ref="D76:F76"/>
    <mergeCell ref="D77:F77"/>
    <mergeCell ref="D78:F78"/>
    <mergeCell ref="A1:G1"/>
    <mergeCell ref="A3:G3"/>
    <mergeCell ref="A5:A6"/>
    <mergeCell ref="B5:B6"/>
    <mergeCell ref="C5:C6"/>
    <mergeCell ref="B7:B8"/>
    <mergeCell ref="C7:C8"/>
    <mergeCell ref="A7:A8"/>
    <mergeCell ref="A11:A12"/>
    <mergeCell ref="B11:B12"/>
    <mergeCell ref="C11:C12"/>
    <mergeCell ref="A13:A14"/>
    <mergeCell ref="B13:B14"/>
    <mergeCell ref="C13:C14"/>
    <mergeCell ref="B19:B20"/>
    <mergeCell ref="C19:C20"/>
    <mergeCell ref="A15:A16"/>
    <mergeCell ref="B15:B16"/>
    <mergeCell ref="C15:C16"/>
    <mergeCell ref="A17:A18"/>
    <mergeCell ref="B17:B18"/>
    <mergeCell ref="C17:C18"/>
    <mergeCell ref="A19:A20"/>
    <mergeCell ref="B27:B28"/>
    <mergeCell ref="C27:C28"/>
    <mergeCell ref="A21:A22"/>
    <mergeCell ref="B21:B22"/>
    <mergeCell ref="C21:C22"/>
    <mergeCell ref="A25:A26"/>
    <mergeCell ref="B25:B26"/>
    <mergeCell ref="C25:C26"/>
    <mergeCell ref="A27:A28"/>
    <mergeCell ref="A53:A54"/>
    <mergeCell ref="B53:B54"/>
    <mergeCell ref="C53:C54"/>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2025-11-07T00:34:33Z</dcterms:created>
  <dc:creator>openpyxl</dc:creator>
</cp:coreProperties>
</file>