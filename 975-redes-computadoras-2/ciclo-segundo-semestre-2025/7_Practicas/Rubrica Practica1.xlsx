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Práctica 1" sheetId="1" r:id="rId4"/>
  </sheets>
  <definedNames/>
  <calcPr/>
  <extLst>
    <ext uri="GoogleSheetsCustomDataVersion2">
      <go:sheetsCustomData xmlns:go="http://customooxmlschemas.google.com/" r:id="rId5" roundtripDataChecksum="W+S0Gh+5BE9L1bWqTFbYxaKpYCvnpeoXBoIZD1ItIqI="/>
    </ext>
  </extLst>
</workbook>
</file>

<file path=xl/sharedStrings.xml><?xml version="1.0" encoding="utf-8"?>
<sst xmlns="http://schemas.openxmlformats.org/spreadsheetml/2006/main" count="312" uniqueCount="159">
  <si>
    <t>RÚBRICA DE CALIFICACIÓN - PRÁCTICA 1</t>
  </si>
  <si>
    <t>No.</t>
  </si>
  <si>
    <t>Criterio de evaluación</t>
  </si>
  <si>
    <t>Punteo máximo</t>
  </si>
  <si>
    <t>Satisfactorio (100%-61%)</t>
  </si>
  <si>
    <t>Necesita mejorar (60%-0%)</t>
  </si>
  <si>
    <t>Obtenido</t>
  </si>
  <si>
    <t>CONOCIMIENTOS</t>
  </si>
  <si>
    <t>1</t>
  </si>
  <si>
    <t>CONFIGURACIONES DE LOS SWITCHES</t>
  </si>
  <si>
    <t>1.1</t>
  </si>
  <si>
    <t>Configuración de hostname a todos los switches</t>
  </si>
  <si>
    <t>Descripción</t>
  </si>
  <si>
    <t>Todos los switches tienen configurado el hostname según el formato SW#A_G#B correctamente.</t>
  </si>
  <si>
    <t>Algunos switches no tienen configurado el hostname o el formato es incorrecto.</t>
  </si>
  <si>
    <t>Rango del punteo</t>
  </si>
  <si>
    <t>2 /</t>
  </si>
  <si>
    <t>1 - 0 /</t>
  </si>
  <si>
    <t>1.2</t>
  </si>
  <si>
    <t>Configuración de password encriptado en el switch server</t>
  </si>
  <si>
    <t>El switch server tiene configurado el password secreto 'redes2grupo#B' correctamente encriptado.</t>
  </si>
  <si>
    <t>El password no está configurado, no está encriptado o el formato es incorrecto.</t>
  </si>
  <si>
    <t>Puntos</t>
  </si>
  <si>
    <t>2</t>
  </si>
  <si>
    <t>VTP (VLAN TRUNKING PROTOCOL)</t>
  </si>
  <si>
    <t>2.1</t>
  </si>
  <si>
    <t>Switch servidor configurado correctamente</t>
  </si>
  <si>
    <t>El switch VTP Server está configurado correctamente con el dominio 'g#' y modo server.</t>
  </si>
  <si>
    <t>El switch no está en modo server o el dominio VTP es incorrecto.</t>
  </si>
  <si>
    <t>1 /</t>
  </si>
  <si>
    <t>0 /</t>
  </si>
  <si>
    <t>2.2</t>
  </si>
  <si>
    <t>Switches clientes configurados correctamente y propagación de VLANs</t>
  </si>
  <si>
    <t>Todos los switches clientes están en modo VTP client, pertenecen al dominio correcto y las VLANs se propagan correctamente.</t>
  </si>
  <si>
    <t>Algunos switches no están en modo client, no pertenecen al dominio correcto o las VLANs no se propagan.</t>
  </si>
  <si>
    <t>3</t>
  </si>
  <si>
    <t>CONFIGURACIÓN DE VLANS</t>
  </si>
  <si>
    <t>3.1</t>
  </si>
  <si>
    <t>VLAN Primaria derecha con subred correspondiente (60 + #Grupo)</t>
  </si>
  <si>
    <t>La VLAN está creada con el número correcto y la subred 192.178.x.0/24 está asignada correctamente.</t>
  </si>
  <si>
    <t>La VLAN no existe, el número es incorrecto o la subred no está bien configurada.</t>
  </si>
  <si>
    <t>3.2</t>
  </si>
  <si>
    <t>VLAN Primaria izquierda con subred correspondiente (10 + #Grupo)</t>
  </si>
  <si>
    <t>3.3</t>
  </si>
  <si>
    <t>VLAN Básicos derecha con subred correspondiente (70 + #Grupo)</t>
  </si>
  <si>
    <t>3.4</t>
  </si>
  <si>
    <t>VLAN Básicos izquierda con subred correspondiente (20 + #Grupo)</t>
  </si>
  <si>
    <t>3.5</t>
  </si>
  <si>
    <t>VLAN Bachillerato derecha con subred correspondiente (80 + #Grupo)</t>
  </si>
  <si>
    <t>3.6</t>
  </si>
  <si>
    <t>VLAN Bachillerato izquierda con subred correspondiente (30 + #Grupo)</t>
  </si>
  <si>
    <t>4</t>
  </si>
  <si>
    <t>COMUNICACIÓN ENTRE VLANS</t>
  </si>
  <si>
    <t>4.1</t>
  </si>
  <si>
    <t>Comunicación entre IP's de la VLAN Primaria del mismo lado</t>
  </si>
  <si>
    <t>La comunicación funciona correctamente mediante ping exitoso entre los dispositivos especificados.</t>
  </si>
  <si>
    <t>La comunicación falla, no hay conectividad o el enrutamiento inter-VLAN no funciona correctamente.</t>
  </si>
  <si>
    <t>3 - 2 /</t>
  </si>
  <si>
    <t>4.2</t>
  </si>
  <si>
    <t>Comunicación entre IP's de la VLAN Primaria de ambos lados</t>
  </si>
  <si>
    <t>4.3</t>
  </si>
  <si>
    <t>Comunicación inter-vlan de la VLAN Primaria con cualquier otra</t>
  </si>
  <si>
    <t>4.4</t>
  </si>
  <si>
    <t>Comunicación entre IP's de la VLAN Básicos del mismo lado</t>
  </si>
  <si>
    <t>4.5</t>
  </si>
  <si>
    <t>Comunicación entre IP's de la VLAN Básicos de ambos lados</t>
  </si>
  <si>
    <t>4.6</t>
  </si>
  <si>
    <t>Comunicación inter-vlan de la VLAN Básicos con cualquier otra</t>
  </si>
  <si>
    <t>4.7</t>
  </si>
  <si>
    <t>Comunicación entre IP's de la VLAN Bachillerato  del mismo lado</t>
  </si>
  <si>
    <t>4.8</t>
  </si>
  <si>
    <t>Comunicación entre IP's de la VLAN Bachillerato  de ambos lados</t>
  </si>
  <si>
    <t>4.9</t>
  </si>
  <si>
    <t>Comunicación inter-vlan de la VLAN Bachillerato  con cualquier otra</t>
  </si>
  <si>
    <t>5</t>
  </si>
  <si>
    <t>SPANNING TREE PROTOCOL (STP Y RSTP)</t>
  </si>
  <si>
    <t>5.1</t>
  </si>
  <si>
    <t>PVST configurado y tabla con tiempos en la documentación</t>
  </si>
  <si>
    <t>PVST está configurado correctamente en el lado izquierdo (3 pts) y la tabla de convergencia está documentada con los tiempos medidos (5 pts).</t>
  </si>
  <si>
    <t>PVST no está configurado correctamente o la tabla de tiempos está incompleta/ausente en la documentación.</t>
  </si>
  <si>
    <t>4 - 2 /</t>
  </si>
  <si>
    <t>5.2</t>
  </si>
  <si>
    <t>Rapid PVST configurado y tabla con tiempos en la documentación</t>
  </si>
  <si>
    <t>Rapid PVST está configurado correctamente en el lado derecho (3 pts) y la tabla de convergencia está documentada con los tiempos medidos (5 pts).</t>
  </si>
  <si>
    <t>Rapid PVST no está configurado correctamente o la tabla de tiempos está incompleta/ausente en la documentación.</t>
  </si>
  <si>
    <t>5.3</t>
  </si>
  <si>
    <t>Justificación técnica del protocolo elegido en la documentación</t>
  </si>
  <si>
    <t>La documentación incluye una justificación técnica bien fundamentada sobre qué protocolo (PVST o Rapid PVST) se eligió para la red del colegio, basada en los tiempos de convergencia medidos.</t>
  </si>
  <si>
    <t>La justificación es superficial, no está basada en los datos obtenidos o está ausente.</t>
  </si>
  <si>
    <t>6</t>
  </si>
  <si>
    <t>SEGURIDAD DE PUERTOS (PORT-SECURITY)</t>
  </si>
  <si>
    <t>6.1</t>
  </si>
  <si>
    <t>Port-security configurado en todos los dispositivos de la VLAN 'Básicos'</t>
  </si>
  <si>
    <t>Todos los puertos conectados a hosts de la VLAN Básicos tienen port-security activado y configurado para permitir solo 1 dirección MAC.</t>
  </si>
  <si>
    <t>Algunos puertos no tienen port-security configurado o permite más de 1 dirección MAC.</t>
  </si>
  <si>
    <t>6.2</t>
  </si>
  <si>
    <t>Configuración para apagar el puerto al detectar una MAC no autorizada</t>
  </si>
  <si>
    <t>El modo de violación está configurado como 'shutdown' y el puerto se apaga correctamente al detectar una MAC no autorizada.</t>
  </si>
  <si>
    <t>El modo de violación no está configurado correctamente o el puerto no se apaga al detectar violaciones.</t>
  </si>
  <si>
    <t>7</t>
  </si>
  <si>
    <t>ENRUTAMIENTO DINÁMICO</t>
  </si>
  <si>
    <t>7.1</t>
  </si>
  <si>
    <t>Protocolo OSPF configurado correctamente</t>
  </si>
  <si>
    <t>OSPF está configurado correctamente en el lado derecho con la red 10.8.x.0/24 donde x = 1 + #Grupo. Las rutas se propagan correctamente.</t>
  </si>
  <si>
    <t>OSPF no está configurado, la red es incorrecta o las rutas no se propagan.</t>
  </si>
  <si>
    <t>7.2</t>
  </si>
  <si>
    <t>Protocolo EIGRP configurado correctamente</t>
  </si>
  <si>
    <t>EIGRP está configurado correctamente en el lado izquierdo con la red 10.8.x.0/24 donde x = 3 + #Grupo. Las rutas se propagan correctamente.</t>
  </si>
  <si>
    <t>EIGRP no está configurado, la red es incorrecta o las rutas no se propagan.</t>
  </si>
  <si>
    <t>7.3</t>
  </si>
  <si>
    <t>Protocolo RIP configurado correctamente</t>
  </si>
  <si>
    <t>RIP está configurado correctamente con la red 10.8.x.0/24 donde x = 2 + #Grupo. Las rutas se propagan correctamente.</t>
  </si>
  <si>
    <t>RIP no está configurado, la red es incorrecta o las rutas no se propagan.</t>
  </si>
  <si>
    <t>8</t>
  </si>
  <si>
    <t>DOCUMENTACIÓN</t>
  </si>
  <si>
    <t>8.1</t>
  </si>
  <si>
    <t>Documentación completa en formato PDF o Markdown</t>
  </si>
  <si>
    <t>La documentación está completa, bien estructurada, incluye todas las configuraciones realizadas, capturas de pantalla, tablas de convergencia, justificaciones técnicas y conclusiones.</t>
  </si>
  <si>
    <t>La documentación está incompleta, desordenada, faltan configuraciones importantes, capturas de pantalla o análisis.</t>
  </si>
  <si>
    <t>7 - 4 /</t>
  </si>
  <si>
    <t>3 - 0 /</t>
  </si>
  <si>
    <t>TOTAL</t>
  </si>
  <si>
    <t>HABILIDADES</t>
  </si>
  <si>
    <t>9</t>
  </si>
  <si>
    <t>EVALUACIÓN DE CONOCIMIENTO INDIVIDUAL</t>
  </si>
  <si>
    <t>9.1</t>
  </si>
  <si>
    <t>Estudiante 1 - Evaluación oral/práctica</t>
  </si>
  <si>
    <t>El estudiante demuestra dominio completo de las configuraciones, puede explicar las decisiones técnicas y resolver preguntas sobre la implementación.</t>
  </si>
  <si>
    <t>El estudiante no puede explicar las configuraciones, no entiende los conceptos o no puede responder preguntas básicas.</t>
  </si>
  <si>
    <t>10 - 6 /</t>
  </si>
  <si>
    <t>5 - 0 /</t>
  </si>
  <si>
    <t>9.2</t>
  </si>
  <si>
    <t>Estudiante 2 - Evaluación oral/práctica</t>
  </si>
  <si>
    <t>9.3</t>
  </si>
  <si>
    <t>Estudiante 3 - Evaluación oral/práctica</t>
  </si>
  <si>
    <t>PENALIZACIONES</t>
  </si>
  <si>
    <t>P1</t>
  </si>
  <si>
    <t>Topología diferente a la solicitada</t>
  </si>
  <si>
    <t>-60%</t>
  </si>
  <si>
    <t>Se penaliza con el 60% del punteo total si la topología implementada difiere significativamente de la solicitada.</t>
  </si>
  <si>
    <t>P2</t>
  </si>
  <si>
    <t>Sin seguimiento por medio de Github o Gitlab</t>
  </si>
  <si>
    <t>-10%</t>
  </si>
  <si>
    <t>No se realizó control de versiones o seguimiento del proyecto en repositorio Git.</t>
  </si>
  <si>
    <t>P3</t>
  </si>
  <si>
    <t>Nombre del repositorio o organización de carpetas errónea</t>
  </si>
  <si>
    <t>-5%</t>
  </si>
  <si>
    <t>El nombre del repositorio no sigue las convenciones establecidas o la estructura de carpetas es incorrecta.</t>
  </si>
  <si>
    <t>P4</t>
  </si>
  <si>
    <t>Impuntualidad en la calificación</t>
  </si>
  <si>
    <t>El grupo no se presenta puntualmente a la sesión de calificación establecida.</t>
  </si>
  <si>
    <t>P5</t>
  </si>
  <si>
    <t>Entrega tarde</t>
  </si>
  <si>
    <t>-10 a -100%</t>
  </si>
  <si>
    <t>Se penaliza progresivamente según el tiempo de retraso.</t>
  </si>
  <si>
    <t>P6</t>
  </si>
  <si>
    <t>No están todos los estudiantes presentes en la calificación</t>
  </si>
  <si>
    <t>Algún miembro del grupo no está presente durante la sesión de calificación.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</si>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</sst>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2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FFFFFF"/>
      <name val="Calibri"/>
    </font>
    <font>
      <i/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  <fill>
      <patternFill patternType="solid">
        <fgColor rgb="FFFF6B6B"/>
        <bgColor rgb="FFFF6B6B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0" fontId="5" numFmtId="0" xfId="0" applyBorder="1" applyFont="1"/>
    <xf borderId="9" fillId="0" fontId="2" numFmtId="0" xfId="0" applyBorder="1" applyFont="1"/>
    <xf borderId="9" fillId="0" fontId="5" numFmtId="0" xfId="0" applyAlignment="1" applyBorder="1" applyFont="1">
      <alignment shrinkToFit="0" vertical="center" wrapText="1"/>
    </xf>
    <xf quotePrefix="1"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4" fillId="0" fontId="6" numFmtId="0" xfId="0" applyAlignment="1" applyBorder="1" applyFont="1">
      <alignment horizontal="center"/>
    </xf>
    <xf borderId="4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5" fillId="6" fontId="7" numFmtId="0" xfId="0" applyBorder="1" applyFill="1" applyFont="1"/>
    <xf borderId="4" fillId="6" fontId="7" numFmtId="0" xfId="0" applyAlignment="1" applyBorder="1" applyFont="1">
      <alignment horizontal="center"/>
    </xf>
    <xf borderId="4" fillId="7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5" fillId="2" fontId="1" numFmtId="0" xfId="0" applyBorder="1" applyFont="1"/>
    <xf borderId="4" fillId="2" fontId="1" numFmtId="0" xfId="0" applyAlignment="1" applyBorder="1" applyFont="1">
      <alignment horizontal="center"/>
    </xf>
    <xf borderId="5" fillId="2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0.0"/>
    <col customWidth="1" min="3" max="3" width="12.0"/>
    <col customWidth="1" min="4" max="4" width="18.0"/>
    <col customWidth="1" min="5" max="6" width="40.0"/>
    <col customWidth="1" min="7" max="7" width="12.0"/>
    <col customWidth="1" min="8" max="26" width="9.14"/>
  </cols>
  <sheetData>
    <row r="1">
      <c r="A1" s="1" t="s">
        <v>0</v>
      </c>
      <c r="B1" s="2"/>
      <c r="C1" s="2"/>
      <c r="D1" s="2"/>
      <c r="E1" s="2"/>
      <c r="F1" s="2"/>
      <c r="G1" s="3"/>
    </row>
    <row r="2" ht="39.75" customHeight="1">
      <c r="A2" s="4" t="s">
        <v>1</v>
      </c>
      <c r="B2" s="4" t="s">
        <v>2</v>
      </c>
      <c r="C2" s="4" t="s">
        <v>3</v>
      </c>
      <c r="D2" s="4"/>
      <c r="E2" s="4" t="s">
        <v>4</v>
      </c>
      <c r="F2" s="4" t="s">
        <v>5</v>
      </c>
      <c r="G2" s="4" t="s">
        <v>6</v>
      </c>
    </row>
    <row r="3">
      <c r="A3" s="5" t="s">
        <v>7</v>
      </c>
      <c r="B3" s="6"/>
      <c r="C3" s="6"/>
      <c r="D3" s="6"/>
      <c r="E3" s="6"/>
      <c r="F3" s="6"/>
      <c r="G3" s="7"/>
    </row>
    <row r="4" ht="25.5" customHeight="1">
      <c r="A4" s="8" t="s">
        <v>8</v>
      </c>
      <c r="B4" s="9" t="s">
        <v>9</v>
      </c>
      <c r="C4" s="8"/>
      <c r="D4" s="9"/>
      <c r="E4" s="9"/>
      <c r="F4" s="9"/>
      <c r="G4" s="9"/>
    </row>
    <row r="5">
      <c r="A5" s="10" t="s">
        <v>10</v>
      </c>
      <c r="B5" s="11" t="s">
        <v>11</v>
      </c>
      <c r="C5" s="10">
        <v>2.0</v>
      </c>
      <c r="D5" s="12" t="s">
        <v>12</v>
      </c>
      <c r="E5" s="13" t="s">
        <v>13</v>
      </c>
      <c r="F5" s="14" t="s">
        <v>14</v>
      </c>
      <c r="G5" s="15"/>
    </row>
    <row r="6">
      <c r="A6" s="16"/>
      <c r="B6" s="16"/>
      <c r="C6" s="16"/>
      <c r="D6" s="17" t="s">
        <v>15</v>
      </c>
      <c r="E6" s="18" t="s">
        <v>16</v>
      </c>
      <c r="F6" s="18" t="s">
        <v>17</v>
      </c>
      <c r="G6" s="15"/>
    </row>
    <row r="7">
      <c r="A7" s="10" t="s">
        <v>18</v>
      </c>
      <c r="B7" s="11" t="s">
        <v>19</v>
      </c>
      <c r="C7" s="10">
        <v>2.0</v>
      </c>
      <c r="D7" s="12" t="s">
        <v>12</v>
      </c>
      <c r="E7" s="13" t="s">
        <v>20</v>
      </c>
      <c r="F7" s="14" t="s">
        <v>21</v>
      </c>
      <c r="G7" s="19"/>
    </row>
    <row r="8">
      <c r="A8" s="16"/>
      <c r="B8" s="16"/>
      <c r="C8" s="16"/>
      <c r="D8" s="17" t="s">
        <v>15</v>
      </c>
      <c r="E8" s="18" t="s">
        <v>16</v>
      </c>
      <c r="F8" s="18" t="s">
        <v>17</v>
      </c>
      <c r="G8" s="15"/>
    </row>
    <row r="9">
      <c r="A9" s="15"/>
      <c r="B9" s="20" t="s">
        <v>22</v>
      </c>
      <c r="C9" s="21">
        <f>SUM(C5,C7)</f>
        <v>4</v>
      </c>
      <c r="D9" s="15"/>
      <c r="E9" s="15"/>
      <c r="F9" s="15"/>
      <c r="G9" s="15"/>
    </row>
    <row r="10">
      <c r="A10" s="8" t="s">
        <v>23</v>
      </c>
      <c r="B10" s="9" t="s">
        <v>24</v>
      </c>
      <c r="C10" s="8"/>
      <c r="D10" s="9"/>
      <c r="E10" s="9"/>
      <c r="F10" s="9"/>
      <c r="G10" s="9"/>
    </row>
    <row r="11">
      <c r="A11" s="10" t="s">
        <v>25</v>
      </c>
      <c r="B11" s="11" t="s">
        <v>26</v>
      </c>
      <c r="C11" s="10">
        <v>1.0</v>
      </c>
      <c r="D11" s="12" t="s">
        <v>12</v>
      </c>
      <c r="E11" s="13" t="s">
        <v>27</v>
      </c>
      <c r="F11" s="14" t="s">
        <v>28</v>
      </c>
      <c r="G11" s="19"/>
    </row>
    <row r="12">
      <c r="A12" s="16"/>
      <c r="B12" s="16"/>
      <c r="C12" s="16"/>
      <c r="D12" s="17" t="s">
        <v>15</v>
      </c>
      <c r="E12" s="18" t="s">
        <v>29</v>
      </c>
      <c r="F12" s="18" t="s">
        <v>30</v>
      </c>
      <c r="G12" s="15"/>
    </row>
    <row r="13">
      <c r="A13" s="10" t="s">
        <v>31</v>
      </c>
      <c r="B13" s="11" t="s">
        <v>32</v>
      </c>
      <c r="C13" s="10">
        <v>2.0</v>
      </c>
      <c r="D13" s="12" t="s">
        <v>12</v>
      </c>
      <c r="E13" s="13" t="s">
        <v>33</v>
      </c>
      <c r="F13" s="14" t="s">
        <v>34</v>
      </c>
      <c r="G13" s="19"/>
    </row>
    <row r="14">
      <c r="A14" s="16"/>
      <c r="B14" s="16"/>
      <c r="C14" s="16"/>
      <c r="D14" s="17" t="s">
        <v>15</v>
      </c>
      <c r="E14" s="18" t="s">
        <v>16</v>
      </c>
      <c r="F14" s="18" t="s">
        <v>17</v>
      </c>
      <c r="G14" s="15"/>
    </row>
    <row r="15">
      <c r="A15" s="15"/>
      <c r="B15" s="20" t="s">
        <v>22</v>
      </c>
      <c r="C15" s="21">
        <f>SUM(C11,C13)</f>
        <v>3</v>
      </c>
      <c r="D15" s="15"/>
      <c r="E15" s="15"/>
      <c r="F15" s="15"/>
      <c r="G15" s="15"/>
    </row>
    <row r="16">
      <c r="A16" s="8" t="s">
        <v>35</v>
      </c>
      <c r="B16" s="9" t="s">
        <v>36</v>
      </c>
      <c r="C16" s="8"/>
      <c r="D16" s="9"/>
      <c r="E16" s="9"/>
      <c r="F16" s="9"/>
      <c r="G16" s="9"/>
    </row>
    <row r="17">
      <c r="A17" s="10" t="s">
        <v>37</v>
      </c>
      <c r="B17" s="11" t="s">
        <v>38</v>
      </c>
      <c r="C17" s="10">
        <v>1.0</v>
      </c>
      <c r="D17" s="22" t="s">
        <v>12</v>
      </c>
      <c r="E17" s="13" t="s">
        <v>39</v>
      </c>
      <c r="F17" s="14" t="s">
        <v>40</v>
      </c>
      <c r="G17" s="19"/>
    </row>
    <row r="18">
      <c r="A18" s="16"/>
      <c r="B18" s="16"/>
      <c r="C18" s="16"/>
      <c r="D18" s="23" t="s">
        <v>15</v>
      </c>
      <c r="E18" s="18" t="s">
        <v>29</v>
      </c>
      <c r="F18" s="18" t="s">
        <v>30</v>
      </c>
      <c r="G18" s="15"/>
    </row>
    <row r="19">
      <c r="A19" s="10" t="s">
        <v>41</v>
      </c>
      <c r="B19" s="11" t="s">
        <v>42</v>
      </c>
      <c r="C19" s="10">
        <v>1.0</v>
      </c>
      <c r="D19" s="22" t="s">
        <v>12</v>
      </c>
      <c r="E19" s="13" t="s">
        <v>39</v>
      </c>
      <c r="F19" s="14" t="s">
        <v>40</v>
      </c>
      <c r="G19" s="19"/>
    </row>
    <row r="20">
      <c r="A20" s="16"/>
      <c r="B20" s="16"/>
      <c r="C20" s="16"/>
      <c r="D20" s="23" t="s">
        <v>15</v>
      </c>
      <c r="E20" s="18" t="s">
        <v>29</v>
      </c>
      <c r="F20" s="18" t="s">
        <v>30</v>
      </c>
      <c r="G20" s="15"/>
    </row>
    <row r="21" ht="15.75" customHeight="1">
      <c r="A21" s="10" t="s">
        <v>43</v>
      </c>
      <c r="B21" s="11" t="s">
        <v>44</v>
      </c>
      <c r="C21" s="10">
        <v>1.0</v>
      </c>
      <c r="D21" s="22" t="s">
        <v>12</v>
      </c>
      <c r="E21" s="13" t="s">
        <v>39</v>
      </c>
      <c r="F21" s="14" t="s">
        <v>40</v>
      </c>
      <c r="G21" s="19"/>
    </row>
    <row r="22" ht="15.75" customHeight="1">
      <c r="A22" s="16"/>
      <c r="B22" s="16"/>
      <c r="C22" s="16"/>
      <c r="D22" s="23" t="s">
        <v>15</v>
      </c>
      <c r="E22" s="18" t="s">
        <v>29</v>
      </c>
      <c r="F22" s="18" t="s">
        <v>30</v>
      </c>
      <c r="G22" s="15"/>
    </row>
    <row r="23" ht="15.75" customHeight="1">
      <c r="A23" s="10" t="s">
        <v>45</v>
      </c>
      <c r="B23" s="11" t="s">
        <v>46</v>
      </c>
      <c r="C23" s="10">
        <v>1.0</v>
      </c>
      <c r="D23" s="22" t="s">
        <v>12</v>
      </c>
      <c r="E23" s="13" t="s">
        <v>39</v>
      </c>
      <c r="F23" s="14" t="s">
        <v>40</v>
      </c>
      <c r="G23" s="19"/>
    </row>
    <row r="24" ht="15.75" customHeight="1">
      <c r="A24" s="16"/>
      <c r="B24" s="16"/>
      <c r="C24" s="16"/>
      <c r="D24" s="23" t="s">
        <v>15</v>
      </c>
      <c r="E24" s="18" t="s">
        <v>29</v>
      </c>
      <c r="F24" s="18" t="s">
        <v>30</v>
      </c>
      <c r="G24" s="15"/>
    </row>
    <row r="25" ht="15.75" customHeight="1">
      <c r="A25" s="10" t="s">
        <v>47</v>
      </c>
      <c r="B25" s="11" t="s">
        <v>48</v>
      </c>
      <c r="C25" s="10">
        <v>1.0</v>
      </c>
      <c r="D25" s="22" t="s">
        <v>12</v>
      </c>
      <c r="E25" s="13" t="s">
        <v>39</v>
      </c>
      <c r="F25" s="14" t="s">
        <v>40</v>
      </c>
      <c r="G25" s="19"/>
    </row>
    <row r="26" ht="15.75" customHeight="1">
      <c r="A26" s="16"/>
      <c r="B26" s="16"/>
      <c r="C26" s="16"/>
      <c r="D26" s="23" t="s">
        <v>15</v>
      </c>
      <c r="E26" s="18" t="s">
        <v>29</v>
      </c>
      <c r="F26" s="18" t="s">
        <v>30</v>
      </c>
      <c r="G26" s="15"/>
    </row>
    <row r="27" ht="15.75" customHeight="1">
      <c r="A27" s="10" t="s">
        <v>49</v>
      </c>
      <c r="B27" s="11" t="s">
        <v>50</v>
      </c>
      <c r="C27" s="10">
        <v>1.0</v>
      </c>
      <c r="D27" s="22" t="s">
        <v>12</v>
      </c>
      <c r="E27" s="13" t="s">
        <v>39</v>
      </c>
      <c r="F27" s="14" t="s">
        <v>40</v>
      </c>
      <c r="G27" s="19"/>
    </row>
    <row r="28" ht="15.75" customHeight="1">
      <c r="A28" s="16"/>
      <c r="B28" s="16"/>
      <c r="C28" s="16"/>
      <c r="D28" s="23" t="s">
        <v>15</v>
      </c>
      <c r="E28" s="18" t="s">
        <v>29</v>
      </c>
      <c r="F28" s="18" t="s">
        <v>30</v>
      </c>
      <c r="G28" s="15"/>
    </row>
    <row r="29" ht="15.75" customHeight="1">
      <c r="A29" s="15"/>
      <c r="B29" s="20" t="s">
        <v>22</v>
      </c>
      <c r="C29" s="21">
        <f>SUM(C27,C25,C23,C21,C19,C17,)</f>
        <v>6</v>
      </c>
      <c r="D29" s="15"/>
      <c r="E29" s="15"/>
      <c r="F29" s="15"/>
      <c r="G29" s="15"/>
    </row>
    <row r="30" ht="15.75" customHeight="1">
      <c r="A30" s="8" t="s">
        <v>51</v>
      </c>
      <c r="B30" s="9" t="s">
        <v>52</v>
      </c>
      <c r="C30" s="8"/>
      <c r="D30" s="9"/>
      <c r="E30" s="9"/>
      <c r="F30" s="9"/>
      <c r="G30" s="9"/>
    </row>
    <row r="31" ht="15.75" customHeight="1">
      <c r="A31" s="10" t="s">
        <v>53</v>
      </c>
      <c r="B31" s="11" t="s">
        <v>54</v>
      </c>
      <c r="C31" s="10">
        <v>3.0</v>
      </c>
      <c r="D31" s="22" t="s">
        <v>12</v>
      </c>
      <c r="E31" s="13" t="s">
        <v>55</v>
      </c>
      <c r="F31" s="14" t="s">
        <v>56</v>
      </c>
      <c r="G31" s="19"/>
    </row>
    <row r="32" ht="15.75" customHeight="1">
      <c r="A32" s="16"/>
      <c r="B32" s="16"/>
      <c r="C32" s="16"/>
      <c r="D32" s="23" t="s">
        <v>15</v>
      </c>
      <c r="E32" s="18" t="s">
        <v>57</v>
      </c>
      <c r="F32" s="18" t="s">
        <v>17</v>
      </c>
      <c r="G32" s="15"/>
    </row>
    <row r="33" ht="15.75" customHeight="1">
      <c r="A33" s="10" t="s">
        <v>58</v>
      </c>
      <c r="B33" s="11" t="s">
        <v>59</v>
      </c>
      <c r="C33" s="10">
        <v>3.0</v>
      </c>
      <c r="D33" s="22" t="s">
        <v>12</v>
      </c>
      <c r="E33" s="13" t="s">
        <v>55</v>
      </c>
      <c r="F33" s="14" t="s">
        <v>56</v>
      </c>
      <c r="G33" s="19"/>
    </row>
    <row r="34" ht="15.75" customHeight="1">
      <c r="A34" s="16"/>
      <c r="B34" s="16"/>
      <c r="C34" s="16"/>
      <c r="D34" s="23" t="s">
        <v>15</v>
      </c>
      <c r="E34" s="18" t="s">
        <v>57</v>
      </c>
      <c r="F34" s="18" t="s">
        <v>17</v>
      </c>
      <c r="G34" s="15"/>
    </row>
    <row r="35" ht="15.75" customHeight="1">
      <c r="A35" s="10" t="s">
        <v>60</v>
      </c>
      <c r="B35" s="11" t="s">
        <v>61</v>
      </c>
      <c r="C35" s="10">
        <v>3.0</v>
      </c>
      <c r="D35" s="22" t="s">
        <v>12</v>
      </c>
      <c r="E35" s="13" t="s">
        <v>55</v>
      </c>
      <c r="F35" s="14" t="s">
        <v>56</v>
      </c>
      <c r="G35" s="19"/>
    </row>
    <row r="36" ht="15.75" customHeight="1">
      <c r="A36" s="16"/>
      <c r="B36" s="16"/>
      <c r="C36" s="16"/>
      <c r="D36" s="23" t="s">
        <v>15</v>
      </c>
      <c r="E36" s="18" t="s">
        <v>57</v>
      </c>
      <c r="F36" s="18" t="s">
        <v>17</v>
      </c>
      <c r="G36" s="15"/>
    </row>
    <row r="37" ht="15.75" customHeight="1">
      <c r="A37" s="10" t="s">
        <v>62</v>
      </c>
      <c r="B37" s="11" t="s">
        <v>63</v>
      </c>
      <c r="C37" s="10">
        <v>3.0</v>
      </c>
      <c r="D37" s="22" t="s">
        <v>12</v>
      </c>
      <c r="E37" s="13" t="s">
        <v>55</v>
      </c>
      <c r="F37" s="14" t="s">
        <v>56</v>
      </c>
      <c r="G37" s="19"/>
    </row>
    <row r="38" ht="15.75" customHeight="1">
      <c r="A38" s="16"/>
      <c r="B38" s="16"/>
      <c r="C38" s="16"/>
      <c r="D38" s="23" t="s">
        <v>15</v>
      </c>
      <c r="E38" s="18" t="s">
        <v>57</v>
      </c>
      <c r="F38" s="18" t="s">
        <v>17</v>
      </c>
      <c r="G38" s="15"/>
    </row>
    <row r="39" ht="15.75" customHeight="1">
      <c r="A39" s="10" t="s">
        <v>64</v>
      </c>
      <c r="B39" s="11" t="s">
        <v>65</v>
      </c>
      <c r="C39" s="10">
        <v>3.0</v>
      </c>
      <c r="D39" s="22" t="s">
        <v>12</v>
      </c>
      <c r="E39" s="13" t="s">
        <v>55</v>
      </c>
      <c r="F39" s="14" t="s">
        <v>56</v>
      </c>
      <c r="G39" s="19"/>
    </row>
    <row r="40" ht="15.75" customHeight="1">
      <c r="A40" s="16"/>
      <c r="B40" s="16"/>
      <c r="C40" s="16"/>
      <c r="D40" s="23" t="s">
        <v>15</v>
      </c>
      <c r="E40" s="18" t="s">
        <v>57</v>
      </c>
      <c r="F40" s="18" t="s">
        <v>17</v>
      </c>
      <c r="G40" s="15"/>
    </row>
    <row r="41" ht="15.75" customHeight="1">
      <c r="A41" s="10" t="s">
        <v>66</v>
      </c>
      <c r="B41" s="11" t="s">
        <v>67</v>
      </c>
      <c r="C41" s="10">
        <v>3.0</v>
      </c>
      <c r="D41" s="22" t="s">
        <v>12</v>
      </c>
      <c r="E41" s="13" t="s">
        <v>55</v>
      </c>
      <c r="F41" s="14" t="s">
        <v>56</v>
      </c>
      <c r="G41" s="19"/>
    </row>
    <row r="42" ht="15.75" customHeight="1">
      <c r="A42" s="16"/>
      <c r="B42" s="16"/>
      <c r="C42" s="16"/>
      <c r="D42" s="23" t="s">
        <v>15</v>
      </c>
      <c r="E42" s="18" t="s">
        <v>57</v>
      </c>
      <c r="F42" s="18" t="s">
        <v>17</v>
      </c>
      <c r="G42" s="15"/>
    </row>
    <row r="43" ht="15.75" customHeight="1">
      <c r="A43" s="10" t="s">
        <v>68</v>
      </c>
      <c r="B43" s="11" t="s">
        <v>69</v>
      </c>
      <c r="C43" s="10">
        <v>3.0</v>
      </c>
      <c r="D43" s="22" t="s">
        <v>12</v>
      </c>
      <c r="E43" s="13" t="s">
        <v>55</v>
      </c>
      <c r="F43" s="14" t="s">
        <v>56</v>
      </c>
      <c r="G43" s="19"/>
    </row>
    <row r="44" ht="15.75" customHeight="1">
      <c r="A44" s="16"/>
      <c r="B44" s="16"/>
      <c r="C44" s="16"/>
      <c r="D44" s="23" t="s">
        <v>15</v>
      </c>
      <c r="E44" s="18" t="s">
        <v>57</v>
      </c>
      <c r="F44" s="18" t="s">
        <v>17</v>
      </c>
      <c r="G44" s="15"/>
    </row>
    <row r="45" ht="15.75" customHeight="1">
      <c r="A45" s="10" t="s">
        <v>70</v>
      </c>
      <c r="B45" s="11" t="s">
        <v>71</v>
      </c>
      <c r="C45" s="10">
        <v>3.0</v>
      </c>
      <c r="D45" s="22" t="s">
        <v>12</v>
      </c>
      <c r="E45" s="13" t="s">
        <v>55</v>
      </c>
      <c r="F45" s="14" t="s">
        <v>56</v>
      </c>
      <c r="G45" s="19"/>
    </row>
    <row r="46" ht="15.75" customHeight="1">
      <c r="A46" s="16"/>
      <c r="B46" s="16"/>
      <c r="C46" s="16"/>
      <c r="D46" s="23" t="s">
        <v>15</v>
      </c>
      <c r="E46" s="18" t="s">
        <v>57</v>
      </c>
      <c r="F46" s="18" t="s">
        <v>17</v>
      </c>
      <c r="G46" s="15"/>
    </row>
    <row r="47" ht="15.75" customHeight="1">
      <c r="A47" s="10" t="s">
        <v>72</v>
      </c>
      <c r="B47" s="11" t="s">
        <v>73</v>
      </c>
      <c r="C47" s="10">
        <v>3.0</v>
      </c>
      <c r="D47" s="22" t="s">
        <v>12</v>
      </c>
      <c r="E47" s="13" t="s">
        <v>55</v>
      </c>
      <c r="F47" s="14" t="s">
        <v>56</v>
      </c>
      <c r="G47" s="19"/>
    </row>
    <row r="48" ht="15.75" customHeight="1">
      <c r="A48" s="16"/>
      <c r="B48" s="16"/>
      <c r="C48" s="16"/>
      <c r="D48" s="23" t="s">
        <v>15</v>
      </c>
      <c r="E48" s="18" t="s">
        <v>57</v>
      </c>
      <c r="F48" s="18" t="s">
        <v>17</v>
      </c>
      <c r="G48" s="15"/>
    </row>
    <row r="49" ht="15.75" customHeight="1">
      <c r="A49" s="15"/>
      <c r="B49" s="20" t="s">
        <v>22</v>
      </c>
      <c r="C49" s="21">
        <f>SUM(C31,C33,C35,C37,C39,C41,C43,C45,C47)</f>
        <v>27</v>
      </c>
      <c r="D49" s="15"/>
      <c r="E49" s="15"/>
      <c r="F49" s="15"/>
      <c r="G49" s="15"/>
    </row>
    <row r="50" ht="15.75" customHeight="1">
      <c r="A50" s="8" t="s">
        <v>74</v>
      </c>
      <c r="B50" s="9" t="s">
        <v>75</v>
      </c>
      <c r="C50" s="8"/>
      <c r="D50" s="9"/>
      <c r="E50" s="9"/>
      <c r="F50" s="9"/>
      <c r="G50" s="9"/>
    </row>
    <row r="51" ht="15.75" customHeight="1">
      <c r="A51" s="10" t="s">
        <v>76</v>
      </c>
      <c r="B51" s="11" t="s">
        <v>77</v>
      </c>
      <c r="C51" s="10">
        <v>4.0</v>
      </c>
      <c r="D51" s="22" t="s">
        <v>12</v>
      </c>
      <c r="E51" s="13" t="s">
        <v>78</v>
      </c>
      <c r="F51" s="14" t="s">
        <v>79</v>
      </c>
      <c r="G51" s="19"/>
    </row>
    <row r="52" ht="15.75" customHeight="1">
      <c r="A52" s="16"/>
      <c r="B52" s="16"/>
      <c r="C52" s="16"/>
      <c r="D52" s="23" t="s">
        <v>15</v>
      </c>
      <c r="E52" s="18" t="s">
        <v>80</v>
      </c>
      <c r="F52" s="18" t="s">
        <v>17</v>
      </c>
      <c r="G52" s="15"/>
    </row>
    <row r="53" ht="15.75" customHeight="1">
      <c r="A53" s="10" t="s">
        <v>81</v>
      </c>
      <c r="B53" s="11" t="s">
        <v>82</v>
      </c>
      <c r="C53" s="10">
        <v>4.0</v>
      </c>
      <c r="D53" s="22" t="s">
        <v>12</v>
      </c>
      <c r="E53" s="13" t="s">
        <v>83</v>
      </c>
      <c r="F53" s="14" t="s">
        <v>84</v>
      </c>
      <c r="G53" s="19"/>
    </row>
    <row r="54" ht="15.75" customHeight="1">
      <c r="A54" s="16"/>
      <c r="B54" s="16"/>
      <c r="C54" s="16"/>
      <c r="D54" s="23" t="s">
        <v>15</v>
      </c>
      <c r="E54" s="18" t="s">
        <v>80</v>
      </c>
      <c r="F54" s="18" t="s">
        <v>17</v>
      </c>
      <c r="G54" s="15"/>
    </row>
    <row r="55" ht="15.75" customHeight="1">
      <c r="A55" s="10" t="s">
        <v>85</v>
      </c>
      <c r="B55" s="11" t="s">
        <v>86</v>
      </c>
      <c r="C55" s="10">
        <v>2.0</v>
      </c>
      <c r="D55" s="22" t="s">
        <v>12</v>
      </c>
      <c r="E55" s="13" t="s">
        <v>87</v>
      </c>
      <c r="F55" s="14" t="s">
        <v>88</v>
      </c>
      <c r="G55" s="19"/>
    </row>
    <row r="56" ht="15.75" customHeight="1">
      <c r="A56" s="16"/>
      <c r="B56" s="16"/>
      <c r="C56" s="16"/>
      <c r="D56" s="23" t="s">
        <v>15</v>
      </c>
      <c r="E56" s="18" t="s">
        <v>16</v>
      </c>
      <c r="F56" s="18" t="s">
        <v>17</v>
      </c>
      <c r="G56" s="15"/>
    </row>
    <row r="57" ht="15.75" customHeight="1">
      <c r="A57" s="15"/>
      <c r="B57" s="20" t="s">
        <v>22</v>
      </c>
      <c r="C57" s="21">
        <f>SUM(C51:C56)</f>
        <v>10</v>
      </c>
      <c r="D57" s="15"/>
      <c r="E57" s="15"/>
      <c r="F57" s="15"/>
      <c r="G57" s="15"/>
    </row>
    <row r="58" ht="15.75" customHeight="1">
      <c r="A58" s="8" t="s">
        <v>89</v>
      </c>
      <c r="B58" s="9" t="s">
        <v>90</v>
      </c>
      <c r="C58" s="8"/>
      <c r="D58" s="9"/>
      <c r="E58" s="9"/>
      <c r="F58" s="9"/>
      <c r="G58" s="9"/>
    </row>
    <row r="59" ht="15.75" customHeight="1">
      <c r="A59" s="10" t="s">
        <v>91</v>
      </c>
      <c r="B59" s="11" t="s">
        <v>92</v>
      </c>
      <c r="C59" s="10">
        <v>2.0</v>
      </c>
      <c r="D59" s="22" t="s">
        <v>12</v>
      </c>
      <c r="E59" s="13" t="s">
        <v>93</v>
      </c>
      <c r="F59" s="14" t="s">
        <v>94</v>
      </c>
      <c r="G59" s="19"/>
    </row>
    <row r="60" ht="15.75" customHeight="1">
      <c r="A60" s="16"/>
      <c r="B60" s="16"/>
      <c r="C60" s="16"/>
      <c r="D60" s="23" t="s">
        <v>15</v>
      </c>
      <c r="E60" s="18" t="s">
        <v>16</v>
      </c>
      <c r="F60" s="18" t="s">
        <v>17</v>
      </c>
      <c r="G60" s="15"/>
    </row>
    <row r="61" ht="15.75" customHeight="1">
      <c r="A61" s="10" t="s">
        <v>95</v>
      </c>
      <c r="B61" s="11" t="s">
        <v>96</v>
      </c>
      <c r="C61" s="10">
        <v>2.0</v>
      </c>
      <c r="D61" s="22" t="s">
        <v>12</v>
      </c>
      <c r="E61" s="13" t="s">
        <v>97</v>
      </c>
      <c r="F61" s="14" t="s">
        <v>98</v>
      </c>
      <c r="G61" s="19"/>
    </row>
    <row r="62" ht="15.75" customHeight="1">
      <c r="A62" s="16"/>
      <c r="B62" s="16"/>
      <c r="C62" s="16"/>
      <c r="D62" s="23" t="s">
        <v>15</v>
      </c>
      <c r="E62" s="18" t="s">
        <v>16</v>
      </c>
      <c r="F62" s="18" t="s">
        <v>17</v>
      </c>
      <c r="G62" s="15"/>
    </row>
    <row r="63" ht="15.75" customHeight="1">
      <c r="A63" s="15"/>
      <c r="B63" s="20" t="s">
        <v>22</v>
      </c>
      <c r="C63" s="21">
        <f>SUM(C59:C62)</f>
        <v>4</v>
      </c>
      <c r="D63" s="15"/>
      <c r="E63" s="15"/>
      <c r="F63" s="15"/>
      <c r="G63" s="15"/>
    </row>
    <row r="64" ht="15.75" customHeight="1">
      <c r="A64" s="8" t="s">
        <v>99</v>
      </c>
      <c r="B64" s="9" t="s">
        <v>100</v>
      </c>
      <c r="C64" s="8"/>
      <c r="D64" s="9"/>
      <c r="E64" s="9"/>
      <c r="F64" s="9"/>
      <c r="G64" s="9"/>
    </row>
    <row r="65" ht="15.75" customHeight="1">
      <c r="A65" s="10" t="s">
        <v>101</v>
      </c>
      <c r="B65" s="11" t="s">
        <v>102</v>
      </c>
      <c r="C65" s="10">
        <v>3.0</v>
      </c>
      <c r="D65" s="12" t="s">
        <v>12</v>
      </c>
      <c r="E65" s="13" t="s">
        <v>103</v>
      </c>
      <c r="F65" s="14" t="s">
        <v>104</v>
      </c>
      <c r="G65" s="19"/>
    </row>
    <row r="66" ht="15.75" customHeight="1">
      <c r="A66" s="16"/>
      <c r="B66" s="16"/>
      <c r="C66" s="16"/>
      <c r="D66" s="17" t="s">
        <v>15</v>
      </c>
      <c r="E66" s="18" t="s">
        <v>57</v>
      </c>
      <c r="F66" s="18" t="s">
        <v>17</v>
      </c>
      <c r="G66" s="15"/>
    </row>
    <row r="67" ht="15.75" customHeight="1">
      <c r="A67" s="10" t="s">
        <v>105</v>
      </c>
      <c r="B67" s="11" t="s">
        <v>106</v>
      </c>
      <c r="C67" s="10">
        <v>3.0</v>
      </c>
      <c r="D67" s="12" t="s">
        <v>12</v>
      </c>
      <c r="E67" s="13" t="s">
        <v>107</v>
      </c>
      <c r="F67" s="14" t="s">
        <v>108</v>
      </c>
      <c r="G67" s="19"/>
    </row>
    <row r="68" ht="15.75" customHeight="1">
      <c r="A68" s="16"/>
      <c r="B68" s="16"/>
      <c r="C68" s="16"/>
      <c r="D68" s="17" t="s">
        <v>15</v>
      </c>
      <c r="E68" s="18" t="s">
        <v>57</v>
      </c>
      <c r="F68" s="18" t="s">
        <v>17</v>
      </c>
      <c r="G68" s="15"/>
    </row>
    <row r="69" ht="15.75" customHeight="1">
      <c r="A69" s="10" t="s">
        <v>109</v>
      </c>
      <c r="B69" s="11" t="s">
        <v>110</v>
      </c>
      <c r="C69" s="10">
        <v>3.0</v>
      </c>
      <c r="D69" s="12" t="s">
        <v>12</v>
      </c>
      <c r="E69" s="13" t="s">
        <v>111</v>
      </c>
      <c r="F69" s="14" t="s">
        <v>112</v>
      </c>
      <c r="G69" s="19"/>
    </row>
    <row r="70" ht="15.75" customHeight="1">
      <c r="A70" s="16"/>
      <c r="B70" s="16"/>
      <c r="C70" s="16"/>
      <c r="D70" s="17" t="s">
        <v>15</v>
      </c>
      <c r="E70" s="18" t="s">
        <v>57</v>
      </c>
      <c r="F70" s="18" t="s">
        <v>17</v>
      </c>
      <c r="G70" s="15"/>
    </row>
    <row r="71" ht="15.75" customHeight="1">
      <c r="A71" s="15"/>
      <c r="B71" s="20" t="s">
        <v>22</v>
      </c>
      <c r="C71" s="21">
        <f>SUM(C65:C70)</f>
        <v>9</v>
      </c>
      <c r="D71" s="15"/>
      <c r="E71" s="15"/>
      <c r="F71" s="15"/>
      <c r="G71" s="15"/>
    </row>
    <row r="72" ht="15.75" customHeight="1">
      <c r="A72" s="8" t="s">
        <v>113</v>
      </c>
      <c r="B72" s="9" t="s">
        <v>114</v>
      </c>
      <c r="C72" s="8"/>
      <c r="D72" s="9"/>
      <c r="E72" s="9"/>
      <c r="F72" s="9"/>
      <c r="G72" s="9"/>
    </row>
    <row r="73" ht="15.75" customHeight="1">
      <c r="A73" s="10" t="s">
        <v>115</v>
      </c>
      <c r="B73" s="11" t="s">
        <v>116</v>
      </c>
      <c r="C73" s="10">
        <v>7.0</v>
      </c>
      <c r="D73" s="19" t="s">
        <v>12</v>
      </c>
      <c r="E73" s="13" t="s">
        <v>117</v>
      </c>
      <c r="F73" s="14" t="s">
        <v>118</v>
      </c>
      <c r="G73" s="19"/>
    </row>
    <row r="74" ht="15.75" customHeight="1">
      <c r="A74" s="16"/>
      <c r="B74" s="16"/>
      <c r="C74" s="16"/>
      <c r="D74" s="17" t="s">
        <v>15</v>
      </c>
      <c r="E74" s="18" t="s">
        <v>119</v>
      </c>
      <c r="F74" s="18" t="s">
        <v>120</v>
      </c>
      <c r="G74" s="15"/>
    </row>
    <row r="75" ht="15.75" customHeight="1">
      <c r="A75" s="15"/>
      <c r="B75" s="20" t="s">
        <v>22</v>
      </c>
      <c r="C75" s="21">
        <f>SUM(C73)</f>
        <v>7</v>
      </c>
      <c r="D75" s="15"/>
      <c r="E75" s="15"/>
      <c r="F75" s="15"/>
      <c r="G75" s="15"/>
    </row>
    <row r="76" ht="15.75" customHeight="1">
      <c r="A76" s="24" t="s">
        <v>121</v>
      </c>
      <c r="B76" s="7"/>
      <c r="C76" s="25">
        <f>SUM(C75,C71,C63,C57,C49,C29,C15,C9)</f>
        <v>70</v>
      </c>
      <c r="D76" s="24"/>
      <c r="E76" s="7"/>
      <c r="F76" s="24"/>
      <c r="G76" s="7"/>
    </row>
    <row r="77" ht="15.75" customHeight="1">
      <c r="A77" s="5" t="s">
        <v>122</v>
      </c>
      <c r="B77" s="6"/>
      <c r="C77" s="6"/>
      <c r="D77" s="6"/>
      <c r="E77" s="6"/>
      <c r="F77" s="6"/>
      <c r="G77" s="7"/>
    </row>
    <row r="78" ht="15.75" customHeight="1">
      <c r="A78" s="8" t="s">
        <v>123</v>
      </c>
      <c r="B78" s="9" t="s">
        <v>124</v>
      </c>
      <c r="C78" s="8"/>
      <c r="D78" s="9"/>
      <c r="E78" s="9"/>
      <c r="F78" s="9"/>
      <c r="G78" s="9"/>
    </row>
    <row r="79" ht="15.75" customHeight="1">
      <c r="A79" s="10" t="s">
        <v>125</v>
      </c>
      <c r="B79" s="10" t="s">
        <v>126</v>
      </c>
      <c r="C79" s="10">
        <v>10.0</v>
      </c>
      <c r="D79" s="19" t="s">
        <v>12</v>
      </c>
      <c r="E79" s="13" t="s">
        <v>127</v>
      </c>
      <c r="F79" s="14" t="s">
        <v>128</v>
      </c>
      <c r="G79" s="19"/>
    </row>
    <row r="80" ht="15.75" customHeight="1">
      <c r="A80" s="16"/>
      <c r="B80" s="16"/>
      <c r="C80" s="16"/>
      <c r="D80" s="23" t="s">
        <v>15</v>
      </c>
      <c r="E80" s="18" t="s">
        <v>129</v>
      </c>
      <c r="F80" s="18" t="s">
        <v>130</v>
      </c>
      <c r="G80" s="15"/>
    </row>
    <row r="81" ht="15.75" customHeight="1">
      <c r="A81" s="10" t="s">
        <v>131</v>
      </c>
      <c r="B81" s="10" t="s">
        <v>132</v>
      </c>
      <c r="C81" s="10">
        <v>10.0</v>
      </c>
      <c r="D81" s="19" t="s">
        <v>12</v>
      </c>
      <c r="E81" s="13" t="s">
        <v>127</v>
      </c>
      <c r="F81" s="14" t="s">
        <v>128</v>
      </c>
      <c r="G81" s="19"/>
    </row>
    <row r="82" ht="15.75" customHeight="1">
      <c r="A82" s="16"/>
      <c r="B82" s="16"/>
      <c r="C82" s="16"/>
      <c r="D82" s="23" t="s">
        <v>15</v>
      </c>
      <c r="E82" s="18" t="s">
        <v>129</v>
      </c>
      <c r="F82" s="18" t="s">
        <v>130</v>
      </c>
      <c r="G82" s="15"/>
    </row>
    <row r="83" ht="15.75" customHeight="1">
      <c r="A83" s="10" t="s">
        <v>133</v>
      </c>
      <c r="B83" s="10" t="s">
        <v>134</v>
      </c>
      <c r="C83" s="10">
        <v>10.0</v>
      </c>
      <c r="D83" s="19" t="s">
        <v>12</v>
      </c>
      <c r="E83" s="13" t="s">
        <v>127</v>
      </c>
      <c r="F83" s="14" t="s">
        <v>128</v>
      </c>
      <c r="G83" s="19"/>
    </row>
    <row r="84" ht="15.75" customHeight="1">
      <c r="A84" s="16"/>
      <c r="B84" s="16"/>
      <c r="C84" s="16"/>
      <c r="D84" s="23" t="s">
        <v>15</v>
      </c>
      <c r="E84" s="18" t="s">
        <v>129</v>
      </c>
      <c r="F84" s="18" t="s">
        <v>130</v>
      </c>
      <c r="G84" s="15"/>
    </row>
    <row r="85" ht="15.75" customHeight="1">
      <c r="A85" s="15"/>
      <c r="B85" s="20" t="s">
        <v>22</v>
      </c>
      <c r="C85" s="21">
        <f>SUM(C79:C84)</f>
        <v>30</v>
      </c>
      <c r="D85" s="15"/>
      <c r="E85" s="15"/>
      <c r="F85" s="15"/>
      <c r="G85" s="15"/>
    </row>
    <row r="86" ht="15.75" customHeight="1">
      <c r="A86" s="24" t="s">
        <v>121</v>
      </c>
      <c r="B86" s="7"/>
      <c r="C86" s="25">
        <f>SUM(C85)</f>
        <v>30</v>
      </c>
      <c r="D86" s="24"/>
      <c r="E86" s="7"/>
      <c r="F86" s="24"/>
      <c r="G86" s="7"/>
    </row>
    <row r="87" ht="15.75" customHeight="1">
      <c r="A87" s="8"/>
      <c r="B87" s="9" t="s">
        <v>135</v>
      </c>
      <c r="C87" s="8"/>
      <c r="D87" s="9"/>
      <c r="E87" s="9"/>
      <c r="F87" s="9"/>
      <c r="G87" s="9"/>
    </row>
    <row r="88" ht="25.5" customHeight="1">
      <c r="A88" s="26" t="s">
        <v>136</v>
      </c>
      <c r="B88" s="27" t="s">
        <v>137</v>
      </c>
      <c r="C88" s="26" t="s">
        <v>138</v>
      </c>
      <c r="D88" s="28" t="s">
        <v>139</v>
      </c>
      <c r="E88" s="6"/>
      <c r="F88" s="6"/>
      <c r="G88" s="7"/>
    </row>
    <row r="89" ht="20.25" customHeight="1">
      <c r="A89" s="26" t="s">
        <v>140</v>
      </c>
      <c r="B89" s="27" t="s">
        <v>141</v>
      </c>
      <c r="C89" s="26" t="s">
        <v>142</v>
      </c>
      <c r="D89" s="28" t="s">
        <v>143</v>
      </c>
      <c r="E89" s="6"/>
      <c r="F89" s="6"/>
      <c r="G89" s="7"/>
    </row>
    <row r="90" ht="37.5" customHeight="1">
      <c r="A90" s="26" t="s">
        <v>144</v>
      </c>
      <c r="B90" s="27" t="s">
        <v>145</v>
      </c>
      <c r="C90" s="26" t="s">
        <v>146</v>
      </c>
      <c r="D90" s="28" t="s">
        <v>147</v>
      </c>
      <c r="E90" s="6"/>
      <c r="F90" s="6"/>
      <c r="G90" s="7"/>
    </row>
    <row r="91" ht="28.5" customHeight="1">
      <c r="A91" s="26" t="s">
        <v>148</v>
      </c>
      <c r="B91" s="27" t="s">
        <v>149</v>
      </c>
      <c r="C91" s="26" t="s">
        <v>142</v>
      </c>
      <c r="D91" s="28" t="s">
        <v>150</v>
      </c>
      <c r="E91" s="6"/>
      <c r="F91" s="6"/>
      <c r="G91" s="7"/>
    </row>
    <row r="92" ht="20.25" customHeight="1">
      <c r="A92" s="26" t="s">
        <v>151</v>
      </c>
      <c r="B92" s="27" t="s">
        <v>152</v>
      </c>
      <c r="C92" s="26" t="s">
        <v>153</v>
      </c>
      <c r="D92" s="28" t="s">
        <v>154</v>
      </c>
      <c r="E92" s="6"/>
      <c r="F92" s="6"/>
      <c r="G92" s="7"/>
    </row>
    <row r="93" ht="30.0" customHeight="1">
      <c r="A93" s="26" t="s">
        <v>155</v>
      </c>
      <c r="B93" s="27" t="s">
        <v>156</v>
      </c>
      <c r="C93" s="26" t="s">
        <v>142</v>
      </c>
      <c r="D93" s="28" t="s">
        <v>157</v>
      </c>
      <c r="E93" s="6"/>
      <c r="F93" s="6"/>
      <c r="G93" s="7"/>
    </row>
    <row r="94" ht="18.75" customHeight="1">
      <c r="A94" s="29" t="s">
        <v>158</v>
      </c>
      <c r="B94" s="7"/>
      <c r="C94" s="30">
        <f>SUM(C86,C76)</f>
        <v>100</v>
      </c>
      <c r="D94" s="31"/>
      <c r="E94" s="6"/>
      <c r="F94" s="6"/>
      <c r="G94" s="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1:G1"/>
    <mergeCell ref="A3:G3"/>
    <mergeCell ref="A5:A6"/>
    <mergeCell ref="B5:B6"/>
    <mergeCell ref="C5:C6"/>
    <mergeCell ref="B7:B8"/>
    <mergeCell ref="C7:C8"/>
    <mergeCell ref="A7:A8"/>
    <mergeCell ref="A11:A12"/>
    <mergeCell ref="B11:B12"/>
    <mergeCell ref="C11:C12"/>
    <mergeCell ref="A13:A14"/>
    <mergeCell ref="B13:B14"/>
    <mergeCell ref="C13:C14"/>
    <mergeCell ref="B21:B22"/>
    <mergeCell ref="C21:C22"/>
    <mergeCell ref="A17:A18"/>
    <mergeCell ref="B17:B18"/>
    <mergeCell ref="C17:C18"/>
    <mergeCell ref="A19:A20"/>
    <mergeCell ref="B19:B20"/>
    <mergeCell ref="C19:C20"/>
    <mergeCell ref="A21:A22"/>
    <mergeCell ref="B27:B28"/>
    <mergeCell ref="C27:C28"/>
    <mergeCell ref="A23:A24"/>
    <mergeCell ref="B23:B24"/>
    <mergeCell ref="C23:C24"/>
    <mergeCell ref="A25:A26"/>
    <mergeCell ref="B25:B26"/>
    <mergeCell ref="C25:C26"/>
    <mergeCell ref="A27:A28"/>
    <mergeCell ref="A37:A38"/>
    <mergeCell ref="B37:B38"/>
    <mergeCell ref="C37:C38"/>
    <mergeCell ref="B59:B60"/>
    <mergeCell ref="C59:C60"/>
    <mergeCell ref="A53:A54"/>
    <mergeCell ref="B53:B54"/>
    <mergeCell ref="C53:C54"/>
    <mergeCell ref="A55:A56"/>
    <mergeCell ref="B55:B56"/>
    <mergeCell ref="C55:C56"/>
    <mergeCell ref="A59:A60"/>
    <mergeCell ref="B67:B68"/>
    <mergeCell ref="C67:C68"/>
    <mergeCell ref="D76:E76"/>
    <mergeCell ref="F76:G76"/>
    <mergeCell ref="A77:G77"/>
    <mergeCell ref="A61:A62"/>
    <mergeCell ref="B61:B62"/>
    <mergeCell ref="C61:C62"/>
    <mergeCell ref="A65:A66"/>
    <mergeCell ref="B65:B66"/>
    <mergeCell ref="C65:C66"/>
    <mergeCell ref="A67:A68"/>
    <mergeCell ref="A79:A80"/>
    <mergeCell ref="B79:B80"/>
    <mergeCell ref="C79:C80"/>
    <mergeCell ref="A81:A82"/>
    <mergeCell ref="B81:B82"/>
    <mergeCell ref="C81:C82"/>
    <mergeCell ref="A83:A84"/>
    <mergeCell ref="A86:B86"/>
    <mergeCell ref="D91:G91"/>
    <mergeCell ref="D92:G92"/>
    <mergeCell ref="D93:G93"/>
    <mergeCell ref="A94:B94"/>
    <mergeCell ref="D94:G94"/>
    <mergeCell ref="B83:B84"/>
    <mergeCell ref="C83:C84"/>
    <mergeCell ref="D86:E86"/>
    <mergeCell ref="F86:G86"/>
    <mergeCell ref="D88:G88"/>
    <mergeCell ref="D89:G89"/>
    <mergeCell ref="D90:G90"/>
    <mergeCell ref="B35:B36"/>
    <mergeCell ref="C35:C36"/>
    <mergeCell ref="A31:A32"/>
    <mergeCell ref="B31:B32"/>
    <mergeCell ref="C31:C32"/>
    <mergeCell ref="A33:A34"/>
    <mergeCell ref="B33:B34"/>
    <mergeCell ref="C33:C34"/>
    <mergeCell ref="A35:A36"/>
    <mergeCell ref="B43:B44"/>
    <mergeCell ref="C43:C44"/>
    <mergeCell ref="A39:A40"/>
    <mergeCell ref="B39:B40"/>
    <mergeCell ref="C39:C40"/>
    <mergeCell ref="A41:A42"/>
    <mergeCell ref="B41:B42"/>
    <mergeCell ref="C41:C42"/>
    <mergeCell ref="A43:A44"/>
    <mergeCell ref="B51:B52"/>
    <mergeCell ref="C51:C52"/>
    <mergeCell ref="A45:A46"/>
    <mergeCell ref="B45:B46"/>
    <mergeCell ref="C45:C46"/>
    <mergeCell ref="A47:A48"/>
    <mergeCell ref="B47:B48"/>
    <mergeCell ref="C47:C48"/>
    <mergeCell ref="A51:A52"/>
    <mergeCell ref="A69:A70"/>
    <mergeCell ref="B69:B70"/>
    <mergeCell ref="C69:C70"/>
    <mergeCell ref="A73:A74"/>
    <mergeCell ref="B73:B74"/>
    <mergeCell ref="C73:C74"/>
    <mergeCell ref="A76:B7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2025-11-01T01:49:00Z</dcterms:created>
  <dc:creator>openpyxl</dc:creator>
</cp:coreProperties>
</file>