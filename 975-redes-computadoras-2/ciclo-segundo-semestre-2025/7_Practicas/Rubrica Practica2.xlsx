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5gonz\OneDrive\Escritorio\"/>
    </mc:Choice>
  </mc:AlternateContent>
  <xr:revisionPtr revIDLastSave="0" documentId="13_ncr:1_{55BCEFB6-A85C-44B2-A7F7-60BF0B303EB7}" xr6:coauthVersionLast="47" xr6:coauthVersionMax="47" xr10:uidLastSave="{00000000-0000-0000-0000-000000000000}"/>
  <bookViews>
    <workbookView xWindow="-108" yWindow="-108" windowWidth="23256" windowHeight="12456" xr2:uid="{30A5D2C7-42AB-4BEF-ACD4-637439B668D6}"/>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1" i="1" l="1"/>
  <c r="C67" i="1"/>
  <c r="C57" i="1"/>
  <c r="C51" i="1"/>
  <c r="C39" i="1"/>
  <c r="C31" i="1"/>
  <c r="C23" i="1"/>
  <c r="C15" i="1"/>
  <c r="C77" i="1"/>
  <c r="C78" i="1" s="1"/>
  <c r="C45" i="1"/>
  <c r="C68" i="1" l="1"/>
  <c r="C88" i="1" s="1"/>
</calcChain>
</file>

<file path=xl/sharedStrings.xml><?xml version="1.0" encoding="utf-8"?>
<sst xmlns="http://schemas.openxmlformats.org/spreadsheetml/2006/main" count="249" uniqueCount="159">
  <si>
    <t>RÚBRICA DE CALIFICACIÓN - PRÁCTICA 1</t>
  </si>
  <si>
    <t>No.</t>
  </si>
  <si>
    <t>Criterio de evaluación</t>
  </si>
  <si>
    <t>Punteo máximo</t>
  </si>
  <si>
    <t>Satisfactorio (100%-61%)</t>
  </si>
  <si>
    <t>Necesita mejorar (60%-0%)</t>
  </si>
  <si>
    <t>Obtenido</t>
  </si>
  <si>
    <t>CONOCIMIENTOS</t>
  </si>
  <si>
    <t>1</t>
  </si>
  <si>
    <t>1.1</t>
  </si>
  <si>
    <t>Descripción</t>
  </si>
  <si>
    <t>Rango del punteo</t>
  </si>
  <si>
    <t>1.2</t>
  </si>
  <si>
    <t>Puntos</t>
  </si>
  <si>
    <t>2</t>
  </si>
  <si>
    <t>2.1</t>
  </si>
  <si>
    <t>3</t>
  </si>
  <si>
    <t>3.1</t>
  </si>
  <si>
    <t>3.2</t>
  </si>
  <si>
    <t>3.3</t>
  </si>
  <si>
    <t>4</t>
  </si>
  <si>
    <t>4.1</t>
  </si>
  <si>
    <t>4.2</t>
  </si>
  <si>
    <t>4.3</t>
  </si>
  <si>
    <t>5</t>
  </si>
  <si>
    <t>5.1</t>
  </si>
  <si>
    <t>5.2</t>
  </si>
  <si>
    <t>5.3</t>
  </si>
  <si>
    <t>6</t>
  </si>
  <si>
    <t>6.1</t>
  </si>
  <si>
    <t>6.2</t>
  </si>
  <si>
    <t>7</t>
  </si>
  <si>
    <t>7.1</t>
  </si>
  <si>
    <t>7.2</t>
  </si>
  <si>
    <t>8</t>
  </si>
  <si>
    <t>8.1</t>
  </si>
  <si>
    <t>TOTAL</t>
  </si>
  <si>
    <t>HABILIDADES</t>
  </si>
  <si>
    <t>9</t>
  </si>
  <si>
    <t>EVALUACIÓN DE CONOCIMIENTO INDIVIDUAL</t>
  </si>
  <si>
    <t>9.1</t>
  </si>
  <si>
    <t>Estudiante 1 - Evaluación oral/práctica</t>
  </si>
  <si>
    <t>9.2</t>
  </si>
  <si>
    <t>Estudiante 2 - Evaluación oral/práctica</t>
  </si>
  <si>
    <t>9.3</t>
  </si>
  <si>
    <t>Estudiante 3 - Evaluación oral/práctica</t>
  </si>
  <si>
    <t>PENALIZACIONES</t>
  </si>
  <si>
    <t>P1</t>
  </si>
  <si>
    <t>Topología diferente a la solicitada</t>
  </si>
  <si>
    <t>-60%</t>
  </si>
  <si>
    <t>Se penaliza con el 60% del punteo total si la topología implementada difiere significativamente de la solicitada.</t>
  </si>
  <si>
    <t>P2</t>
  </si>
  <si>
    <t>Sin seguimiento por medio de Github o Gitlab</t>
  </si>
  <si>
    <t>-10%</t>
  </si>
  <si>
    <t>No se realizó control de versiones o seguimiento del proyecto en repositorio Git.</t>
  </si>
  <si>
    <t>P3</t>
  </si>
  <si>
    <t>Nombre del repositorio o organización de carpetas errónea</t>
  </si>
  <si>
    <t>-5%</t>
  </si>
  <si>
    <t>El nombre del repositorio no sigue las convenciones establecidas o la estructura de carpetas es incorrecta.</t>
  </si>
  <si>
    <t>P4</t>
  </si>
  <si>
    <t>Impuntualidad en la calificación</t>
  </si>
  <si>
    <t>El grupo no se presenta puntualmente a la sesión de calificación establecida.</t>
  </si>
  <si>
    <t>P5</t>
  </si>
  <si>
    <t>Entrega tarde</t>
  </si>
  <si>
    <t>-10 a -100%</t>
  </si>
  <si>
    <t>Se penaliza progresivamente según el tiempo de retraso.</t>
  </si>
  <si>
    <t>P6</t>
  </si>
  <si>
    <t>No están todos los estudiantes presentes en la calificación</t>
  </si>
  <si>
    <t>Algún miembro del grupo no está presente durante la sesión de calificación.</t>
  </si>
  <si>
    <t>TOTAL FINAL</t>
  </si>
  <si>
    <t>Comunicación entre VLANS</t>
  </si>
  <si>
    <t>Comunicación entre piso 2 y piso 1</t>
  </si>
  <si>
    <t>Comunicación entre piso 3 y piso 1</t>
  </si>
  <si>
    <t>Comunicación entre Datacenter y piso 1.</t>
  </si>
  <si>
    <t>Configuración de OSPF o EIGRP entre los Switches de red MAN</t>
  </si>
  <si>
    <t>OSPF o EIGRP</t>
  </si>
  <si>
    <t>LACP</t>
  </si>
  <si>
    <t>Enlaces LACP (piso 2 – piso 1)</t>
  </si>
  <si>
    <t>Enlaces LACP (piso 3 – piso 1)</t>
  </si>
  <si>
    <t>Enlaces LACP (Datacenter – piso 1)</t>
  </si>
  <si>
    <t>DHCP</t>
  </si>
  <si>
    <t>Servidor DHCP configurado correctamente con VLANs cableadas.</t>
  </si>
  <si>
    <t xml:space="preserve">Direccionamiento DHCP correcto en routers inalámbricos piso 2 (3.5 puntos c/u)
</t>
  </si>
  <si>
    <t xml:space="preserve">Direccionamiento DHCP correcto en routers inalámbricos piso 3 (3.5 pts c/u).
</t>
  </si>
  <si>
    <t>Web Server</t>
  </si>
  <si>
    <t>Servicio DNS y página web piso 1.</t>
  </si>
  <si>
    <t>Servicio DNS y página web piso 2.</t>
  </si>
  <si>
    <t>Servicio DNS y página web piso 3.</t>
  </si>
  <si>
    <t>HSRP</t>
  </si>
  <si>
    <t>HSRP configurado en piso 1 y biblioteca  (2.5 pts c/u).</t>
  </si>
  <si>
    <t>HSRP recuperándose luego de un fallo (6 pts c/u)</t>
  </si>
  <si>
    <t>Configuración Inalámbrica</t>
  </si>
  <si>
    <t>Conexión exitosa de nuevo dispositivo a red wifi piso 2.</t>
  </si>
  <si>
    <t>Conexión exitosa de nuevo dispositivo a red wifi piso 3.</t>
  </si>
  <si>
    <t>Subnetting</t>
  </si>
  <si>
    <t>Red general de VLAN’s dividida correctamente en subredes en manual técnico</t>
  </si>
  <si>
    <t>Red general de enrutamiento dividida correctamente en subredes en manual técnico.</t>
  </si>
  <si>
    <t>Documentación</t>
  </si>
  <si>
    <t>Topología identificada</t>
  </si>
  <si>
    <t>Pools DHCP configurados (routers inalámbricos y server).</t>
  </si>
  <si>
    <t>Comandos utilizados para configuración.</t>
  </si>
  <si>
    <t>Configuración servidor web (HTTP y DNS).</t>
  </si>
  <si>
    <t>Los dispositivos del piso 2 pueden comunicarse correctamente con los dispositivos del piso 1 mediante ping exitoso y el enrutamiento funciona correctamente.</t>
  </si>
  <si>
    <t>No existe comunicación entre las redes del piso 2 y piso 1 o la configuración de red es incorrecta.</t>
  </si>
  <si>
    <t>Los dispositivos del piso 3 pueden comunicarse correctamente con los dispositivos del piso 1.</t>
  </si>
  <si>
    <t>No existe conectividad entre las redes del piso 3 y piso 1 o el enrutamiento está mal configurado.</t>
  </si>
  <si>
    <t>Existe conectividad correcta entre los dispositivos del Datacenter y la red del piso 1.</t>
  </si>
  <si>
    <t>No existe conectividad entre estas redes o la configuración es incorrecta.</t>
  </si>
  <si>
    <t>4-2</t>
  </si>
  <si>
    <t>2-0</t>
  </si>
  <si>
    <t>El protocolo de enrutamiento dinámico está configurado correctamente y las rutas se propagan entre los dispositivos de la red MAN.</t>
  </si>
  <si>
    <t>El protocolo no está configurado correctamente o no existe intercambio de rutas.</t>
  </si>
  <si>
    <t>5-0</t>
  </si>
  <si>
    <t>10-5</t>
  </si>
  <si>
    <t>El enlace agregado con LACP está configurado correctamente y funciona como Port-Channel.</t>
  </si>
  <si>
    <t>LACP no está configurado o el Port-Channel no funciona correctamente.</t>
  </si>
  <si>
    <t>El enlace agregado con LACP entre piso 3 y piso 1 está configurado correctamente.</t>
  </si>
  <si>
    <t>El enlace no funciona o LACP está mal configurado.</t>
  </si>
  <si>
    <t>El enlace agregado entre Datacenter y piso 1 funciona correctamente utilizando LACP.</t>
  </si>
  <si>
    <t>El enlace no funciona o no está configurado correctamente.</t>
  </si>
  <si>
    <t>1-0</t>
  </si>
  <si>
    <t>El servidor DHCP entrega direcciones IP correctamente a los dispositivos de las VLAN cableadas.</t>
  </si>
  <si>
    <t>El servidor DHCP no entrega direcciones IP o la configuración es incorrecta.</t>
  </si>
  <si>
    <t>Los routers inalámbricos del piso 2 entregan direcciones IP correctamente a los clientes conectados a las WLAN.</t>
  </si>
  <si>
    <t>Las direcciones IP no se asignan correctamente o existen errores en la configuración DHCP.</t>
  </si>
  <si>
    <t>Los routers inalámbricos del piso 3 entregan direcciones IP correctamente a los clientes conectados a las WLAN.</t>
  </si>
  <si>
    <t>La asignación de direcciones IP falla o la configuración DHCP es incorrecta.</t>
  </si>
  <si>
    <t>El dominio configurado se resuelve correctamente mediante DNS y la página web se muestra en el navegador.</t>
  </si>
  <si>
    <t>El DNS no resuelve el dominio o la página web no carga.</t>
  </si>
  <si>
    <t>Los dispositivos del piso 2 pueden resolver el dominio y acceder correctamente a la página web.</t>
  </si>
  <si>
    <t>No se puede acceder al servicio web o la resolución DNS falla.</t>
  </si>
  <si>
    <t>3-0</t>
  </si>
  <si>
    <t>Los dispositivos del piso 3 pueden acceder correctamente al servidor web mediante el dominio configurado.</t>
  </si>
  <si>
    <t>El DNS o el acceso al servidor web no funciona.</t>
  </si>
  <si>
    <t>HSRP está configurado correctamente en los routers del piso 1 y biblioteca proporcionando redundancia.</t>
  </si>
  <si>
    <t>HSRP no está configurado correctamente o no proporciona redundancia.</t>
  </si>
  <si>
    <t>Cuando el router activo falla, el router standby toma el control correctamente sin pérdida significativa de conectividad.</t>
  </si>
  <si>
    <t>El failover no ocurre o se pierde conectividad en la red.</t>
  </si>
  <si>
    <t>7-0</t>
  </si>
  <si>
    <t>Un nuevo dispositivo se conecta correctamente a la red inalámbrica del piso 2 y obtiene dirección IP.</t>
  </si>
  <si>
    <t>El dispositivo no logra conectarse o no obtiene dirección IP.</t>
  </si>
  <si>
    <t>Un nuevo dispositivo se conecta correctamente a la red inalámbrica del piso 3.</t>
  </si>
  <si>
    <t>La conexión inalámbrica falla o no se obtiene conectividad.</t>
  </si>
  <si>
    <t>Las VLAN están correctamente divididas en subredes y documentadas en el manual técnico.</t>
  </si>
  <si>
    <t>Las subredes están mal calculadas o no aparecen en la documentación.</t>
  </si>
  <si>
    <t>La red de enrutamiento está correctamente dividida en subredes y documentada.</t>
  </si>
  <si>
    <t>Las subredes están mal calculadas o no están documentadas.</t>
  </si>
  <si>
    <t>La topología está claramente identificada y documentada.</t>
  </si>
  <si>
    <t>La topología no está documentada o es incorrecta.</t>
  </si>
  <si>
    <t>Los pools DHCP están documentados correctamente.</t>
  </si>
  <si>
    <t>La documentación es incompleta o incorrecta.</t>
  </si>
  <si>
    <t>Los comandos utilizados para la configuración están documentados correctamente.</t>
  </si>
  <si>
    <t>Faltan comandos importantes o la documentación es incompleta.</t>
  </si>
  <si>
    <t>La configuración de los servicios HTTP y DNS está correctamente documentada.</t>
  </si>
  <si>
    <t>El estudiante demuestra conocimiento de la configuración realizada y responde correctamente las preguntas sobre la red.</t>
  </si>
  <si>
    <t>El estudiante no puede explicar las configuraciones o responde incorrectamente.</t>
  </si>
  <si>
    <t>ADVERTENCIA</t>
  </si>
  <si>
    <t>A1</t>
  </si>
  <si>
    <t>Con el objetivo de optimizar el proceso de calificación, si durante los horarios establecidos se presentan tiempos muertos, se podrá realizar un corrimiento en el orden de calificaciones. En caso de que un estudiante se presente antes del horario que le corresponde, deberá esperar a que finalice la evaluación del estudiante que esté siendo atendido en ese momento.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</si>
</sst>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b/>
      <sz val="14"/>
      <color rgb="FFFFFFFF"/>
      <name val="Calibri"/>
    </font>
    <font>
      <sz val="11"/>
      <name val="Calibri"/>
    </font>
    <font>
      <b/>
      <sz val="12"/>
      <color rgb="FFFFFFFF"/>
      <name val="Calibri"/>
    </font>
    <font>
      <b/>
      <sz val="11"/>
      <color rgb="FFFFFFFF"/>
      <name val="Calibri"/>
    </font>
    <font>
      <sz val="11"/>
      <color theme="1"/>
      <name val="Calibri"/>
    </font>
    <font>
      <b/>
      <sz val="11"/>
      <color theme="1"/>
      <name val="Calibri"/>
    </font>
    <font>
      <b/>
      <sz val="12"/>
      <color theme="1"/>
      <name val="Calibri"/>
    </font>
    <font>
      <sz val="11"/>
      <color rgb="FFFFFFFF"/>
      <name val="Calibri"/>
    </font>
    <font>
      <i/>
      <sz val="11"/>
      <color rgb="FFFFFFFF"/>
      <name val="Calibri"/>
    </font>
    <font>
      <sz val="11"/>
      <color theme="1"/>
      <name val="Calibri"/>
      <family val="2"/>
    </font>
    <font>
      <b/>
      <sz val="11"/>
      <color rgb="FFFFFFFF"/>
      <name val="Calibri"/>
      <family val="2"/>
    </font>
    <font>
      <sz val="11"/>
      <color rgb="FFFFFFFF"/>
      <name val="Calibri"/>
      <family val="2"/>
    </font>
  </fonts>
  <fills count="10">
    <fill>
      <patternFill patternType="none"/>
    </fill>
    <fill>
      <patternFill patternType="gray125"/>
    </fill>
    <fill>
      <patternFill patternType="solid">
        <fgColor rgb="FF1F4E78"/>
        <bgColor rgb="FF1F4E78"/>
      </patternFill>
    </fill>
    <fill>
      <patternFill patternType="solid">
        <fgColor rgb="FF4472C4"/>
        <bgColor rgb="FF4472C4"/>
      </patternFill>
    </fill>
    <fill>
      <patternFill patternType="solid">
        <fgColor rgb="FFC6EFCE"/>
        <bgColor rgb="FFC6EFCE"/>
      </patternFill>
    </fill>
    <fill>
      <patternFill patternType="solid">
        <fgColor rgb="FFFFC7CE"/>
        <bgColor rgb="FFFFC7CE"/>
      </patternFill>
    </fill>
    <fill>
      <patternFill patternType="solid">
        <fgColor rgb="FFFFD966"/>
        <bgColor rgb="FFFFD966"/>
      </patternFill>
    </fill>
    <fill>
      <patternFill patternType="solid">
        <fgColor rgb="FFFF6B6B"/>
        <bgColor rgb="FFFF6B6B"/>
      </patternFill>
    </fill>
    <fill>
      <patternFill patternType="solid">
        <fgColor rgb="FF4472C4"/>
        <bgColor indexed="64"/>
      </patternFill>
    </fill>
    <fill>
      <patternFill patternType="solid">
        <fgColor rgb="FFFFD966"/>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s>
  <cellStyleXfs count="1">
    <xf numFmtId="0" fontId="0" fillId="0" borderId="0"/>
  </cellStyleXfs>
  <cellXfs count="43">
    <xf numFmtId="0" fontId="0" fillId="0" borderId="0" xfId="0"/>
    <xf numFmtId="0" fontId="1" fillId="2" borderId="0" xfId="0" applyFont="1" applyFill="1" applyAlignment="1">
      <alignment horizontal="center" vertical="center" wrapText="1"/>
    </xf>
    <xf numFmtId="0" fontId="2" fillId="0" borderId="0" xfId="0" applyFont="1"/>
    <xf numFmtId="0" fontId="3" fillId="2" borderId="1" xfId="0" applyFont="1" applyFill="1" applyBorder="1" applyAlignment="1">
      <alignment horizontal="center" vertical="center" wrapText="1"/>
    </xf>
    <xf numFmtId="0" fontId="3" fillId="2" borderId="2" xfId="0" applyFont="1" applyFill="1" applyBorder="1" applyAlignment="1">
      <alignment horizontal="left" vertical="center" wrapText="1"/>
    </xf>
    <xf numFmtId="0" fontId="2" fillId="0" borderId="3" xfId="0" applyFont="1" applyBorder="1"/>
    <xf numFmtId="0" fontId="2" fillId="0" borderId="4" xfId="0" applyFont="1" applyBorder="1"/>
    <xf numFmtId="0" fontId="4" fillId="3" borderId="1" xfId="0" applyFont="1" applyFill="1" applyBorder="1" applyAlignment="1">
      <alignment horizontal="center" vertical="center" wrapText="1"/>
    </xf>
    <xf numFmtId="0" fontId="4" fillId="3" borderId="1" xfId="0" applyFont="1" applyFill="1" applyBorder="1" applyAlignment="1">
      <alignment horizontal="left" vertical="center" wrapText="1"/>
    </xf>
    <xf numFmtId="0" fontId="5" fillId="0" borderId="5" xfId="0" applyFont="1" applyBorder="1" applyAlignment="1">
      <alignment horizontal="center" vertical="center" wrapText="1"/>
    </xf>
    <xf numFmtId="0" fontId="5" fillId="0" borderId="5" xfId="0" applyFont="1" applyBorder="1" applyAlignment="1">
      <alignment horizontal="left" vertical="center" wrapText="1"/>
    </xf>
    <xf numFmtId="0" fontId="5" fillId="0" borderId="1" xfId="0" applyFont="1" applyBorder="1" applyAlignment="1">
      <alignment vertical="center" wrapText="1"/>
    </xf>
    <xf numFmtId="0" fontId="5" fillId="4" borderId="1" xfId="0" applyFont="1" applyFill="1" applyBorder="1" applyAlignment="1">
      <alignment horizontal="left" vertical="center" wrapText="1"/>
    </xf>
    <xf numFmtId="0" fontId="5" fillId="5" borderId="1" xfId="0" applyFont="1" applyFill="1" applyBorder="1" applyAlignment="1">
      <alignment horizontal="left" vertical="center" wrapText="1"/>
    </xf>
    <xf numFmtId="0" fontId="5" fillId="0" borderId="1" xfId="0" applyFont="1" applyBorder="1"/>
    <xf numFmtId="0" fontId="2" fillId="0" borderId="6" xfId="0" applyFont="1" applyBorder="1"/>
    <xf numFmtId="0" fontId="5" fillId="0" borderId="6" xfId="0" applyFont="1" applyBorder="1" applyAlignment="1">
      <alignment vertical="center" wrapText="1"/>
    </xf>
    <xf numFmtId="0" fontId="5" fillId="0" borderId="1" xfId="0" quotePrefix="1" applyFont="1" applyBorder="1" applyAlignment="1">
      <alignment horizontal="center" vertical="center"/>
    </xf>
    <xf numFmtId="0" fontId="5" fillId="0" borderId="1" xfId="0" applyFont="1" applyBorder="1" applyAlignment="1">
      <alignment horizontal="center" vertical="center" wrapText="1"/>
    </xf>
    <xf numFmtId="0" fontId="6" fillId="0" borderId="1" xfId="0" applyFont="1" applyBorder="1"/>
    <xf numFmtId="0" fontId="6" fillId="0" borderId="1" xfId="0" applyFont="1" applyBorder="1" applyAlignment="1">
      <alignment horizontal="center"/>
    </xf>
    <xf numFmtId="0" fontId="5" fillId="0" borderId="1" xfId="0" applyFont="1" applyBorder="1" applyAlignment="1">
      <alignment horizontal="left" vertical="center" wrapText="1"/>
    </xf>
    <xf numFmtId="0" fontId="5" fillId="0" borderId="6" xfId="0" applyFont="1" applyBorder="1" applyAlignment="1">
      <alignment horizontal="left" vertical="center" wrapText="1"/>
    </xf>
    <xf numFmtId="0" fontId="7" fillId="6" borderId="2" xfId="0" applyFont="1" applyFill="1" applyBorder="1"/>
    <xf numFmtId="0" fontId="7" fillId="6" borderId="1" xfId="0" applyFont="1" applyFill="1" applyBorder="1" applyAlignment="1">
      <alignment horizontal="center"/>
    </xf>
    <xf numFmtId="0" fontId="8" fillId="7" borderId="1" xfId="0" applyFont="1" applyFill="1" applyBorder="1" applyAlignment="1">
      <alignment horizontal="center" vertical="center" wrapText="1"/>
    </xf>
    <xf numFmtId="0" fontId="8" fillId="7" borderId="1" xfId="0" applyFont="1" applyFill="1" applyBorder="1" applyAlignment="1">
      <alignment horizontal="left" vertical="center" wrapText="1"/>
    </xf>
    <xf numFmtId="0" fontId="8" fillId="7" borderId="2" xfId="0" applyFont="1" applyFill="1" applyBorder="1" applyAlignment="1">
      <alignment horizontal="center" vertical="center" wrapText="1"/>
    </xf>
    <xf numFmtId="0" fontId="10" fillId="0" borderId="0" xfId="0" applyFont="1" applyBorder="1" applyAlignment="1">
      <alignment wrapText="1"/>
    </xf>
    <xf numFmtId="0" fontId="8" fillId="7" borderId="5" xfId="0" applyFont="1" applyFill="1" applyBorder="1" applyAlignment="1">
      <alignment horizontal="center" vertical="center" wrapText="1"/>
    </xf>
    <xf numFmtId="0" fontId="8" fillId="7" borderId="5" xfId="0" applyFont="1" applyFill="1" applyBorder="1" applyAlignment="1">
      <alignment horizontal="left" vertical="center" wrapText="1"/>
    </xf>
    <xf numFmtId="0" fontId="8" fillId="7" borderId="8" xfId="0" applyFont="1" applyFill="1" applyBorder="1" applyAlignment="1">
      <alignment horizontal="center" vertical="center" wrapText="1"/>
    </xf>
    <xf numFmtId="0" fontId="2" fillId="0" borderId="9" xfId="0" applyFont="1" applyBorder="1"/>
    <xf numFmtId="0" fontId="2" fillId="0" borderId="10" xfId="0" applyFont="1" applyBorder="1"/>
    <xf numFmtId="0" fontId="10" fillId="8" borderId="7" xfId="0" applyFont="1" applyFill="1" applyBorder="1" applyAlignment="1">
      <alignment vertical="center" wrapText="1"/>
    </xf>
    <xf numFmtId="0" fontId="11" fillId="8" borderId="7" xfId="0" applyFont="1" applyFill="1" applyBorder="1" applyAlignment="1">
      <alignment vertical="center" wrapText="1"/>
    </xf>
    <xf numFmtId="0" fontId="12" fillId="9" borderId="7" xfId="0" applyFont="1" applyFill="1" applyBorder="1" applyAlignment="1">
      <alignment horizontal="center" vertical="center" wrapText="1"/>
    </xf>
    <xf numFmtId="0" fontId="10" fillId="9" borderId="7" xfId="0" applyFont="1" applyFill="1" applyBorder="1" applyAlignment="1">
      <alignment vertical="center" wrapText="1"/>
    </xf>
    <xf numFmtId="0" fontId="10" fillId="0" borderId="7" xfId="0" applyFont="1" applyBorder="1" applyAlignment="1">
      <alignment vertical="center" wrapText="1"/>
    </xf>
    <xf numFmtId="0" fontId="1" fillId="2" borderId="7" xfId="0" applyFont="1" applyFill="1" applyBorder="1"/>
    <xf numFmtId="0" fontId="2" fillId="0" borderId="7" xfId="0" applyFont="1" applyBorder="1"/>
    <xf numFmtId="0" fontId="1" fillId="2" borderId="7" xfId="0" applyFont="1" applyFill="1" applyBorder="1" applyAlignment="1">
      <alignment horizontal="center"/>
    </xf>
    <xf numFmtId="0" fontId="9" fillId="2" borderId="7"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282AE-0BC9-488D-825B-DC76F073390D}">
  <sheetPr>
    <pageSetUpPr fitToPage="1"/>
  </sheetPr>
  <dimension ref="A1:Z88"/>
  <sheetViews>
    <sheetView tabSelected="1" topLeftCell="A65" workbookViewId="0">
      <selection activeCell="F74" sqref="F74"/>
    </sheetView>
  </sheetViews>
  <sheetFormatPr baseColWidth="10" defaultRowHeight="14.4" x14ac:dyDescent="0.3"/>
  <cols>
    <col min="1" max="1" width="8" customWidth="1"/>
    <col min="2" max="2" width="50" customWidth="1"/>
    <col min="3" max="3" width="12" customWidth="1"/>
    <col min="4" max="4" width="18" customWidth="1"/>
    <col min="5" max="6" width="40" customWidth="1"/>
    <col min="7" max="7" width="12" customWidth="1"/>
  </cols>
  <sheetData>
    <row r="1" spans="1:7" x14ac:dyDescent="0.3">
      <c r="A1" s="1" t="s">
        <v>0</v>
      </c>
      <c r="B1" s="2"/>
      <c r="C1" s="2"/>
      <c r="D1" s="2"/>
      <c r="E1" s="2"/>
      <c r="F1" s="2"/>
      <c r="G1" s="2"/>
    </row>
    <row r="2" spans="1:7" ht="31.2" x14ac:dyDescent="0.3">
      <c r="A2" s="3" t="s">
        <v>1</v>
      </c>
      <c r="B2" s="3" t="s">
        <v>2</v>
      </c>
      <c r="C2" s="3" t="s">
        <v>3</v>
      </c>
      <c r="D2" s="3"/>
      <c r="E2" s="3" t="s">
        <v>4</v>
      </c>
      <c r="F2" s="3" t="s">
        <v>5</v>
      </c>
      <c r="G2" s="3" t="s">
        <v>6</v>
      </c>
    </row>
    <row r="3" spans="1:7" x14ac:dyDescent="0.3">
      <c r="A3" s="4" t="s">
        <v>7</v>
      </c>
      <c r="B3" s="5"/>
      <c r="C3" s="5"/>
      <c r="D3" s="5"/>
      <c r="E3" s="5"/>
      <c r="F3" s="5"/>
      <c r="G3" s="6"/>
    </row>
    <row r="4" spans="1:7" x14ac:dyDescent="0.3">
      <c r="A4" s="7" t="s">
        <v>8</v>
      </c>
      <c r="B4" s="8" t="s">
        <v>70</v>
      </c>
      <c r="C4" s="7"/>
      <c r="D4" s="8"/>
      <c r="E4" s="8"/>
      <c r="F4" s="8"/>
      <c r="G4" s="8"/>
    </row>
    <row r="5" spans="1:7" ht="57.6" x14ac:dyDescent="0.3">
      <c r="A5" s="9" t="s">
        <v>9</v>
      </c>
      <c r="B5" s="10" t="s">
        <v>71</v>
      </c>
      <c r="C5" s="9">
        <v>4</v>
      </c>
      <c r="D5" s="11" t="s">
        <v>10</v>
      </c>
      <c r="E5" s="12" t="s">
        <v>102</v>
      </c>
      <c r="F5" s="13" t="s">
        <v>103</v>
      </c>
      <c r="G5" s="14"/>
    </row>
    <row r="6" spans="1:7" x14ac:dyDescent="0.3">
      <c r="A6" s="15"/>
      <c r="B6" s="15"/>
      <c r="C6" s="15"/>
      <c r="D6" s="16" t="s">
        <v>11</v>
      </c>
      <c r="E6" s="17" t="s">
        <v>108</v>
      </c>
      <c r="F6" s="17" t="s">
        <v>109</v>
      </c>
      <c r="G6" s="14"/>
    </row>
    <row r="7" spans="1:7" ht="43.2" x14ac:dyDescent="0.3">
      <c r="A7" s="9" t="s">
        <v>12</v>
      </c>
      <c r="B7" s="10" t="s">
        <v>72</v>
      </c>
      <c r="C7" s="9">
        <v>4</v>
      </c>
      <c r="D7" s="11" t="s">
        <v>10</v>
      </c>
      <c r="E7" s="12" t="s">
        <v>104</v>
      </c>
      <c r="F7" s="13" t="s">
        <v>105</v>
      </c>
      <c r="G7" s="18"/>
    </row>
    <row r="8" spans="1:7" x14ac:dyDescent="0.3">
      <c r="A8" s="15"/>
      <c r="B8" s="15"/>
      <c r="C8" s="15"/>
      <c r="D8" s="16" t="s">
        <v>11</v>
      </c>
      <c r="E8" s="17" t="s">
        <v>108</v>
      </c>
      <c r="F8" s="17" t="s">
        <v>109</v>
      </c>
      <c r="G8" s="14"/>
    </row>
    <row r="9" spans="1:7" ht="28.8" x14ac:dyDescent="0.3">
      <c r="A9" s="9">
        <v>1.3</v>
      </c>
      <c r="B9" s="10" t="s">
        <v>73</v>
      </c>
      <c r="C9" s="9">
        <v>4</v>
      </c>
      <c r="D9" s="11" t="s">
        <v>10</v>
      </c>
      <c r="E9" s="12" t="s">
        <v>106</v>
      </c>
      <c r="F9" s="13" t="s">
        <v>107</v>
      </c>
      <c r="G9" s="18"/>
    </row>
    <row r="10" spans="1:7" x14ac:dyDescent="0.3">
      <c r="A10" s="15"/>
      <c r="B10" s="15"/>
      <c r="C10" s="15"/>
      <c r="D10" s="16" t="s">
        <v>11</v>
      </c>
      <c r="E10" s="17" t="s">
        <v>108</v>
      </c>
      <c r="F10" s="17" t="s">
        <v>109</v>
      </c>
      <c r="G10" s="14"/>
    </row>
    <row r="11" spans="1:7" x14ac:dyDescent="0.3">
      <c r="A11" s="14"/>
      <c r="B11" s="19" t="s">
        <v>13</v>
      </c>
      <c r="C11" s="20">
        <f>SUM(C5:C10)</f>
        <v>12</v>
      </c>
      <c r="D11" s="14"/>
      <c r="E11" s="14"/>
      <c r="F11" s="14"/>
      <c r="G11" s="14"/>
    </row>
    <row r="12" spans="1:7" x14ac:dyDescent="0.3">
      <c r="A12" s="7" t="s">
        <v>14</v>
      </c>
      <c r="B12" s="8" t="s">
        <v>75</v>
      </c>
      <c r="C12" s="7"/>
      <c r="D12" s="8"/>
      <c r="E12" s="8"/>
      <c r="F12" s="8"/>
      <c r="G12" s="8"/>
    </row>
    <row r="13" spans="1:7" ht="43.2" x14ac:dyDescent="0.3">
      <c r="A13" s="9" t="s">
        <v>15</v>
      </c>
      <c r="B13" s="10" t="s">
        <v>74</v>
      </c>
      <c r="C13" s="9">
        <v>10</v>
      </c>
      <c r="D13" s="11" t="s">
        <v>10</v>
      </c>
      <c r="E13" s="12" t="s">
        <v>110</v>
      </c>
      <c r="F13" s="13" t="s">
        <v>111</v>
      </c>
      <c r="G13" s="18"/>
    </row>
    <row r="14" spans="1:7" x14ac:dyDescent="0.3">
      <c r="A14" s="15"/>
      <c r="B14" s="15"/>
      <c r="C14" s="15"/>
      <c r="D14" s="16" t="s">
        <v>11</v>
      </c>
      <c r="E14" s="17" t="s">
        <v>113</v>
      </c>
      <c r="F14" s="17" t="s">
        <v>112</v>
      </c>
      <c r="G14" s="14"/>
    </row>
    <row r="15" spans="1:7" x14ac:dyDescent="0.3">
      <c r="A15" s="14"/>
      <c r="B15" s="19" t="s">
        <v>13</v>
      </c>
      <c r="C15" s="20">
        <f>SUM(C13)</f>
        <v>10</v>
      </c>
      <c r="D15" s="14"/>
      <c r="E15" s="14"/>
      <c r="F15" s="14"/>
      <c r="G15" s="14"/>
    </row>
    <row r="16" spans="1:7" x14ac:dyDescent="0.3">
      <c r="A16" s="7" t="s">
        <v>16</v>
      </c>
      <c r="B16" s="8" t="s">
        <v>76</v>
      </c>
      <c r="C16" s="7"/>
      <c r="D16" s="8"/>
      <c r="E16" s="8"/>
      <c r="F16" s="8"/>
      <c r="G16" s="8"/>
    </row>
    <row r="17" spans="1:7" ht="28.8" x14ac:dyDescent="0.3">
      <c r="A17" s="9" t="s">
        <v>17</v>
      </c>
      <c r="B17" s="10" t="s">
        <v>77</v>
      </c>
      <c r="C17" s="9">
        <v>2</v>
      </c>
      <c r="D17" s="21" t="s">
        <v>10</v>
      </c>
      <c r="E17" s="12" t="s">
        <v>114</v>
      </c>
      <c r="F17" s="13" t="s">
        <v>115</v>
      </c>
      <c r="G17" s="18"/>
    </row>
    <row r="18" spans="1:7" x14ac:dyDescent="0.3">
      <c r="A18" s="15"/>
      <c r="B18" s="15"/>
      <c r="C18" s="15"/>
      <c r="D18" s="22" t="s">
        <v>11</v>
      </c>
      <c r="E18" s="17">
        <v>2</v>
      </c>
      <c r="F18" s="17" t="s">
        <v>120</v>
      </c>
      <c r="G18" s="14"/>
    </row>
    <row r="19" spans="1:7" ht="28.8" x14ac:dyDescent="0.3">
      <c r="A19" s="9" t="s">
        <v>18</v>
      </c>
      <c r="B19" s="10" t="s">
        <v>78</v>
      </c>
      <c r="C19" s="9">
        <v>2</v>
      </c>
      <c r="D19" s="21" t="s">
        <v>10</v>
      </c>
      <c r="E19" s="12" t="s">
        <v>116</v>
      </c>
      <c r="F19" s="13" t="s">
        <v>117</v>
      </c>
      <c r="G19" s="18"/>
    </row>
    <row r="20" spans="1:7" x14ac:dyDescent="0.3">
      <c r="A20" s="15"/>
      <c r="B20" s="15"/>
      <c r="C20" s="15"/>
      <c r="D20" s="22" t="s">
        <v>11</v>
      </c>
      <c r="E20" s="17">
        <v>2</v>
      </c>
      <c r="F20" s="17" t="s">
        <v>120</v>
      </c>
      <c r="G20" s="14"/>
    </row>
    <row r="21" spans="1:7" ht="28.8" x14ac:dyDescent="0.3">
      <c r="A21" s="9" t="s">
        <v>19</v>
      </c>
      <c r="B21" s="10" t="s">
        <v>79</v>
      </c>
      <c r="C21" s="9">
        <v>2</v>
      </c>
      <c r="D21" s="21" t="s">
        <v>10</v>
      </c>
      <c r="E21" s="12" t="s">
        <v>118</v>
      </c>
      <c r="F21" s="13" t="s">
        <v>119</v>
      </c>
      <c r="G21" s="18"/>
    </row>
    <row r="22" spans="1:7" x14ac:dyDescent="0.3">
      <c r="A22" s="15"/>
      <c r="B22" s="15"/>
      <c r="C22" s="15"/>
      <c r="D22" s="22" t="s">
        <v>11</v>
      </c>
      <c r="E22" s="17">
        <v>2</v>
      </c>
      <c r="F22" s="17" t="s">
        <v>120</v>
      </c>
      <c r="G22" s="14"/>
    </row>
    <row r="23" spans="1:7" x14ac:dyDescent="0.3">
      <c r="A23" s="14"/>
      <c r="B23" s="19" t="s">
        <v>13</v>
      </c>
      <c r="C23" s="20">
        <f>SUM(C17:C22)</f>
        <v>6</v>
      </c>
      <c r="D23" s="14"/>
      <c r="E23" s="14"/>
      <c r="F23" s="14"/>
      <c r="G23" s="14"/>
    </row>
    <row r="24" spans="1:7" x14ac:dyDescent="0.3">
      <c r="A24" s="7" t="s">
        <v>20</v>
      </c>
      <c r="B24" s="8" t="s">
        <v>80</v>
      </c>
      <c r="C24" s="7"/>
      <c r="D24" s="8"/>
      <c r="E24" s="8"/>
      <c r="F24" s="8"/>
      <c r="G24" s="8"/>
    </row>
    <row r="25" spans="1:7" ht="43.2" x14ac:dyDescent="0.3">
      <c r="A25" s="9" t="s">
        <v>21</v>
      </c>
      <c r="B25" s="10" t="s">
        <v>81</v>
      </c>
      <c r="C25" s="9">
        <v>3</v>
      </c>
      <c r="D25" s="21" t="s">
        <v>10</v>
      </c>
      <c r="E25" s="12" t="s">
        <v>121</v>
      </c>
      <c r="F25" s="13" t="s">
        <v>122</v>
      </c>
      <c r="G25" s="18"/>
    </row>
    <row r="26" spans="1:7" x14ac:dyDescent="0.3">
      <c r="A26" s="15"/>
      <c r="B26" s="15"/>
      <c r="C26" s="15"/>
      <c r="D26" s="22" t="s">
        <v>11</v>
      </c>
      <c r="E26" s="17">
        <v>3</v>
      </c>
      <c r="F26" s="17" t="s">
        <v>120</v>
      </c>
      <c r="G26" s="14"/>
    </row>
    <row r="27" spans="1:7" ht="43.2" x14ac:dyDescent="0.3">
      <c r="A27" s="9" t="s">
        <v>22</v>
      </c>
      <c r="B27" s="10" t="s">
        <v>82</v>
      </c>
      <c r="C27" s="9">
        <v>7</v>
      </c>
      <c r="D27" s="21" t="s">
        <v>10</v>
      </c>
      <c r="E27" s="12" t="s">
        <v>123</v>
      </c>
      <c r="F27" s="13" t="s">
        <v>124</v>
      </c>
      <c r="G27" s="18"/>
    </row>
    <row r="28" spans="1:7" x14ac:dyDescent="0.3">
      <c r="A28" s="15"/>
      <c r="B28" s="15"/>
      <c r="C28" s="15"/>
      <c r="D28" s="22" t="s">
        <v>11</v>
      </c>
      <c r="E28" s="17">
        <v>7</v>
      </c>
      <c r="F28" s="17" t="s">
        <v>112</v>
      </c>
      <c r="G28" s="14"/>
    </row>
    <row r="29" spans="1:7" ht="43.2" x14ac:dyDescent="0.3">
      <c r="A29" s="9" t="s">
        <v>23</v>
      </c>
      <c r="B29" s="10" t="s">
        <v>83</v>
      </c>
      <c r="C29" s="9">
        <v>7</v>
      </c>
      <c r="D29" s="21" t="s">
        <v>10</v>
      </c>
      <c r="E29" s="12" t="s">
        <v>125</v>
      </c>
      <c r="F29" s="13" t="s">
        <v>126</v>
      </c>
      <c r="G29" s="18"/>
    </row>
    <row r="30" spans="1:7" x14ac:dyDescent="0.3">
      <c r="A30" s="15"/>
      <c r="B30" s="15"/>
      <c r="C30" s="15"/>
      <c r="D30" s="22" t="s">
        <v>11</v>
      </c>
      <c r="E30" s="17">
        <v>7</v>
      </c>
      <c r="F30" s="17" t="s">
        <v>112</v>
      </c>
      <c r="G30" s="14"/>
    </row>
    <row r="31" spans="1:7" x14ac:dyDescent="0.3">
      <c r="A31" s="14"/>
      <c r="B31" s="19" t="s">
        <v>13</v>
      </c>
      <c r="C31" s="20">
        <f>SUM(C25:C30)</f>
        <v>17</v>
      </c>
      <c r="D31" s="14"/>
      <c r="E31" s="14"/>
      <c r="F31" s="14"/>
      <c r="G31" s="14"/>
    </row>
    <row r="32" spans="1:7" x14ac:dyDescent="0.3">
      <c r="A32" s="7" t="s">
        <v>24</v>
      </c>
      <c r="B32" s="8" t="s">
        <v>84</v>
      </c>
      <c r="C32" s="7"/>
      <c r="D32" s="8"/>
      <c r="E32" s="8"/>
      <c r="F32" s="8"/>
      <c r="G32" s="8"/>
    </row>
    <row r="33" spans="1:7" ht="43.2" x14ac:dyDescent="0.3">
      <c r="A33" s="9" t="s">
        <v>25</v>
      </c>
      <c r="B33" s="10" t="s">
        <v>85</v>
      </c>
      <c r="C33" s="9">
        <v>5</v>
      </c>
      <c r="D33" s="21" t="s">
        <v>10</v>
      </c>
      <c r="E33" s="12" t="s">
        <v>127</v>
      </c>
      <c r="F33" s="13" t="s">
        <v>128</v>
      </c>
      <c r="G33" s="18"/>
    </row>
    <row r="34" spans="1:7" x14ac:dyDescent="0.3">
      <c r="A34" s="15"/>
      <c r="B34" s="15"/>
      <c r="C34" s="15"/>
      <c r="D34" s="22" t="s">
        <v>11</v>
      </c>
      <c r="E34" s="17">
        <v>5</v>
      </c>
      <c r="F34" s="17" t="s">
        <v>109</v>
      </c>
      <c r="G34" s="14"/>
    </row>
    <row r="35" spans="1:7" ht="43.2" x14ac:dyDescent="0.3">
      <c r="A35" s="9" t="s">
        <v>26</v>
      </c>
      <c r="B35" s="10" t="s">
        <v>86</v>
      </c>
      <c r="C35" s="9">
        <v>5</v>
      </c>
      <c r="D35" s="21" t="s">
        <v>10</v>
      </c>
      <c r="E35" s="12" t="s">
        <v>129</v>
      </c>
      <c r="F35" s="13" t="s">
        <v>130</v>
      </c>
      <c r="G35" s="18"/>
    </row>
    <row r="36" spans="1:7" x14ac:dyDescent="0.3">
      <c r="A36" s="15"/>
      <c r="B36" s="15"/>
      <c r="C36" s="15"/>
      <c r="D36" s="22" t="s">
        <v>11</v>
      </c>
      <c r="E36" s="17">
        <v>5</v>
      </c>
      <c r="F36" s="17" t="s">
        <v>131</v>
      </c>
      <c r="G36" s="14"/>
    </row>
    <row r="37" spans="1:7" ht="43.2" x14ac:dyDescent="0.3">
      <c r="A37" s="9" t="s">
        <v>27</v>
      </c>
      <c r="B37" s="10" t="s">
        <v>87</v>
      </c>
      <c r="C37" s="9">
        <v>5</v>
      </c>
      <c r="D37" s="21" t="s">
        <v>10</v>
      </c>
      <c r="E37" s="12" t="s">
        <v>132</v>
      </c>
      <c r="F37" s="13" t="s">
        <v>133</v>
      </c>
      <c r="G37" s="18"/>
    </row>
    <row r="38" spans="1:7" x14ac:dyDescent="0.3">
      <c r="A38" s="15"/>
      <c r="B38" s="15"/>
      <c r="C38" s="15"/>
      <c r="D38" s="22" t="s">
        <v>11</v>
      </c>
      <c r="E38" s="17">
        <v>5</v>
      </c>
      <c r="F38" s="17" t="s">
        <v>131</v>
      </c>
      <c r="G38" s="14"/>
    </row>
    <row r="39" spans="1:7" x14ac:dyDescent="0.3">
      <c r="A39" s="14"/>
      <c r="B39" s="19" t="s">
        <v>13</v>
      </c>
      <c r="C39" s="20">
        <f>SUM(C33:C38)</f>
        <v>15</v>
      </c>
      <c r="D39" s="14"/>
      <c r="E39" s="14"/>
      <c r="F39" s="14"/>
      <c r="G39" s="14"/>
    </row>
    <row r="40" spans="1:7" x14ac:dyDescent="0.3">
      <c r="A40" s="7" t="s">
        <v>28</v>
      </c>
      <c r="B40" s="8" t="s">
        <v>88</v>
      </c>
      <c r="C40" s="7"/>
      <c r="D40" s="8"/>
      <c r="E40" s="8"/>
      <c r="F40" s="8"/>
      <c r="G40" s="8"/>
    </row>
    <row r="41" spans="1:7" ht="43.2" x14ac:dyDescent="0.3">
      <c r="A41" s="9" t="s">
        <v>29</v>
      </c>
      <c r="B41" s="10" t="s">
        <v>89</v>
      </c>
      <c r="C41" s="9">
        <v>5</v>
      </c>
      <c r="D41" s="21" t="s">
        <v>10</v>
      </c>
      <c r="E41" s="12" t="s">
        <v>134</v>
      </c>
      <c r="F41" s="13" t="s">
        <v>135</v>
      </c>
      <c r="G41" s="18"/>
    </row>
    <row r="42" spans="1:7" x14ac:dyDescent="0.3">
      <c r="A42" s="15"/>
      <c r="B42" s="15"/>
      <c r="C42" s="15"/>
      <c r="D42" s="22" t="s">
        <v>11</v>
      </c>
      <c r="E42" s="17">
        <v>5</v>
      </c>
      <c r="F42" s="17" t="s">
        <v>131</v>
      </c>
      <c r="G42" s="14"/>
    </row>
    <row r="43" spans="1:7" ht="43.2" x14ac:dyDescent="0.3">
      <c r="A43" s="9" t="s">
        <v>30</v>
      </c>
      <c r="B43" s="10" t="s">
        <v>90</v>
      </c>
      <c r="C43" s="9">
        <v>12</v>
      </c>
      <c r="D43" s="21" t="s">
        <v>10</v>
      </c>
      <c r="E43" s="12" t="s">
        <v>136</v>
      </c>
      <c r="F43" s="13" t="s">
        <v>137</v>
      </c>
      <c r="G43" s="18"/>
    </row>
    <row r="44" spans="1:7" x14ac:dyDescent="0.3">
      <c r="A44" s="15"/>
      <c r="B44" s="15"/>
      <c r="C44" s="15"/>
      <c r="D44" s="22" t="s">
        <v>11</v>
      </c>
      <c r="E44" s="17">
        <v>12</v>
      </c>
      <c r="F44" s="17" t="s">
        <v>138</v>
      </c>
      <c r="G44" s="14"/>
    </row>
    <row r="45" spans="1:7" x14ac:dyDescent="0.3">
      <c r="A45" s="14"/>
      <c r="B45" s="19" t="s">
        <v>13</v>
      </c>
      <c r="C45" s="20">
        <f>SUM(C41:C44)</f>
        <v>17</v>
      </c>
      <c r="D45" s="14"/>
      <c r="E45" s="14"/>
      <c r="F45" s="14"/>
      <c r="G45" s="14"/>
    </row>
    <row r="46" spans="1:7" x14ac:dyDescent="0.3">
      <c r="A46" s="7" t="s">
        <v>31</v>
      </c>
      <c r="B46" s="8" t="s">
        <v>91</v>
      </c>
      <c r="C46" s="7"/>
      <c r="D46" s="8"/>
      <c r="E46" s="8"/>
      <c r="F46" s="8"/>
      <c r="G46" s="8"/>
    </row>
    <row r="47" spans="1:7" ht="43.2" x14ac:dyDescent="0.3">
      <c r="A47" s="9" t="s">
        <v>32</v>
      </c>
      <c r="B47" s="10" t="s">
        <v>92</v>
      </c>
      <c r="C47" s="9">
        <v>5</v>
      </c>
      <c r="D47" s="11" t="s">
        <v>10</v>
      </c>
      <c r="E47" s="12" t="s">
        <v>139</v>
      </c>
      <c r="F47" s="13" t="s">
        <v>140</v>
      </c>
      <c r="G47" s="18"/>
    </row>
    <row r="48" spans="1:7" x14ac:dyDescent="0.3">
      <c r="A48" s="15"/>
      <c r="B48" s="15"/>
      <c r="C48" s="15"/>
      <c r="D48" s="16" t="s">
        <v>11</v>
      </c>
      <c r="E48" s="17">
        <v>5</v>
      </c>
      <c r="F48" s="17" t="s">
        <v>131</v>
      </c>
      <c r="G48" s="14"/>
    </row>
    <row r="49" spans="1:7" ht="28.8" x14ac:dyDescent="0.3">
      <c r="A49" s="9" t="s">
        <v>33</v>
      </c>
      <c r="B49" s="10" t="s">
        <v>93</v>
      </c>
      <c r="C49" s="9">
        <v>5</v>
      </c>
      <c r="D49" s="11" t="s">
        <v>10</v>
      </c>
      <c r="E49" s="12" t="s">
        <v>141</v>
      </c>
      <c r="F49" s="13" t="s">
        <v>142</v>
      </c>
      <c r="G49" s="18"/>
    </row>
    <row r="50" spans="1:7" x14ac:dyDescent="0.3">
      <c r="A50" s="15"/>
      <c r="B50" s="15"/>
      <c r="C50" s="15"/>
      <c r="D50" s="16" t="s">
        <v>11</v>
      </c>
      <c r="E50" s="17">
        <v>5</v>
      </c>
      <c r="F50" s="17" t="s">
        <v>131</v>
      </c>
      <c r="G50" s="14"/>
    </row>
    <row r="51" spans="1:7" x14ac:dyDescent="0.3">
      <c r="A51" s="14"/>
      <c r="B51" s="19" t="s">
        <v>13</v>
      </c>
      <c r="C51" s="20">
        <f>SUM(C47:C50)</f>
        <v>10</v>
      </c>
      <c r="D51" s="14"/>
      <c r="E51" s="14"/>
      <c r="F51" s="14"/>
      <c r="G51" s="14"/>
    </row>
    <row r="52" spans="1:7" x14ac:dyDescent="0.3">
      <c r="A52" s="7" t="s">
        <v>34</v>
      </c>
      <c r="B52" s="8" t="s">
        <v>94</v>
      </c>
      <c r="C52" s="7"/>
      <c r="D52" s="8"/>
      <c r="E52" s="8"/>
      <c r="F52" s="8"/>
      <c r="G52" s="8"/>
    </row>
    <row r="53" spans="1:7" ht="43.2" x14ac:dyDescent="0.3">
      <c r="A53" s="9" t="s">
        <v>35</v>
      </c>
      <c r="B53" s="10" t="s">
        <v>95</v>
      </c>
      <c r="C53" s="9">
        <v>2.5</v>
      </c>
      <c r="D53" s="18" t="s">
        <v>10</v>
      </c>
      <c r="E53" s="12" t="s">
        <v>143</v>
      </c>
      <c r="F53" s="13" t="s">
        <v>144</v>
      </c>
      <c r="G53" s="18"/>
    </row>
    <row r="54" spans="1:7" x14ac:dyDescent="0.3">
      <c r="A54" s="15"/>
      <c r="B54" s="15"/>
      <c r="C54" s="15"/>
      <c r="D54" s="16" t="s">
        <v>11</v>
      </c>
      <c r="E54" s="17">
        <v>2.5</v>
      </c>
      <c r="F54" s="17" t="s">
        <v>120</v>
      </c>
      <c r="G54" s="14"/>
    </row>
    <row r="55" spans="1:7" ht="28.8" x14ac:dyDescent="0.3">
      <c r="A55" s="9">
        <v>8.1999999999999993</v>
      </c>
      <c r="B55" s="10" t="s">
        <v>96</v>
      </c>
      <c r="C55" s="9">
        <v>2.5</v>
      </c>
      <c r="D55" s="18" t="s">
        <v>10</v>
      </c>
      <c r="E55" s="12" t="s">
        <v>145</v>
      </c>
      <c r="F55" s="13" t="s">
        <v>146</v>
      </c>
      <c r="G55" s="18"/>
    </row>
    <row r="56" spans="1:7" x14ac:dyDescent="0.3">
      <c r="A56" s="15"/>
      <c r="B56" s="15"/>
      <c r="C56" s="15"/>
      <c r="D56" s="16" t="s">
        <v>11</v>
      </c>
      <c r="E56" s="17">
        <v>2.5</v>
      </c>
      <c r="F56" s="17" t="s">
        <v>120</v>
      </c>
      <c r="G56" s="14"/>
    </row>
    <row r="57" spans="1:7" x14ac:dyDescent="0.3">
      <c r="A57" s="14"/>
      <c r="B57" s="19" t="s">
        <v>13</v>
      </c>
      <c r="C57" s="20">
        <f>SUM(C53:C56)</f>
        <v>5</v>
      </c>
      <c r="D57" s="14"/>
      <c r="E57" s="14"/>
      <c r="F57" s="14"/>
      <c r="G57" s="14"/>
    </row>
    <row r="58" spans="1:7" x14ac:dyDescent="0.3">
      <c r="A58" s="7">
        <v>9</v>
      </c>
      <c r="B58" s="8" t="s">
        <v>97</v>
      </c>
      <c r="C58" s="7"/>
      <c r="D58" s="8"/>
      <c r="E58" s="8"/>
      <c r="F58" s="8"/>
      <c r="G58" s="8"/>
    </row>
    <row r="59" spans="1:7" ht="28.8" x14ac:dyDescent="0.3">
      <c r="A59" s="9">
        <v>9.1</v>
      </c>
      <c r="B59" s="10" t="s">
        <v>98</v>
      </c>
      <c r="C59" s="9">
        <v>2.5</v>
      </c>
      <c r="D59" s="18" t="s">
        <v>10</v>
      </c>
      <c r="E59" s="12" t="s">
        <v>147</v>
      </c>
      <c r="F59" s="13" t="s">
        <v>148</v>
      </c>
      <c r="G59" s="18"/>
    </row>
    <row r="60" spans="1:7" x14ac:dyDescent="0.3">
      <c r="A60" s="15"/>
      <c r="B60" s="15"/>
      <c r="C60" s="15"/>
      <c r="D60" s="16" t="s">
        <v>11</v>
      </c>
      <c r="E60" s="17">
        <v>2.5</v>
      </c>
      <c r="F60" s="17" t="s">
        <v>120</v>
      </c>
      <c r="G60" s="14"/>
    </row>
    <row r="61" spans="1:7" ht="28.8" x14ac:dyDescent="0.3">
      <c r="A61" s="9">
        <v>9.1999999999999993</v>
      </c>
      <c r="B61" s="10" t="s">
        <v>99</v>
      </c>
      <c r="C61" s="9">
        <v>2.5</v>
      </c>
      <c r="D61" s="18" t="s">
        <v>10</v>
      </c>
      <c r="E61" s="12" t="s">
        <v>149</v>
      </c>
      <c r="F61" s="13" t="s">
        <v>150</v>
      </c>
      <c r="G61" s="18"/>
    </row>
    <row r="62" spans="1:7" x14ac:dyDescent="0.3">
      <c r="A62" s="15"/>
      <c r="B62" s="15"/>
      <c r="C62" s="15"/>
      <c r="D62" s="16" t="s">
        <v>11</v>
      </c>
      <c r="E62" s="17">
        <v>2.5</v>
      </c>
      <c r="F62" s="17" t="s">
        <v>120</v>
      </c>
      <c r="G62" s="14"/>
    </row>
    <row r="63" spans="1:7" ht="28.8" x14ac:dyDescent="0.3">
      <c r="A63" s="9">
        <v>9.3000000000000007</v>
      </c>
      <c r="B63" s="10" t="s">
        <v>100</v>
      </c>
      <c r="C63" s="9">
        <v>2.5</v>
      </c>
      <c r="D63" s="18" t="s">
        <v>10</v>
      </c>
      <c r="E63" s="12" t="s">
        <v>151</v>
      </c>
      <c r="F63" s="13" t="s">
        <v>152</v>
      </c>
      <c r="G63" s="18"/>
    </row>
    <row r="64" spans="1:7" x14ac:dyDescent="0.3">
      <c r="A64" s="15"/>
      <c r="B64" s="15"/>
      <c r="C64" s="15"/>
      <c r="D64" s="16" t="s">
        <v>11</v>
      </c>
      <c r="E64" s="17">
        <v>2.5</v>
      </c>
      <c r="F64" s="17" t="s">
        <v>120</v>
      </c>
      <c r="G64" s="14"/>
    </row>
    <row r="65" spans="1:7" ht="28.8" x14ac:dyDescent="0.3">
      <c r="A65" s="9">
        <v>9.4</v>
      </c>
      <c r="B65" s="10" t="s">
        <v>101</v>
      </c>
      <c r="C65" s="9">
        <v>2.5</v>
      </c>
      <c r="D65" s="18" t="s">
        <v>10</v>
      </c>
      <c r="E65" s="12" t="s">
        <v>153</v>
      </c>
      <c r="F65" s="13" t="s">
        <v>150</v>
      </c>
      <c r="G65" s="18"/>
    </row>
    <row r="66" spans="1:7" x14ac:dyDescent="0.3">
      <c r="A66" s="15"/>
      <c r="B66" s="15"/>
      <c r="C66" s="15"/>
      <c r="D66" s="16" t="s">
        <v>11</v>
      </c>
      <c r="E66" s="17">
        <v>2.5</v>
      </c>
      <c r="F66" s="17" t="s">
        <v>120</v>
      </c>
      <c r="G66" s="14"/>
    </row>
    <row r="67" spans="1:7" x14ac:dyDescent="0.3">
      <c r="A67" s="14"/>
      <c r="B67" s="19" t="s">
        <v>13</v>
      </c>
      <c r="C67" s="20">
        <f>SUM(C59:C66)</f>
        <v>10</v>
      </c>
      <c r="D67" s="14"/>
      <c r="E67" s="14"/>
      <c r="F67" s="14"/>
      <c r="G67" s="14"/>
    </row>
    <row r="68" spans="1:7" ht="15.6" x14ac:dyDescent="0.3">
      <c r="A68" s="23" t="s">
        <v>36</v>
      </c>
      <c r="B68" s="6"/>
      <c r="C68" s="24">
        <f>SUM(C57,C51,C45,C39,C31,C23,C15,C9,C67)</f>
        <v>94</v>
      </c>
      <c r="D68" s="23"/>
      <c r="E68" s="6"/>
      <c r="F68" s="23"/>
      <c r="G68" s="6"/>
    </row>
    <row r="69" spans="1:7" x14ac:dyDescent="0.3">
      <c r="A69" s="4" t="s">
        <v>37</v>
      </c>
      <c r="B69" s="5"/>
      <c r="C69" s="5"/>
      <c r="D69" s="5"/>
      <c r="E69" s="5"/>
      <c r="F69" s="5"/>
      <c r="G69" s="6"/>
    </row>
    <row r="70" spans="1:7" x14ac:dyDescent="0.3">
      <c r="A70" s="7" t="s">
        <v>38</v>
      </c>
      <c r="B70" s="8" t="s">
        <v>39</v>
      </c>
      <c r="C70" s="7"/>
      <c r="D70" s="8"/>
      <c r="E70" s="8"/>
      <c r="F70" s="8"/>
      <c r="G70" s="8"/>
    </row>
    <row r="71" spans="1:7" ht="43.2" x14ac:dyDescent="0.3">
      <c r="A71" s="9" t="s">
        <v>40</v>
      </c>
      <c r="B71" s="9" t="s">
        <v>41</v>
      </c>
      <c r="C71" s="9">
        <v>2</v>
      </c>
      <c r="D71" s="18" t="s">
        <v>10</v>
      </c>
      <c r="E71" s="12" t="s">
        <v>154</v>
      </c>
      <c r="F71" s="13" t="s">
        <v>155</v>
      </c>
      <c r="G71" s="18"/>
    </row>
    <row r="72" spans="1:7" x14ac:dyDescent="0.3">
      <c r="A72" s="15"/>
      <c r="B72" s="15"/>
      <c r="C72" s="15"/>
      <c r="D72" s="22" t="s">
        <v>11</v>
      </c>
      <c r="E72" s="17">
        <v>2</v>
      </c>
      <c r="F72" s="17" t="s">
        <v>120</v>
      </c>
      <c r="G72" s="14"/>
    </row>
    <row r="73" spans="1:7" ht="43.2" x14ac:dyDescent="0.3">
      <c r="A73" s="9" t="s">
        <v>42</v>
      </c>
      <c r="B73" s="9" t="s">
        <v>43</v>
      </c>
      <c r="C73" s="9">
        <v>2</v>
      </c>
      <c r="D73" s="18" t="s">
        <v>10</v>
      </c>
      <c r="E73" s="12" t="s">
        <v>154</v>
      </c>
      <c r="F73" s="13" t="s">
        <v>155</v>
      </c>
      <c r="G73" s="18"/>
    </row>
    <row r="74" spans="1:7" x14ac:dyDescent="0.3">
      <c r="A74" s="15"/>
      <c r="B74" s="15"/>
      <c r="C74" s="15"/>
      <c r="D74" s="22" t="s">
        <v>11</v>
      </c>
      <c r="E74" s="17">
        <v>2</v>
      </c>
      <c r="F74" s="17" t="s">
        <v>120</v>
      </c>
      <c r="G74" s="14"/>
    </row>
    <row r="75" spans="1:7" ht="43.2" x14ac:dyDescent="0.3">
      <c r="A75" s="9" t="s">
        <v>44</v>
      </c>
      <c r="B75" s="9" t="s">
        <v>45</v>
      </c>
      <c r="C75" s="9">
        <v>2</v>
      </c>
      <c r="D75" s="18" t="s">
        <v>10</v>
      </c>
      <c r="E75" s="12" t="s">
        <v>154</v>
      </c>
      <c r="F75" s="13" t="s">
        <v>155</v>
      </c>
      <c r="G75" s="18"/>
    </row>
    <row r="76" spans="1:7" x14ac:dyDescent="0.3">
      <c r="A76" s="15"/>
      <c r="B76" s="15"/>
      <c r="C76" s="15"/>
      <c r="D76" s="22" t="s">
        <v>11</v>
      </c>
      <c r="E76" s="17">
        <v>2</v>
      </c>
      <c r="F76" s="17" t="s">
        <v>120</v>
      </c>
      <c r="G76" s="14"/>
    </row>
    <row r="77" spans="1:7" x14ac:dyDescent="0.3">
      <c r="A77" s="14"/>
      <c r="B77" s="19" t="s">
        <v>13</v>
      </c>
      <c r="C77" s="20">
        <f>SUM(C71:C76)</f>
        <v>6</v>
      </c>
      <c r="D77" s="14"/>
      <c r="E77" s="14"/>
      <c r="F77" s="14"/>
      <c r="G77" s="14"/>
    </row>
    <row r="78" spans="1:7" ht="15.6" x14ac:dyDescent="0.3">
      <c r="A78" s="23" t="s">
        <v>36</v>
      </c>
      <c r="B78" s="6"/>
      <c r="C78" s="24">
        <f>SUM(C77)</f>
        <v>6</v>
      </c>
      <c r="D78" s="23"/>
      <c r="E78" s="6"/>
      <c r="F78" s="23"/>
      <c r="G78" s="6"/>
    </row>
    <row r="79" spans="1:7" x14ac:dyDescent="0.3">
      <c r="A79" s="7"/>
      <c r="B79" s="8" t="s">
        <v>46</v>
      </c>
      <c r="C79" s="7"/>
      <c r="D79" s="8"/>
      <c r="E79" s="8"/>
      <c r="F79" s="8"/>
      <c r="G79" s="8"/>
    </row>
    <row r="80" spans="1:7" x14ac:dyDescent="0.3">
      <c r="A80" s="25" t="s">
        <v>47</v>
      </c>
      <c r="B80" s="26" t="s">
        <v>48</v>
      </c>
      <c r="C80" s="25" t="s">
        <v>49</v>
      </c>
      <c r="D80" s="27" t="s">
        <v>50</v>
      </c>
      <c r="E80" s="5"/>
      <c r="F80" s="5"/>
      <c r="G80" s="6"/>
    </row>
    <row r="81" spans="1:26" x14ac:dyDescent="0.3">
      <c r="A81" s="25" t="s">
        <v>51</v>
      </c>
      <c r="B81" s="26" t="s">
        <v>52</v>
      </c>
      <c r="C81" s="25" t="s">
        <v>53</v>
      </c>
      <c r="D81" s="27" t="s">
        <v>54</v>
      </c>
      <c r="E81" s="5"/>
      <c r="F81" s="5"/>
      <c r="G81" s="6"/>
    </row>
    <row r="82" spans="1:26" x14ac:dyDescent="0.3">
      <c r="A82" s="25" t="s">
        <v>55</v>
      </c>
      <c r="B82" s="26" t="s">
        <v>56</v>
      </c>
      <c r="C82" s="25" t="s">
        <v>57</v>
      </c>
      <c r="D82" s="27" t="s">
        <v>58</v>
      </c>
      <c r="E82" s="5"/>
      <c r="F82" s="5"/>
      <c r="G82" s="6"/>
    </row>
    <row r="83" spans="1:26" x14ac:dyDescent="0.3">
      <c r="A83" s="25" t="s">
        <v>59</v>
      </c>
      <c r="B83" s="26" t="s">
        <v>60</v>
      </c>
      <c r="C83" s="25" t="s">
        <v>53</v>
      </c>
      <c r="D83" s="27" t="s">
        <v>61</v>
      </c>
      <c r="E83" s="5"/>
      <c r="F83" s="5"/>
      <c r="G83" s="6"/>
    </row>
    <row r="84" spans="1:26" x14ac:dyDescent="0.3">
      <c r="A84" s="25" t="s">
        <v>62</v>
      </c>
      <c r="B84" s="26" t="s">
        <v>63</v>
      </c>
      <c r="C84" s="25" t="s">
        <v>64</v>
      </c>
      <c r="D84" s="27" t="s">
        <v>65</v>
      </c>
      <c r="E84" s="5"/>
      <c r="F84" s="5"/>
      <c r="G84" s="6"/>
    </row>
    <row r="85" spans="1:26" x14ac:dyDescent="0.3">
      <c r="A85" s="29" t="s">
        <v>66</v>
      </c>
      <c r="B85" s="30" t="s">
        <v>67</v>
      </c>
      <c r="C85" s="29" t="s">
        <v>53</v>
      </c>
      <c r="D85" s="31" t="s">
        <v>68</v>
      </c>
      <c r="E85" s="32"/>
      <c r="F85" s="32"/>
      <c r="G85" s="33"/>
    </row>
    <row r="86" spans="1:26" x14ac:dyDescent="0.3">
      <c r="A86" s="34"/>
      <c r="B86" s="35" t="s">
        <v>156</v>
      </c>
      <c r="C86" s="34"/>
      <c r="D86" s="34"/>
      <c r="E86" s="34"/>
      <c r="F86" s="34"/>
      <c r="G86" s="34"/>
      <c r="H86" s="28"/>
      <c r="I86" s="28"/>
      <c r="J86" s="28"/>
      <c r="K86" s="28"/>
      <c r="L86" s="28"/>
      <c r="M86" s="28"/>
      <c r="N86" s="28"/>
      <c r="O86" s="28"/>
      <c r="P86" s="28"/>
      <c r="Q86" s="28"/>
      <c r="R86" s="28"/>
      <c r="S86" s="28"/>
      <c r="T86" s="28"/>
      <c r="U86" s="28"/>
      <c r="V86" s="28"/>
      <c r="W86" s="28"/>
      <c r="X86" s="28"/>
      <c r="Y86" s="28"/>
      <c r="Z86" s="28"/>
    </row>
    <row r="87" spans="1:26" ht="28.8" customHeight="1" x14ac:dyDescent="0.3">
      <c r="A87" s="36" t="s">
        <v>157</v>
      </c>
      <c r="B87" s="37" t="s">
        <v>158</v>
      </c>
      <c r="C87" s="37"/>
      <c r="D87" s="37"/>
      <c r="E87" s="37"/>
      <c r="F87" s="37"/>
      <c r="G87" s="38"/>
      <c r="H87" s="28"/>
      <c r="I87" s="28"/>
      <c r="J87" s="28"/>
      <c r="K87" s="28"/>
      <c r="L87" s="28"/>
      <c r="M87" s="28"/>
      <c r="N87" s="28"/>
      <c r="O87" s="28"/>
      <c r="P87" s="28"/>
      <c r="Q87" s="28"/>
      <c r="R87" s="28"/>
      <c r="S87" s="28"/>
      <c r="T87" s="28"/>
      <c r="U87" s="28"/>
      <c r="V87" s="28"/>
      <c r="W87" s="28"/>
      <c r="X87" s="28"/>
      <c r="Y87" s="28"/>
      <c r="Z87" s="28"/>
    </row>
    <row r="88" spans="1:26" ht="18" x14ac:dyDescent="0.35">
      <c r="A88" s="39" t="s">
        <v>69</v>
      </c>
      <c r="B88" s="40"/>
      <c r="C88" s="41">
        <f>SUM(C78,C68)</f>
        <v>100</v>
      </c>
      <c r="D88" s="42"/>
      <c r="E88" s="40"/>
      <c r="F88" s="40"/>
      <c r="G88" s="40"/>
    </row>
  </sheetData>
  <mergeCells count="96">
    <mergeCell ref="B65:B66"/>
    <mergeCell ref="C65:C66"/>
    <mergeCell ref="B87:F87"/>
    <mergeCell ref="A63:A64"/>
    <mergeCell ref="B63:B64"/>
    <mergeCell ref="C63:C64"/>
    <mergeCell ref="A65:A66"/>
    <mergeCell ref="A59:A60"/>
    <mergeCell ref="B59:B60"/>
    <mergeCell ref="C59:C60"/>
    <mergeCell ref="A61:A62"/>
    <mergeCell ref="B61:B62"/>
    <mergeCell ref="C61:C62"/>
    <mergeCell ref="A9:A10"/>
    <mergeCell ref="B9:B10"/>
    <mergeCell ref="C9:C10"/>
    <mergeCell ref="A55:A56"/>
    <mergeCell ref="B55:B56"/>
    <mergeCell ref="C55:C56"/>
    <mergeCell ref="D83:G83"/>
    <mergeCell ref="D84:G84"/>
    <mergeCell ref="D85:G85"/>
    <mergeCell ref="A88:B88"/>
    <mergeCell ref="D88:G88"/>
    <mergeCell ref="A78:B78"/>
    <mergeCell ref="D78:E78"/>
    <mergeCell ref="F78:G78"/>
    <mergeCell ref="D80:G80"/>
    <mergeCell ref="D81:G81"/>
    <mergeCell ref="D82:G82"/>
    <mergeCell ref="A73:A74"/>
    <mergeCell ref="B73:B74"/>
    <mergeCell ref="C73:C74"/>
    <mergeCell ref="A75:A76"/>
    <mergeCell ref="B75:B76"/>
    <mergeCell ref="C75:C76"/>
    <mergeCell ref="A68:B68"/>
    <mergeCell ref="D68:E68"/>
    <mergeCell ref="F68:G68"/>
    <mergeCell ref="A69:G69"/>
    <mergeCell ref="A71:A72"/>
    <mergeCell ref="B71:B72"/>
    <mergeCell ref="C71:C72"/>
    <mergeCell ref="A53:A54"/>
    <mergeCell ref="B53:B54"/>
    <mergeCell ref="C53:C54"/>
    <mergeCell ref="A47:A48"/>
    <mergeCell ref="B47:B48"/>
    <mergeCell ref="C47:C48"/>
    <mergeCell ref="A49:A50"/>
    <mergeCell ref="B49:B50"/>
    <mergeCell ref="C49:C50"/>
    <mergeCell ref="A41:A42"/>
    <mergeCell ref="B41:B42"/>
    <mergeCell ref="C41:C42"/>
    <mergeCell ref="A43:A44"/>
    <mergeCell ref="B43:B44"/>
    <mergeCell ref="C43:C44"/>
    <mergeCell ref="A35:A36"/>
    <mergeCell ref="B35:B36"/>
    <mergeCell ref="C35:C36"/>
    <mergeCell ref="A37:A38"/>
    <mergeCell ref="B37:B38"/>
    <mergeCell ref="C37:C38"/>
    <mergeCell ref="A33:A34"/>
    <mergeCell ref="B33:B34"/>
    <mergeCell ref="C33:C34"/>
    <mergeCell ref="A29:A30"/>
    <mergeCell ref="B29:B30"/>
    <mergeCell ref="C29:C30"/>
    <mergeCell ref="A25:A26"/>
    <mergeCell ref="B25:B26"/>
    <mergeCell ref="C25:C26"/>
    <mergeCell ref="A27:A28"/>
    <mergeCell ref="B27:B28"/>
    <mergeCell ref="C27:C28"/>
    <mergeCell ref="A21:A22"/>
    <mergeCell ref="B21:B22"/>
    <mergeCell ref="C21:C22"/>
    <mergeCell ref="A17:A18"/>
    <mergeCell ref="B17:B18"/>
    <mergeCell ref="C17:C18"/>
    <mergeCell ref="A19:A20"/>
    <mergeCell ref="B19:B20"/>
    <mergeCell ref="C19:C20"/>
    <mergeCell ref="A13:A14"/>
    <mergeCell ref="B13:B14"/>
    <mergeCell ref="C13:C14"/>
    <mergeCell ref="A1:G1"/>
    <mergeCell ref="A3:G3"/>
    <mergeCell ref="A5:A6"/>
    <mergeCell ref="B5:B6"/>
    <mergeCell ref="C5:C6"/>
    <mergeCell ref="A7:A8"/>
    <mergeCell ref="B7:B8"/>
    <mergeCell ref="C7:C8"/>
  </mergeCells>
  <pageMargins left="0.25" right="0.25" top="0.75" bottom="0.75" header="0.3" footer="0.3"/>
  <pageSetup paperSize="9" scale="7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Herlindo Gonzalo  Pérez Alfaro</dc:creator>
  <cp:lastModifiedBy>Herlindo Gonzalo  Pérez Alfaro</cp:lastModifiedBy>
  <cp:lastPrinted>2026-03-16T22:56:39Z</cp:lastPrinted>
  <dcterms:created xsi:type="dcterms:W3CDTF">2026-03-16T22:16:53Z</dcterms:created>
  <dcterms:modified xsi:type="dcterms:W3CDTF">2026-03-16T22:57:17Z</dcterms:modified>
</cp:coreProperties>
</file>