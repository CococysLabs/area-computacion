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<sst xmlns="http://schemas.openxmlformats.org/spreadsheetml/2006/main" count="1251" uniqueCount="264">
  <si>
    <t>Diseño de Contenido Curricular</t>
  </si>
  <si>
    <t>Curso</t>
  </si>
  <si>
    <t>777 - Organización de Lenguajes y Compiladores 1</t>
  </si>
  <si>
    <t>Periodo al que aplica</t>
  </si>
  <si>
    <t>Primer Semestre 2026</t>
  </si>
  <si>
    <t>No.</t>
  </si>
  <si>
    <t>Competencia</t>
  </si>
  <si>
    <t>Nombre de la Unidad</t>
  </si>
  <si>
    <t>Tema</t>
  </si>
  <si>
    <t>Subtema</t>
  </si>
  <si>
    <t>Mes</t>
  </si>
  <si>
    <t>Semana</t>
  </si>
  <si>
    <t xml:space="preserve">Integra lenguajes y herramientas de programación mediante estrategias de diseño y prueba con pensamiento crítico y visión sistémica </t>
  </si>
  <si>
    <t>Introduccion</t>
  </si>
  <si>
    <t>Introducción a la compilación</t>
  </si>
  <si>
    <t>Conceptos generales de compiladores</t>
  </si>
  <si>
    <t>Enero</t>
  </si>
  <si>
    <t>Tipos de compiladores</t>
  </si>
  <si>
    <t>Fases de Análisis</t>
  </si>
  <si>
    <t>Fases de Síntesis</t>
  </si>
  <si>
    <t>Fase de Sintesis en Compiladores</t>
  </si>
  <si>
    <t>Análisis Léxico</t>
  </si>
  <si>
    <t>Definición de análisis léxico</t>
  </si>
  <si>
    <t>Componentes del análisis léxico</t>
  </si>
  <si>
    <t>Método de Thompson</t>
  </si>
  <si>
    <t xml:space="preserve">Domina los conceptos fundamentales del compilador para analizar y diseñar traductores en proyectos de software que requieran procesamiento de lenguajes </t>
  </si>
  <si>
    <t>Método del Árbol</t>
  </si>
  <si>
    <t>Análisis Sintactico</t>
  </si>
  <si>
    <t>Definición de análisis sintáctico</t>
  </si>
  <si>
    <t>Introducción a grámaticas libres del contexto</t>
  </si>
  <si>
    <t>Derivaciones</t>
  </si>
  <si>
    <t>Árbol de Análisis Sintáctico</t>
  </si>
  <si>
    <t xml:space="preserve">Diseña tablas de símbolos y entornos empleando estructuras de datos adecuadas con gestión de ámbitos, tipos y recuperación de errores </t>
  </si>
  <si>
    <t>Estructuras</t>
  </si>
  <si>
    <t>Tabla de Simbolos</t>
  </si>
  <si>
    <t>Tabla de Símbolos</t>
  </si>
  <si>
    <t>Febrero</t>
  </si>
  <si>
    <t>Declaración de variables</t>
  </si>
  <si>
    <t>Asignación de variables</t>
  </si>
  <si>
    <t>Acceso de variables</t>
  </si>
  <si>
    <t xml:space="preserve">Implementa analizadores lexicos mediante expresiones regulares y JFlex para tokenizar entradas definidas y manejar errores léxicos </t>
  </si>
  <si>
    <t>Herramientas de Compilación</t>
  </si>
  <si>
    <t>Ejemplo Practico de JFLEX y CUP</t>
  </si>
  <si>
    <t>Descarga e instalación de herramientas</t>
  </si>
  <si>
    <t>Descripción de la sintáxis de las herramientas</t>
  </si>
  <si>
    <t>Escritura de expresiones regulares</t>
  </si>
  <si>
    <t>Escritura de gramáticas</t>
  </si>
  <si>
    <t>Comunicación con el entorno de programación</t>
  </si>
  <si>
    <t>Acciones Gramaticales</t>
  </si>
  <si>
    <t>Manejo de errores</t>
  </si>
  <si>
    <t xml:space="preserve">Gramaticas </t>
  </si>
  <si>
    <t>Gramáticas Independientes del Contexto</t>
  </si>
  <si>
    <t>Definición</t>
  </si>
  <si>
    <t>Marzo</t>
  </si>
  <si>
    <t>Funciones Primero y Siguientes</t>
  </si>
  <si>
    <t>Gramáticas Descendentes</t>
  </si>
  <si>
    <t>Gramáticas Ascendentes</t>
  </si>
  <si>
    <t>Reescrituras gramaticales</t>
  </si>
  <si>
    <t xml:space="preserve">Desarrolla analizadores sintácticos con CUP y Jison, gramáticas LL/LR para validar la estructura de programas y construir AST </t>
  </si>
  <si>
    <t>Ejemplo Practico de JISON</t>
  </si>
  <si>
    <t xml:space="preserve">Aplica el patrón Intérprete integrando validaciones semánticas y ejecución de sentencias para prototipar lenguajes de dominio específico </t>
  </si>
  <si>
    <t>Conferencia</t>
  </si>
  <si>
    <t>Conferencia del Laboratorio</t>
  </si>
  <si>
    <t>Abril</t>
  </si>
  <si>
    <t>Diseño Interprete</t>
  </si>
  <si>
    <t>Interprete utilizando patron interprete</t>
  </si>
  <si>
    <t>Patrones de diseño</t>
  </si>
  <si>
    <t>Patron Interprete</t>
  </si>
  <si>
    <t>Expresiones Aritmeticas</t>
  </si>
  <si>
    <t>Validaciones semanticas</t>
  </si>
  <si>
    <t>Definición de entornos de programación</t>
  </si>
  <si>
    <t>Funcionamiento de la tabla de simbolos</t>
  </si>
  <si>
    <t>Sentencia IF</t>
  </si>
  <si>
    <t>Sentencia While</t>
  </si>
  <si>
    <t>Funcionamiento de las funciones y metodos</t>
  </si>
  <si>
    <t>Llamada de funciones y metodos</t>
  </si>
  <si>
    <t>Llamada principal (main)</t>
  </si>
  <si>
    <t>Tiempo</t>
  </si>
  <si>
    <t xml:space="preserve">1. Bienvenida y Presentación                                   </t>
  </si>
  <si>
    <t>Tiempo Aproximado</t>
  </si>
  <si>
    <t>No puedes excederte mas de 15 minutos</t>
  </si>
  <si>
    <t xml:space="preserve">Nombre y Formacion Academica </t>
  </si>
  <si>
    <t xml:space="preserve">Experiencia docente y profecional </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</si>
  <si>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</si>
  <si>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</si>
  <si>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Expectativas sobre la dinámica del curso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</si>
  <si>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</si>
  <si>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</si>
  <si>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</si>
  <si>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</si>
  <si>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r>
      <rPr>
        <rFont val="Arial"/>
        <color theme="1"/>
      </rPr>
      <t>¿Para que se usa la cerradura de Kleene (*)?</t>
    </r>
    <r>
      <rPr>
        <rFont val="Arial"/>
        <b/>
        <color theme="1"/>
      </rPr>
      <t xml:space="preserve"> Se usa para representar la repetición de un símbolo o conjunto de símbolos cero o más veces.</t>
    </r>
    <r>
      <rPr>
        <rFont val="Arial"/>
        <color theme="1"/>
      </rPr>
      <t xml:space="preserve">
¿Cuál puede ser una representación de un Autómata? (hay más de una correcta) </t>
    </r>
    <r>
      <rPr>
        <rFont val="Arial"/>
        <b/>
        <color theme="1"/>
      </rPr>
      <t>Una tabla de transiciones</t>
    </r>
    <r>
      <rPr>
        <rFont val="Arial"/>
        <color theme="1"/>
      </rPr>
      <t xml:space="preserve">
¿Un AFD (Automata Finito Determinista) puede tener transiciones ε (epsilon)? </t>
    </r>
    <r>
      <rPr>
        <rFont val="Arial"/>
        <b/>
        <color theme="1"/>
      </rPr>
      <t>FALSO</t>
    </r>
    <r>
      <rPr>
        <rFont val="Arial"/>
        <color theme="1"/>
      </rPr>
      <t xml:space="preserve">
¿Cuál es la unidad básica de un lenguaje que forma parte de un token? </t>
    </r>
    <r>
      <rPr>
        <rFont val="Arial"/>
        <b/>
        <color theme="1"/>
      </rPr>
      <t>Lexema</t>
    </r>
    <r>
      <rPr>
        <rFont val="Arial"/>
        <color theme="1"/>
      </rPr>
      <t xml:space="preserve">
De las siguientes cadenas: "ab", "c", "abc", "abcc", "abab". Escribe el número de cadenas aceptadas por (ab|c)* </t>
    </r>
    <r>
      <rPr>
        <rFont val="Arial"/>
        <b/>
        <color theme="1"/>
      </rPr>
      <t xml:space="preserve">5
</t>
    </r>
    <r>
      <rPr>
        <rFont val="Arial"/>
        <color theme="1"/>
      </rPr>
      <t xml:space="preserve">¿Un AFD (Automata Finito Determinista) puede tener múltiples transiciones desde un mismo estado con el mismo símbolo? </t>
    </r>
    <r>
      <rPr>
        <rFont val="Arial"/>
        <b/>
        <color theme="1"/>
      </rPr>
      <t>FALSO</t>
    </r>
    <r>
      <rPr>
        <rFont val="Arial"/>
        <color theme="1"/>
      </rPr>
      <t xml:space="preserve">
¿Un AFN (Automata Finito No Determinista) puede tener varias transiciones para un mismo símbolo de entrada desde un mismo estado? </t>
    </r>
    <r>
      <rPr>
        <rFont val="Arial"/>
        <b/>
        <color theme="1"/>
      </rPr>
      <t>Verdadero</t>
    </r>
    <r>
      <rPr>
        <rFont val="Arial"/>
        <color theme="1"/>
      </rPr>
      <t xml:space="preserve">
¿La ambigüedad sintáctica ocurre cuando una estructura gramatical tiene más de una interpretación válida? </t>
    </r>
    <r>
      <rPr>
        <rFont val="Arial"/>
        <b/>
        <color theme="1"/>
      </rPr>
      <t>Verdadero</t>
    </r>
    <r>
      <rPr>
        <rFont val="Arial"/>
        <color theme="1"/>
      </rPr>
      <t xml:space="preserve">
Programa que recibe como entrada el código fuente de otro programa (secuencia de caracteres) y produce una salida compuesta de tokens (componentes léxicos) </t>
    </r>
    <r>
      <rPr>
        <rFont val="Arial"/>
        <b/>
        <color theme="1"/>
      </rPr>
      <t>Análisis Léxico</t>
    </r>
    <r>
      <rPr>
        <rFont val="Arial"/>
        <color theme="1"/>
      </rPr>
      <t xml:space="preserve">
Secuencia de caracteres en el programa fuente, que coinciden con el patrón para un token y que el analizador léxico identifica como una instancia de ese token. </t>
    </r>
    <r>
      <rPr>
        <rFont val="Arial"/>
        <b/>
        <color theme="1"/>
      </rPr>
      <t>Lexema</t>
    </r>
    <r>
      <rPr>
        <rFont val="Arial"/>
        <color theme="1"/>
      </rPr>
      <t xml:space="preserve">
Par que consiste en un nombre de token y un valor de atributo opcional. </t>
    </r>
    <r>
      <rPr>
        <rFont val="Arial"/>
        <b/>
        <color theme="1"/>
      </rPr>
      <t>Token</t>
    </r>
    <r>
      <rPr>
        <rFont val="Arial"/>
        <color theme="1"/>
      </rPr>
      <t xml:space="preserve">
Es una descripción de la forma que pueden tomar los lexemas de un token. </t>
    </r>
    <r>
      <rPr>
        <rFont val="Arial"/>
        <b/>
        <color theme="1"/>
      </rPr>
      <t>Patrón</t>
    </r>
    <r>
      <rPr>
        <rFont val="Arial"/>
        <color theme="1"/>
      </rPr>
      <t xml:space="preserve">
Es una cadena de caracteres que es utilizada para describir o encontrar patrones dentro de otras cadenas, en base al uso de delimitadores y ciertas reglas de sintaxis. </t>
    </r>
    <r>
      <rPr>
        <rFont val="Arial"/>
        <b/>
        <color theme="1"/>
      </rPr>
      <t>Expresión regular</t>
    </r>
    <r>
      <rPr>
        <rFont val="Arial"/>
        <color theme="1"/>
      </rPr>
      <t xml:space="preserve">
Modelo matemático para una maquina de estados finitos, en el que dada una entrada de símbolos, “salta” mediante una serie de estados de acuerdo a una función de transición. </t>
    </r>
    <r>
      <rPr>
        <rFont val="Arial"/>
        <b/>
        <color theme="1"/>
      </rPr>
      <t>Autómata finito</t>
    </r>
    <r>
      <rPr>
        <rFont val="Arial"/>
        <color theme="1"/>
      </rPr>
      <t xml:space="preserve">
El autómata no puede estar en más de un estado a la vez. </t>
    </r>
    <r>
      <rPr>
        <rFont val="Arial"/>
        <b/>
        <color theme="1"/>
      </rPr>
      <t>Autómata finito determinista</t>
    </r>
    <r>
      <rPr>
        <rFont val="Arial"/>
        <color theme="1"/>
      </rPr>
      <t xml:space="preserve">
El autómata puede estar en varios estados al mismo tiempo. </t>
    </r>
    <r>
      <rPr>
        <rFont val="Arial"/>
        <b/>
        <color theme="1"/>
      </rPr>
      <t xml:space="preserve">Autómata finito no determinista
</t>
    </r>
  </si>
  <si>
    <t>En los recuadors de la derecha deberas colocar las preguntas que planeas realizar con sus respectivas respuestas.  En el segundo recuadro deberas colocar un breve resumne de lo que tienes planificado para la parte practica del curso previo al que estas impartiendo.</t>
  </si>
  <si>
    <t>Redactaras una parte practica</t>
  </si>
  <si>
    <t>Derivación de un arbol de sintaxis segun una gramatica dada o un método del árbol.</t>
  </si>
  <si>
    <t xml:space="preserve">3. Presentación de los Estudiantes                                </t>
  </si>
  <si>
    <t xml:space="preserve">No puedes excederte mas de 30 minutos </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</si>
  <si>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</si>
  <si>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Seleccion al Azar de 5 Estudiantes</t>
  </si>
  <si>
    <t>Se solicitará a estudiantes ofrecerse como voluntarios. Se esperará 1 minuto, en caso no haber ningun voluntario se elegira a elección del auxiliar.</t>
  </si>
  <si>
    <t>Preguntas que responderan los estudiantes afortunados</t>
  </si>
  <si>
    <t>¿Cómo te fue con el curso de Lenguajes Formales y de Programación?
¿Ya has llevado el curso con anterioridad?
¿Qué esperas de este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</si>
  <si>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</si>
  <si>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</si>
  <si>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</si>
  <si>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</si>
  <si>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https://forms.gle/E9r2DKnBgJKNTx3h6</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</si>
  <si>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</si>
  <si>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</si>
  <si>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Tentativamente: Martes. Jueves, Viernes y Sabados 
Horarios de 11:00 - 18:00</t>
  </si>
  <si>
    <t xml:space="preserve">4.  Mostrar Programa del Curso                 </t>
  </si>
  <si>
    <t>No puedes excederte mas de 30 minutos</t>
  </si>
  <si>
    <t xml:space="preserve">2. Evaluación de Conocimientos del Curso Actual                                  </t>
  </si>
  <si>
    <t xml:space="preserve">Redactaras 20 preguntas con sus respectivas respuestas </t>
  </si>
  <si>
    <r>
      <rPr>
        <rFont val="Arial"/>
        <color theme="1"/>
      </rPr>
      <t xml:space="preserve">¿Cuál de los siguientes lenguajes se utilizó en el laboratorio? </t>
    </r>
    <r>
      <rPr>
        <rFont val="Arial"/>
        <b/>
        <color theme="1"/>
      </rPr>
      <t xml:space="preserve">Javascript
</t>
    </r>
    <r>
      <rPr>
        <rFont val="Arial"/>
        <color theme="1"/>
      </rPr>
      <t xml:space="preserve">¿Qué función tiene un compilador? </t>
    </r>
    <r>
      <rPr>
        <rFont val="Arial"/>
        <b/>
        <color theme="1"/>
      </rPr>
      <t xml:space="preserve">Transformar el código fuente en código ejecutable
</t>
    </r>
    <r>
      <rPr>
        <rFont val="Arial"/>
        <color theme="1"/>
      </rPr>
      <t xml:space="preserve">¿Cuál es la principal diferencia entre un compilador y un intérprete? </t>
    </r>
    <r>
      <rPr>
        <rFont val="Arial"/>
        <b/>
        <color theme="1"/>
      </rPr>
      <t xml:space="preserve">Los compiladores generan código ejecutable; los intérpretes ejecutan línea por línea
</t>
    </r>
    <r>
      <rPr>
        <rFont val="Arial"/>
        <color theme="1"/>
      </rPr>
      <t xml:space="preserve">¿Qué tipo de análisis se realiza en la fase de análisis léxico? </t>
    </r>
    <r>
      <rPr>
        <rFont val="Arial"/>
        <b/>
        <color theme="1"/>
      </rPr>
      <t xml:space="preserve">Análisis de patrones y tokens
</t>
    </r>
    <r>
      <rPr>
        <rFont val="Arial"/>
        <color theme="1"/>
      </rPr>
      <t xml:space="preserve">En el análisis léxico, ¿qué es un lexema? </t>
    </r>
    <r>
      <rPr>
        <rFont val="Arial"/>
        <b/>
        <color theme="1"/>
      </rPr>
      <t xml:space="preserve">Una unidad léxica que coincide con un patrón
</t>
    </r>
    <r>
      <rPr>
        <rFont val="Arial"/>
        <color theme="1"/>
      </rPr>
      <t xml:space="preserve">¿Cuándo encontramos un error, que hace el compilador? </t>
    </r>
    <r>
      <rPr>
        <rFont val="Arial"/>
        <b/>
        <color theme="1"/>
      </rPr>
      <t xml:space="preserve">Recuperación de errores
</t>
    </r>
    <r>
      <rPr>
        <rFont val="Arial"/>
        <color theme="1"/>
      </rPr>
      <t xml:space="preserve">¿Cuál es el propósito de la tabla de símbolos en un compilador? </t>
    </r>
    <r>
      <rPr>
        <rFont val="Arial"/>
        <b/>
        <color theme="1"/>
      </rPr>
      <t xml:space="preserve">Registrar las variables y sus tipos
</t>
    </r>
    <r>
      <rPr>
        <rFont val="Arial"/>
        <color theme="1"/>
      </rPr>
      <t xml:space="preserve">¿Qué representa un árbol de análisis sintáctico? </t>
    </r>
    <r>
      <rPr>
        <rFont val="Arial"/>
        <b/>
        <color theme="1"/>
      </rPr>
      <t xml:space="preserve">La estructura jerárquica del código fuente
</t>
    </r>
    <r>
      <rPr>
        <rFont val="Arial"/>
        <color theme="1"/>
      </rPr>
      <t xml:space="preserve">¿Qué tipo de gramáticas se estudian en el curso? </t>
    </r>
    <r>
      <rPr>
        <rFont val="Arial"/>
        <b/>
        <color theme="1"/>
      </rPr>
      <t xml:space="preserve">Gramáticas independientes del contexto
</t>
    </r>
    <r>
      <rPr>
        <rFont val="Arial"/>
        <color theme="1"/>
      </rPr>
      <t>En gramáticas ascendentes, ¿qué tipo de algoritmos se utilizan?</t>
    </r>
    <r>
      <rPr>
        <rFont val="Arial"/>
        <b/>
        <color theme="1"/>
      </rPr>
      <t xml:space="preserve"> LR(k)
</t>
    </r>
    <r>
      <rPr>
        <rFont val="Arial"/>
        <color theme="1"/>
      </rPr>
      <t xml:space="preserve">¿Cuál es el objetivo de la reescritura gramatical en el análisis sintáctico? </t>
    </r>
    <r>
      <rPr>
        <rFont val="Arial"/>
        <b/>
        <color theme="1"/>
      </rPr>
      <t xml:space="preserve">Eliminar la ambigüedad
</t>
    </r>
    <r>
      <rPr>
        <rFont val="Arial"/>
        <color theme="1"/>
      </rPr>
      <t xml:space="preserve">¿Cuál es una de las funciones principales del análisis semántico? </t>
    </r>
    <r>
      <rPr>
        <rFont val="Arial"/>
        <b/>
        <color theme="1"/>
      </rPr>
      <t xml:space="preserve">Verificar tipos de datos y consistencia
</t>
    </r>
    <r>
      <rPr>
        <rFont val="Arial"/>
        <color theme="1"/>
      </rPr>
      <t>¿Cuál de las siguientes es una gramática ascendente? S -&gt; A       A -&gt; A b       A -&gt; b
¿Para qué se utiliza la función “Primero” en análisis sintáctico?</t>
    </r>
    <r>
      <rPr>
        <rFont val="Arial"/>
        <b/>
        <color theme="1"/>
      </rPr>
      <t xml:space="preserve"> Determinar el primer símbolo terminal de una producción
</t>
    </r>
    <r>
      <rPr>
        <rFont val="Arial"/>
        <color theme="1"/>
      </rPr>
      <t xml:space="preserve">¿Qué es un autómata en el contexto del análisis léxico? </t>
    </r>
    <r>
      <rPr>
        <rFont val="Arial"/>
        <b/>
        <color theme="1"/>
      </rPr>
      <t xml:space="preserve">Un mecanismo para reconocer patrones
</t>
    </r>
    <r>
      <rPr>
        <rFont val="Arial"/>
        <color theme="1"/>
      </rPr>
      <t>¿Cuál es el resultado de la fase de síntesis en un compilador?</t>
    </r>
    <r>
      <rPr>
        <rFont val="Arial"/>
        <b/>
        <color theme="1"/>
      </rPr>
      <t xml:space="preserve"> Código ejecutable o intermedio
</t>
    </r>
    <r>
      <rPr>
        <rFont val="Arial"/>
        <color theme="1"/>
      </rPr>
      <t xml:space="preserve">¿En qué se diferencia un token de un lexema? </t>
    </r>
    <r>
      <rPr>
        <rFont val="Arial"/>
        <b/>
        <color theme="1"/>
      </rPr>
      <t xml:space="preserve">Un token representa una categoría, mientras que un lexema es el valor específico
</t>
    </r>
    <r>
      <rPr>
        <rFont val="Arial"/>
        <color theme="1"/>
      </rPr>
      <t xml:space="preserve">¿Qué tipo de autómata obtenemos al realizar el método del árbol? </t>
    </r>
    <r>
      <rPr>
        <rFont val="Arial"/>
        <b/>
        <color theme="1"/>
      </rPr>
      <t xml:space="preserve">AFD
</t>
    </r>
    <r>
      <rPr>
        <rFont val="Arial"/>
        <color theme="1"/>
      </rPr>
      <t xml:space="preserve">Característica de una gramatica descendente </t>
    </r>
    <r>
      <rPr>
        <rFont val="Arial"/>
        <b/>
        <color theme="1"/>
      </rPr>
      <t xml:space="preserve"> Es recursiva por la derecha
</t>
    </r>
    <r>
      <rPr>
        <rFont val="Arial"/>
        <color theme="1"/>
      </rPr>
      <t xml:space="preserve">Tercera fase del compilador </t>
    </r>
    <r>
      <rPr>
        <rFont val="Arial"/>
        <b/>
        <color theme="1"/>
      </rPr>
      <t>Análisis Semántico</t>
    </r>
  </si>
  <si>
    <t>Diseño de la Sesión de Laboratorio</t>
  </si>
  <si>
    <t>Ponderación</t>
  </si>
  <si>
    <t>Validación de Tiempo</t>
  </si>
  <si>
    <t>1. Área Actitudinal (Saber Ser)</t>
  </si>
  <si>
    <t>Tiene que estar en un rango de 3 a 5 minutos</t>
  </si>
  <si>
    <t>Nombre del Valor</t>
  </si>
  <si>
    <t>Participación afectiva</t>
  </si>
  <si>
    <t>Descripcion</t>
  </si>
  <si>
    <t>Involucrarse en ejercicios, cuestionarios y discusiones para construir el aprendizaje de forma práctica.</t>
  </si>
  <si>
    <t>Como se relaciona con los conocimientos de la sesion y se aplicaria</t>
  </si>
  <si>
    <t>2. Área Conocimiento (Saber)</t>
  </si>
  <si>
    <t>No puede exceder los 60 minutos</t>
  </si>
  <si>
    <t>Competencia a desarrollar</t>
  </si>
  <si>
    <t xml:space="preserve">Investiga nuevas técnicas de análisis y síntesis de lenguajes empleando aprendizaje autónomo y revisión de literatura con actitud de mejora continua y adaptación tecnológica </t>
  </si>
  <si>
    <t>2.1 Contenido</t>
  </si>
  <si>
    <t>Unidad</t>
  </si>
  <si>
    <t xml:space="preserve">Tema </t>
  </si>
  <si>
    <t>Sub Tema</t>
  </si>
  <si>
    <t>2.2 Recursos Educativos</t>
  </si>
  <si>
    <t>Tipo de Recurso a utilizar</t>
  </si>
  <si>
    <t>Tipo</t>
  </si>
  <si>
    <t>Rango Aproximando</t>
  </si>
  <si>
    <t>Presentacion</t>
  </si>
  <si>
    <t>Obligatorio</t>
  </si>
  <si>
    <t>10-20</t>
  </si>
  <si>
    <t>Video</t>
  </si>
  <si>
    <t>3 a 6 minutos</t>
  </si>
  <si>
    <t>Lectura</t>
  </si>
  <si>
    <t>Optativo</t>
  </si>
  <si>
    <t>15-25</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</si>
  <si>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</si>
  <si>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</si>
  <si>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</si>
  <si>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</si>
  <si>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</si>
  <si>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</si>
  <si>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</si>
  <si>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</si>
  <si>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</si>
  <si>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Los estudiantes desarrollaran un cuestionario en quizziz sobre el tema de introducción a la compilación.</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</si>
  <si>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</si>
  <si>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</si>
  <si>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</si>
  <si>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</si>
  <si>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</si>
  <si>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 al laboratorio, a la herramienta a utulizar, proyectos, etc</t>
  </si>
  <si>
    <t>Resuelve alguna duda, asigna las actividades que deben realizar, dudas de proyectos, etc</t>
  </si>
  <si>
    <t>Autonomía</t>
  </si>
  <si>
    <t>Capacidad de para tomar sus propias decisiones.</t>
  </si>
  <si>
    <t>Desarrollar la capacidad de aprender por cuenta propia mediante lecturas, ejemplos y ejercicios propuestos.</t>
  </si>
  <si>
    <t>15 a 25 minutos</t>
  </si>
  <si>
    <t>6 a 8 minutos</t>
  </si>
  <si>
    <t>5 a 15 minutos</t>
  </si>
  <si>
    <t>actividades</t>
  </si>
  <si>
    <t>Atividad en conjunto con el ejericcio demostrativo</t>
  </si>
  <si>
    <t>Cuestionario a realizar sobre el análisis sintáctico</t>
  </si>
  <si>
    <t>Responsabilidad</t>
  </si>
  <si>
    <t>El estudiante asume con compromiso la instalación y el uso correcto de las herramientas JFLEX y CUP, cumpliendo con los pasos y tiempos establecidos para alcanzar los objetivos de la clase.</t>
  </si>
  <si>
    <t>10 a 15 minutos</t>
  </si>
  <si>
    <t>5 a 10 minutos</t>
  </si>
  <si>
    <t>30 a 45 minutos</t>
  </si>
  <si>
    <t>Analisis</t>
  </si>
  <si>
    <t>Se debera evaluar el uso correcto de la tabla de simbolos mediante el analisis de una propuesta de proyecto innovador</t>
  </si>
  <si>
    <t xml:space="preserve">Dudas referentes a lo visto en clase </t>
  </si>
  <si>
    <t>Pensamiento crítico</t>
  </si>
  <si>
    <t>El análisis de las estructuras de entrada, así como la comprensión de la sintaxis en JFLEX y CUP, exige al estudiante cuestionar, evaluar y mejorar su enfoque de resolución.</t>
  </si>
  <si>
    <t>Se deberá realizar la instalación de las herramientas utilizadas para el curso</t>
  </si>
  <si>
    <t xml:space="preserve"> El estudiante asume el compromiso de configurar correctamente su entorno de desarrollo y cumplir los tiempos de las actividades asignadas.</t>
  </si>
  <si>
    <t>Desarrollar una nalizador lexico y sintactico con las herramientas vistas en clase</t>
  </si>
  <si>
    <t>Perseverancia</t>
  </si>
  <si>
    <t>La depuración de errores en el análisis gramatical demanda esfuerzo constante y paciencia para lograr el entendimiento profundo.</t>
  </si>
  <si>
    <t>Desarrollar una gramatica inicial referente al proyecto de clase</t>
  </si>
  <si>
    <t>Se exige cumplimiento con la práctica asignada y participación activa durante los ejercicios guiados y de aplicación.</t>
  </si>
  <si>
    <t>10 a 15</t>
  </si>
  <si>
    <t>5 a 10</t>
  </si>
  <si>
    <t>20 a 25</t>
  </si>
  <si>
    <t>Una gramática en JISON que reconozca operaciones aritméticas básicas</t>
  </si>
  <si>
    <t>Innovación</t>
  </si>
  <si>
    <t>Hacer un interprete para operaciones aritméticas</t>
  </si>
  <si>
    <t>Pensamiento lógico</t>
  </si>
  <si>
    <t>Interpretar correctamente expresiones aritméticas y manejar asignaciones requiere aplicar estructuras lógicas bien definidas.</t>
  </si>
  <si>
    <t>Desarrollo de un interprete que reconozca instrucción de impresión en consola</t>
  </si>
  <si>
    <t>Al aplicar ejemplos prácticos, el estudiante toma decisiones sobre la estructura y flujo de su intérprete.</t>
  </si>
  <si>
    <t>Ejercicio practico</t>
  </si>
  <si>
    <t>Implementación de un bucle while utilizando patrón interprete</t>
  </si>
  <si>
    <t>Proyectos</t>
  </si>
  <si>
    <t>La sumatoria de los puntos de los proyectos debe superar el  70% del total de la nota, no puede ser un 100%</t>
  </si>
  <si>
    <t>1. Primer Proyecto</t>
  </si>
  <si>
    <t>Horas para realizarlo</t>
  </si>
  <si>
    <t>Titulo</t>
  </si>
  <si>
    <t>Traductor de conjuntos</t>
  </si>
  <si>
    <t>Qué tecnologías, lenguajes de programación, plataformas, hardware o software se utilizaran</t>
  </si>
  <si>
    <t>Lenguaje java. Jfelx y Cup</t>
  </si>
  <si>
    <t>Descripción de lo que se realizara</t>
  </si>
  <si>
    <t>Implementación de análisis léxico y captura de errores léxicos. Implementación de análisis sintáctico.</t>
  </si>
  <si>
    <t>2. Segundo Proyecto</t>
  </si>
  <si>
    <t>Interprete XNK</t>
  </si>
  <si>
    <t>JISON, javascript, typescript</t>
  </si>
  <si>
    <t>implementación de análisis léxico y captura de errores léxicos, implementación de análisis sintáctico y su reperación de errores.</t>
  </si>
  <si>
    <t>3. Tercer Proyecto</t>
  </si>
  <si>
    <t>Optativa</t>
  </si>
  <si>
    <t>Practicas - Actividades</t>
  </si>
  <si>
    <t>La sumatoria de los puntos de los practicas debe no debe super el  20%</t>
  </si>
  <si>
    <t>1. Primera Practica</t>
  </si>
  <si>
    <t>Obligatoria</t>
  </si>
  <si>
    <t>Expresiones regulares con JFLEX</t>
  </si>
  <si>
    <t>JAVA, JFLEX</t>
  </si>
  <si>
    <t>Implementar la primer fase del compilador en un lenguaje simple</t>
  </si>
  <si>
    <t>2. Segunda Practica</t>
  </si>
  <si>
    <t>Analisis Sintactico</t>
  </si>
  <si>
    <t>JAVA, CUP, JFLEX</t>
  </si>
  <si>
    <t>Se requiere continuar con la actividad anterior, pero ahora se desea implementar la fase sintactica</t>
  </si>
  <si>
    <t>3. Tercera Practica</t>
  </si>
  <si>
    <t>Mejorando el código</t>
  </si>
  <si>
    <t>JAVA, JFLEX, CUP</t>
  </si>
  <si>
    <t>Se deben realizar mejoras a la actividad anterior, implementando mas reglas gramaticales y verificando si el código está bien estructurado.</t>
  </si>
  <si>
    <t>4. Cuarta Practica</t>
  </si>
  <si>
    <t>Tabla de Simbolos y Entornos</t>
  </si>
  <si>
    <t>Despues de ir mejorando la actividad que se ha estado realizando, se desea implementar los entornos en nuestro programa para que se asemeje mas a un lenguaje real</t>
  </si>
  <si>
    <t>5. Quinta Practica</t>
  </si>
  <si>
    <t>NodeJS, JavaScript, JISON</t>
  </si>
  <si>
    <t>Implementar una aplicación cliente servidor aplicando el patron interprete, partiendo de las actividades realizadas.</t>
  </si>
  <si>
    <t>6. Sexta Practica</t>
  </si>
  <si>
    <t>7. Septima Practica</t>
  </si>
  <si>
    <t>Tareas</t>
  </si>
  <si>
    <t>La sumatoria de los puntos de los practicas debe no debe super el  20% de la nota</t>
  </si>
  <si>
    <t>1. Primera Tarea</t>
  </si>
  <si>
    <t>JFLEX, CUP Y JAVA</t>
  </si>
  <si>
    <t>Exploración de las herramientas y sus atributos</t>
  </si>
  <si>
    <t>2. Segunda Tarea</t>
  </si>
  <si>
    <t>NO APLICA</t>
  </si>
  <si>
    <t>Generación de gramáticas para operaciones ariméticas que resuelvan la presedencia de operadores con producciones</t>
  </si>
  <si>
    <t>3. Tercera Tarea</t>
  </si>
  <si>
    <t>JISON, js y ts</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</si>
  <si>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</si>
  <si>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</si>
  <si>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</si>
  <si>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</si>
  <si>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</si>
  <si>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</si>
  <si>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</si>
  <si>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</si>
  <si>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</si>
  <si>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</si>
  <si>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</si>
  <si>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</si>
  <si>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</si>
  <si>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</si>
  <si>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Practicas</t>
  </si>
  <si>
    <t>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</si>
</sst>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vertical="bottom"/>
    </xf>
    <xf quotePrefix="1" borderId="0" fillId="0" fontId="4" numFmtId="0" xfId="0" applyAlignment="1" applyFont="1">
      <alignment readingOrder="0"/>
    </xf>
    <xf borderId="1" fillId="0" fontId="3" numFmtId="0" xfId="0" applyAlignment="1" applyBorder="1" applyFont="1">
      <alignment horizontal="center" readingOrder="0" shrinkToFit="0" wrapText="1"/>
    </xf>
    <xf borderId="1" fillId="0" fontId="4" numFmtId="0" xfId="0" applyAlignment="1" applyBorder="1" applyFont="1">
      <alignment vertical="bottom"/>
    </xf>
    <xf borderId="1" fillId="0" fontId="4" numFmtId="0" xfId="0" applyAlignment="1" applyBorder="1" applyFont="1">
      <alignment shrinkToFit="0" vertical="bottom" wrapText="1"/>
    </xf>
    <xf borderId="1" fillId="0" fontId="3" numFmtId="0" xfId="0" applyAlignment="1" applyBorder="1" applyFont="1">
      <alignment horizontal="center" shrinkToFit="0" wrapText="1"/>
    </xf>
    <xf borderId="1" fillId="3" fontId="4" numFmtId="0" xfId="0" applyAlignment="1" applyBorder="1" applyFill="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4" fontId="1" numFmtId="0" xfId="0" applyFill="1" applyFont="1"/>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Font="1"/>
    <xf borderId="0" fillId="0" fontId="4" numFmtId="0" xfId="0" applyAlignment="1" applyFont="1">
      <alignment horizontal="center" readingOrder="0" shrinkToFit="0" vertical="center" wrapText="1"/>
    </xf>
    <xf borderId="0" fillId="0" fontId="13"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0" fontId="14" numFmtId="0" xfId="0" applyFont="1"/>
    <xf borderId="2" fillId="0" fontId="15" numFmtId="0" xfId="0" applyAlignment="1" applyBorder="1" applyFont="1">
      <alignment readingOrder="0" vertical="bottom"/>
    </xf>
    <xf borderId="0" fillId="0" fontId="4" numFmtId="0" xfId="0" applyAlignment="1" applyFont="1">
      <alignment shrinkToFit="0" vertical="center" wrapText="1"/>
    </xf>
    <xf borderId="0" fillId="0" fontId="16" numFmtId="0" xfId="0" applyFont="1"/>
    <xf borderId="1" fillId="0" fontId="4" numFmtId="0" xfId="0" applyAlignment="1" applyBorder="1" applyFont="1">
      <alignment shrinkToFit="0" wrapText="1"/>
    </xf>
    <xf borderId="0" fillId="0" fontId="13" numFmtId="0" xfId="0" applyFont="1"/>
    <xf borderId="0" fillId="6" fontId="17" numFmtId="0" xfId="0" applyFill="1" applyFont="1"/>
    <xf borderId="2" fillId="5"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7" fontId="4" numFmtId="0" xfId="0" applyBorder="1" applyFill="1" applyFont="1"/>
    <xf borderId="2" fillId="7" fontId="4" numFmtId="0" xfId="0" applyBorder="1" applyFont="1"/>
    <xf borderId="0" fillId="0" fontId="7" numFmtId="0" xfId="0" applyFont="1"/>
    <xf borderId="1" fillId="8" fontId="4" numFmtId="0" xfId="0" applyBorder="1" applyFill="1" applyFont="1"/>
    <xf borderId="2" fillId="8" fontId="4" numFmtId="0" xfId="0" applyBorder="1" applyFont="1"/>
    <xf borderId="2" fillId="0" fontId="4" numFmtId="0" xfId="0" applyAlignment="1" applyBorder="1" applyFont="1">
      <alignment horizontal="right" readingOrder="0" vertical="bottom"/>
    </xf>
    <xf borderId="1" fillId="0" fontId="4" numFmtId="0" xfId="0" applyAlignment="1" applyBorder="1" applyFont="1">
      <alignment readingOrder="0" vertical="bottom"/>
    </xf>
    <xf borderId="2" fillId="0" fontId="4" numFmtId="0" xfId="0" applyAlignment="1" applyBorder="1" applyFont="1">
      <alignment horizontal="right" vertical="bottom"/>
    </xf>
    <xf borderId="1" fillId="0" fontId="4" numFmtId="0" xfId="0" applyAlignment="1" applyBorder="1" applyFont="1">
      <alignment readingOrder="0"/>
    </xf>
    <xf borderId="2" fillId="0" fontId="14" numFmtId="0" xfId="0" applyBorder="1" applyFont="1"/>
    <xf borderId="11" fillId="0" fontId="8" numFmtId="0" xfId="0" applyBorder="1" applyFont="1"/>
    <xf borderId="12" fillId="0" fontId="8" numFmtId="0" xfId="0" applyBorder="1" applyFont="1"/>
    <xf borderId="0" fillId="0" fontId="18" numFmtId="0" xfId="0" applyFont="1"/>
    <xf borderId="5" fillId="0" fontId="4" numFmtId="0" xfId="0" applyBorder="1" applyFont="1"/>
    <xf borderId="2" fillId="0" fontId="14" numFmtId="0" xfId="0" applyAlignment="1" applyBorder="1" applyFont="1">
      <alignment readingOrder="0"/>
    </xf>
    <xf borderId="0" fillId="6" fontId="17" numFmtId="0" xfId="0" applyAlignment="1" applyFont="1">
      <alignment readingOrder="0"/>
    </xf>
    <xf borderId="0" fillId="0" fontId="16" numFmtId="0" xfId="0" applyAlignment="1" applyFont="1">
      <alignment readingOrder="0"/>
    </xf>
    <xf borderId="0" fillId="0" fontId="19" numFmtId="0" xfId="0" applyFont="1"/>
    <xf borderId="0" fillId="4" fontId="20" numFmtId="0" xfId="0" applyFont="1"/>
    <xf borderId="0" fillId="4" fontId="21" numFmtId="0" xfId="0" applyFont="1"/>
    <xf borderId="0" fillId="0" fontId="20"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7" fontId="22" numFmtId="0" xfId="0" applyAlignment="1" applyBorder="1" applyFont="1">
      <alignment shrinkToFit="0" wrapText="1"/>
    </xf>
    <xf borderId="1" fillId="7" fontId="22"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E9r2DKnBgJKNTx3h6"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1.25"/>
    <col customWidth="1" min="6" max="6" width="35.5"/>
  </cols>
  <sheetData>
    <row r="1" ht="15.75" customHeight="1"/>
    <row r="2" ht="15.75" customHeight="1">
      <c r="A2" s="1">
        <f>VALUE(LEFT(C4,FIND(" - ",C4)-1))</f>
        <v>777</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2" t="s">
        <v>14</v>
      </c>
      <c r="F9" s="12" t="s">
        <v>15</v>
      </c>
      <c r="G9" s="13" t="s">
        <v>16</v>
      </c>
      <c r="H9" s="14">
        <v>2.0</v>
      </c>
    </row>
    <row r="10" ht="15.75" customHeight="1">
      <c r="B10" s="10">
        <v>2.0</v>
      </c>
      <c r="C10" s="11" t="s">
        <v>12</v>
      </c>
      <c r="D10" s="15" t="s">
        <v>13</v>
      </c>
      <c r="E10" s="15" t="s">
        <v>14</v>
      </c>
      <c r="F10" s="15" t="s">
        <v>17</v>
      </c>
      <c r="G10" s="13" t="s">
        <v>16</v>
      </c>
      <c r="H10" s="14">
        <v>2.0</v>
      </c>
    </row>
    <row r="11" ht="15.75" customHeight="1">
      <c r="B11" s="10">
        <v>3.0</v>
      </c>
      <c r="C11" s="11" t="s">
        <v>12</v>
      </c>
      <c r="D11" s="15" t="s">
        <v>13</v>
      </c>
      <c r="E11" s="15" t="s">
        <v>14</v>
      </c>
      <c r="F11" s="15" t="s">
        <v>18</v>
      </c>
      <c r="G11" s="13" t="s">
        <v>16</v>
      </c>
      <c r="H11" s="14">
        <v>2.0</v>
      </c>
    </row>
    <row r="12" ht="15.75" customHeight="1">
      <c r="B12" s="10">
        <v>4.0</v>
      </c>
      <c r="C12" s="11" t="s">
        <v>12</v>
      </c>
      <c r="D12" s="15" t="s">
        <v>13</v>
      </c>
      <c r="E12" s="15" t="s">
        <v>14</v>
      </c>
      <c r="F12" s="15" t="s">
        <v>19</v>
      </c>
      <c r="G12" s="13" t="s">
        <v>16</v>
      </c>
      <c r="H12" s="14">
        <v>2.0</v>
      </c>
    </row>
    <row r="13" ht="15.75" customHeight="1">
      <c r="B13" s="10">
        <v>5.0</v>
      </c>
      <c r="C13" s="11" t="s">
        <v>12</v>
      </c>
      <c r="D13" s="16" t="s">
        <v>20</v>
      </c>
      <c r="E13" s="15" t="s">
        <v>21</v>
      </c>
      <c r="F13" s="15" t="s">
        <v>22</v>
      </c>
      <c r="G13" s="13" t="s">
        <v>16</v>
      </c>
      <c r="H13" s="17">
        <v>2.0</v>
      </c>
    </row>
    <row r="14" ht="15.75" customHeight="1">
      <c r="B14" s="10">
        <v>6.0</v>
      </c>
      <c r="C14" s="11" t="s">
        <v>12</v>
      </c>
      <c r="D14" s="16" t="s">
        <v>20</v>
      </c>
      <c r="E14" s="15" t="s">
        <v>21</v>
      </c>
      <c r="F14" s="15" t="s">
        <v>23</v>
      </c>
      <c r="G14" s="13" t="s">
        <v>16</v>
      </c>
      <c r="H14" s="17">
        <v>2.0</v>
      </c>
    </row>
    <row r="15" ht="15.75" customHeight="1">
      <c r="B15" s="10">
        <v>7.0</v>
      </c>
      <c r="C15" s="11" t="s">
        <v>12</v>
      </c>
      <c r="D15" s="16" t="s">
        <v>20</v>
      </c>
      <c r="E15" s="15" t="s">
        <v>21</v>
      </c>
      <c r="F15" s="15" t="s">
        <v>24</v>
      </c>
      <c r="G15" s="13" t="s">
        <v>16</v>
      </c>
      <c r="H15" s="17">
        <v>2.0</v>
      </c>
    </row>
    <row r="16" ht="15.75" customHeight="1">
      <c r="B16" s="10">
        <v>8.0</v>
      </c>
      <c r="C16" s="11" t="s">
        <v>25</v>
      </c>
      <c r="D16" s="16" t="s">
        <v>20</v>
      </c>
      <c r="E16" s="15" t="s">
        <v>21</v>
      </c>
      <c r="F16" s="15" t="s">
        <v>26</v>
      </c>
      <c r="G16" s="13" t="s">
        <v>16</v>
      </c>
      <c r="H16" s="17">
        <v>2.0</v>
      </c>
    </row>
    <row r="17" ht="15.75" customHeight="1">
      <c r="B17" s="10">
        <v>9.0</v>
      </c>
      <c r="C17" s="11" t="s">
        <v>25</v>
      </c>
      <c r="D17" s="16" t="s">
        <v>20</v>
      </c>
      <c r="E17" s="15" t="s">
        <v>27</v>
      </c>
      <c r="F17" s="15" t="s">
        <v>28</v>
      </c>
      <c r="G17" s="13" t="s">
        <v>16</v>
      </c>
      <c r="H17" s="17">
        <v>3.0</v>
      </c>
    </row>
    <row r="18" ht="15.75" customHeight="1">
      <c r="B18" s="10">
        <v>10.0</v>
      </c>
      <c r="C18" s="11" t="s">
        <v>25</v>
      </c>
      <c r="D18" s="16" t="s">
        <v>20</v>
      </c>
      <c r="E18" s="15" t="s">
        <v>27</v>
      </c>
      <c r="F18" s="15" t="s">
        <v>29</v>
      </c>
      <c r="G18" s="13" t="s">
        <v>16</v>
      </c>
      <c r="H18" s="17">
        <v>3.0</v>
      </c>
    </row>
    <row r="19" ht="15.75" customHeight="1">
      <c r="B19" s="10">
        <v>11.0</v>
      </c>
      <c r="C19" s="11" t="s">
        <v>25</v>
      </c>
      <c r="D19" s="16" t="s">
        <v>20</v>
      </c>
      <c r="E19" s="15" t="s">
        <v>27</v>
      </c>
      <c r="F19" s="15" t="s">
        <v>30</v>
      </c>
      <c r="G19" s="13" t="s">
        <v>16</v>
      </c>
      <c r="H19" s="17">
        <v>3.0</v>
      </c>
    </row>
    <row r="20" ht="15.75" customHeight="1">
      <c r="B20" s="10">
        <v>12.0</v>
      </c>
      <c r="C20" s="11" t="s">
        <v>25</v>
      </c>
      <c r="D20" s="16" t="s">
        <v>20</v>
      </c>
      <c r="E20" s="15" t="s">
        <v>27</v>
      </c>
      <c r="F20" s="15" t="s">
        <v>31</v>
      </c>
      <c r="G20" s="13" t="s">
        <v>16</v>
      </c>
      <c r="H20" s="17">
        <v>3.0</v>
      </c>
    </row>
    <row r="21" ht="15.75" customHeight="1">
      <c r="B21" s="10">
        <v>13.0</v>
      </c>
      <c r="C21" s="11" t="s">
        <v>32</v>
      </c>
      <c r="D21" s="15" t="s">
        <v>33</v>
      </c>
      <c r="E21" s="15" t="s">
        <v>34</v>
      </c>
      <c r="F21" s="16" t="s">
        <v>35</v>
      </c>
      <c r="G21" s="10" t="s">
        <v>36</v>
      </c>
      <c r="H21" s="17">
        <v>4.0</v>
      </c>
    </row>
    <row r="22" ht="15.75" customHeight="1">
      <c r="B22" s="10">
        <v>14.0</v>
      </c>
      <c r="C22" s="11" t="s">
        <v>32</v>
      </c>
      <c r="D22" s="15" t="s">
        <v>33</v>
      </c>
      <c r="E22" s="15" t="s">
        <v>34</v>
      </c>
      <c r="F22" s="16" t="s">
        <v>37</v>
      </c>
      <c r="G22" s="10" t="s">
        <v>36</v>
      </c>
      <c r="H22" s="17">
        <v>4.0</v>
      </c>
    </row>
    <row r="23" ht="15.75" customHeight="1">
      <c r="B23" s="10">
        <v>15.0</v>
      </c>
      <c r="C23" s="11" t="s">
        <v>32</v>
      </c>
      <c r="D23" s="15" t="s">
        <v>33</v>
      </c>
      <c r="E23" s="15" t="s">
        <v>34</v>
      </c>
      <c r="F23" s="16" t="s">
        <v>38</v>
      </c>
      <c r="G23" s="10" t="s">
        <v>36</v>
      </c>
      <c r="H23" s="17">
        <v>4.0</v>
      </c>
    </row>
    <row r="24" ht="15.75" customHeight="1">
      <c r="B24" s="10">
        <v>16.0</v>
      </c>
      <c r="C24" s="11" t="s">
        <v>32</v>
      </c>
      <c r="D24" s="15" t="s">
        <v>33</v>
      </c>
      <c r="E24" s="15" t="s">
        <v>34</v>
      </c>
      <c r="F24" s="16" t="s">
        <v>39</v>
      </c>
      <c r="G24" s="10" t="s">
        <v>36</v>
      </c>
      <c r="H24" s="17">
        <v>4.0</v>
      </c>
    </row>
    <row r="25" ht="15.75" customHeight="1">
      <c r="B25" s="10">
        <v>17.0</v>
      </c>
      <c r="C25" s="11" t="s">
        <v>40</v>
      </c>
      <c r="D25" s="15" t="s">
        <v>41</v>
      </c>
      <c r="E25" s="15" t="s">
        <v>42</v>
      </c>
      <c r="F25" s="15" t="s">
        <v>43</v>
      </c>
      <c r="G25" s="10" t="s">
        <v>36</v>
      </c>
      <c r="H25" s="17">
        <v>5.0</v>
      </c>
    </row>
    <row r="26" ht="15.75" customHeight="1">
      <c r="B26" s="10">
        <v>18.0</v>
      </c>
      <c r="C26" s="11" t="s">
        <v>40</v>
      </c>
      <c r="D26" s="15" t="s">
        <v>41</v>
      </c>
      <c r="E26" s="15" t="s">
        <v>42</v>
      </c>
      <c r="F26" s="15" t="s">
        <v>44</v>
      </c>
      <c r="G26" s="10" t="s">
        <v>36</v>
      </c>
      <c r="H26" s="17">
        <v>5.0</v>
      </c>
    </row>
    <row r="27" ht="15.75" customHeight="1">
      <c r="B27" s="10">
        <v>19.0</v>
      </c>
      <c r="C27" s="11" t="s">
        <v>40</v>
      </c>
      <c r="D27" s="15" t="s">
        <v>41</v>
      </c>
      <c r="E27" s="15" t="s">
        <v>42</v>
      </c>
      <c r="F27" s="15" t="s">
        <v>45</v>
      </c>
      <c r="G27" s="10" t="s">
        <v>36</v>
      </c>
      <c r="H27" s="17">
        <v>5.0</v>
      </c>
    </row>
    <row r="28" ht="15.75" customHeight="1">
      <c r="B28" s="10">
        <v>20.0</v>
      </c>
      <c r="C28" s="11" t="s">
        <v>40</v>
      </c>
      <c r="D28" s="15" t="s">
        <v>41</v>
      </c>
      <c r="E28" s="15" t="s">
        <v>42</v>
      </c>
      <c r="F28" s="15" t="s">
        <v>46</v>
      </c>
      <c r="G28" s="10" t="s">
        <v>36</v>
      </c>
      <c r="H28" s="17">
        <v>5.0</v>
      </c>
    </row>
    <row r="29" ht="15.75" customHeight="1">
      <c r="B29" s="10">
        <v>21.0</v>
      </c>
      <c r="C29" s="11" t="s">
        <v>40</v>
      </c>
      <c r="D29" s="15" t="s">
        <v>41</v>
      </c>
      <c r="E29" s="15" t="s">
        <v>42</v>
      </c>
      <c r="F29" s="15" t="s">
        <v>47</v>
      </c>
      <c r="G29" s="10" t="s">
        <v>36</v>
      </c>
      <c r="H29" s="17">
        <v>6.0</v>
      </c>
    </row>
    <row r="30" ht="15.75" customHeight="1">
      <c r="B30" s="10">
        <v>22.0</v>
      </c>
      <c r="C30" s="11" t="s">
        <v>40</v>
      </c>
      <c r="D30" s="15" t="s">
        <v>41</v>
      </c>
      <c r="E30" s="15" t="s">
        <v>42</v>
      </c>
      <c r="F30" s="15" t="s">
        <v>47</v>
      </c>
      <c r="G30" s="10" t="s">
        <v>36</v>
      </c>
      <c r="H30" s="17">
        <v>6.0</v>
      </c>
    </row>
    <row r="31" ht="15.75" customHeight="1">
      <c r="B31" s="10">
        <v>23.0</v>
      </c>
      <c r="C31" s="11" t="s">
        <v>40</v>
      </c>
      <c r="D31" s="15" t="s">
        <v>41</v>
      </c>
      <c r="E31" s="15" t="s">
        <v>42</v>
      </c>
      <c r="F31" s="15" t="s">
        <v>48</v>
      </c>
      <c r="G31" s="10" t="s">
        <v>36</v>
      </c>
      <c r="H31" s="17">
        <v>6.0</v>
      </c>
    </row>
    <row r="32" ht="15.75" customHeight="1">
      <c r="B32" s="10">
        <v>24.0</v>
      </c>
      <c r="C32" s="11" t="s">
        <v>40</v>
      </c>
      <c r="D32" s="15" t="s">
        <v>41</v>
      </c>
      <c r="E32" s="15" t="s">
        <v>42</v>
      </c>
      <c r="F32" s="15" t="s">
        <v>49</v>
      </c>
      <c r="G32" s="10" t="s">
        <v>36</v>
      </c>
      <c r="H32" s="17">
        <v>6.0</v>
      </c>
    </row>
    <row r="33" ht="15.75" customHeight="1">
      <c r="B33" s="10">
        <v>25.0</v>
      </c>
      <c r="C33" s="11" t="s">
        <v>40</v>
      </c>
      <c r="D33" s="15" t="s">
        <v>50</v>
      </c>
      <c r="E33" s="15" t="s">
        <v>51</v>
      </c>
      <c r="F33" s="15" t="s">
        <v>52</v>
      </c>
      <c r="G33" s="10" t="s">
        <v>53</v>
      </c>
      <c r="H33" s="17">
        <v>7.0</v>
      </c>
    </row>
    <row r="34" ht="15.75" customHeight="1">
      <c r="B34" s="10">
        <v>26.0</v>
      </c>
      <c r="C34" s="11" t="s">
        <v>40</v>
      </c>
      <c r="D34" s="15" t="s">
        <v>50</v>
      </c>
      <c r="E34" s="15" t="s">
        <v>51</v>
      </c>
      <c r="F34" s="15" t="s">
        <v>54</v>
      </c>
      <c r="G34" s="10" t="s">
        <v>53</v>
      </c>
      <c r="H34" s="17">
        <v>7.0</v>
      </c>
    </row>
    <row r="35" ht="15.75" customHeight="1">
      <c r="B35" s="10">
        <v>27.0</v>
      </c>
      <c r="C35" s="11" t="s">
        <v>40</v>
      </c>
      <c r="D35" s="15" t="s">
        <v>50</v>
      </c>
      <c r="E35" s="15" t="s">
        <v>51</v>
      </c>
      <c r="F35" s="15" t="s">
        <v>55</v>
      </c>
      <c r="G35" s="10" t="s">
        <v>53</v>
      </c>
      <c r="H35" s="17">
        <v>7.0</v>
      </c>
    </row>
    <row r="36" ht="15.75" customHeight="1">
      <c r="B36" s="10">
        <v>28.0</v>
      </c>
      <c r="C36" s="11" t="s">
        <v>40</v>
      </c>
      <c r="D36" s="15" t="s">
        <v>50</v>
      </c>
      <c r="E36" s="15" t="s">
        <v>51</v>
      </c>
      <c r="F36" s="15" t="s">
        <v>56</v>
      </c>
      <c r="G36" s="10" t="s">
        <v>53</v>
      </c>
      <c r="H36" s="17">
        <v>7.0</v>
      </c>
    </row>
    <row r="37" ht="15.75" customHeight="1">
      <c r="B37" s="10">
        <v>29.0</v>
      </c>
      <c r="C37" s="11" t="s">
        <v>40</v>
      </c>
      <c r="D37" s="15" t="s">
        <v>50</v>
      </c>
      <c r="E37" s="15" t="s">
        <v>51</v>
      </c>
      <c r="F37" s="15" t="s">
        <v>57</v>
      </c>
      <c r="G37" s="10" t="s">
        <v>53</v>
      </c>
      <c r="H37" s="17">
        <v>7.0</v>
      </c>
    </row>
    <row r="38" ht="15.75" customHeight="1">
      <c r="B38" s="10">
        <v>30.0</v>
      </c>
      <c r="C38" s="11" t="s">
        <v>58</v>
      </c>
      <c r="D38" s="15" t="s">
        <v>41</v>
      </c>
      <c r="E38" s="18" t="s">
        <v>59</v>
      </c>
      <c r="F38" s="15" t="s">
        <v>43</v>
      </c>
      <c r="G38" s="10" t="s">
        <v>53</v>
      </c>
      <c r="H38" s="17">
        <v>8.0</v>
      </c>
    </row>
    <row r="39" ht="15.75" customHeight="1">
      <c r="B39" s="10">
        <v>31.0</v>
      </c>
      <c r="C39" s="11" t="s">
        <v>58</v>
      </c>
      <c r="D39" s="15" t="s">
        <v>41</v>
      </c>
      <c r="E39" s="18" t="s">
        <v>59</v>
      </c>
      <c r="F39" s="15" t="s">
        <v>45</v>
      </c>
      <c r="G39" s="10" t="s">
        <v>53</v>
      </c>
      <c r="H39" s="17">
        <v>8.0</v>
      </c>
    </row>
    <row r="40" ht="15.75" customHeight="1">
      <c r="B40" s="10">
        <v>32.0</v>
      </c>
      <c r="C40" s="11" t="s">
        <v>58</v>
      </c>
      <c r="D40" s="15" t="s">
        <v>41</v>
      </c>
      <c r="E40" s="18" t="s">
        <v>59</v>
      </c>
      <c r="F40" s="15" t="s">
        <v>46</v>
      </c>
      <c r="G40" s="10" t="s">
        <v>53</v>
      </c>
      <c r="H40" s="17">
        <v>8.0</v>
      </c>
    </row>
    <row r="41" ht="15.75" customHeight="1">
      <c r="B41" s="10">
        <v>33.0</v>
      </c>
      <c r="C41" s="11" t="s">
        <v>58</v>
      </c>
      <c r="D41" s="15" t="s">
        <v>41</v>
      </c>
      <c r="E41" s="18" t="s">
        <v>59</v>
      </c>
      <c r="F41" s="15" t="s">
        <v>47</v>
      </c>
      <c r="G41" s="10" t="s">
        <v>53</v>
      </c>
      <c r="H41" s="17">
        <v>8.0</v>
      </c>
    </row>
    <row r="42" ht="15.75" customHeight="1">
      <c r="B42" s="10">
        <v>34.0</v>
      </c>
      <c r="C42" s="11" t="s">
        <v>58</v>
      </c>
      <c r="D42" s="15" t="s">
        <v>41</v>
      </c>
      <c r="E42" s="18" t="s">
        <v>59</v>
      </c>
      <c r="F42" s="15" t="s">
        <v>48</v>
      </c>
      <c r="G42" s="10" t="s">
        <v>53</v>
      </c>
      <c r="H42" s="17">
        <v>8.0</v>
      </c>
    </row>
    <row r="43" ht="15.75" customHeight="1">
      <c r="B43" s="10">
        <v>35.0</v>
      </c>
      <c r="C43" s="11" t="s">
        <v>58</v>
      </c>
      <c r="D43" s="15" t="s">
        <v>41</v>
      </c>
      <c r="E43" s="18" t="s">
        <v>59</v>
      </c>
      <c r="F43" s="15" t="s">
        <v>49</v>
      </c>
      <c r="G43" s="10" t="s">
        <v>53</v>
      </c>
      <c r="H43" s="17">
        <v>8.0</v>
      </c>
    </row>
    <row r="44" ht="15.75" customHeight="1">
      <c r="B44" s="10">
        <v>36.0</v>
      </c>
      <c r="C44" s="11" t="s">
        <v>60</v>
      </c>
      <c r="D44" s="15" t="s">
        <v>61</v>
      </c>
      <c r="E44" s="15" t="s">
        <v>62</v>
      </c>
      <c r="F44" s="15"/>
      <c r="G44" s="10" t="s">
        <v>63</v>
      </c>
      <c r="H44" s="17">
        <v>9.0</v>
      </c>
    </row>
    <row r="45" ht="15.75" customHeight="1">
      <c r="B45" s="10">
        <v>37.0</v>
      </c>
      <c r="C45" s="11" t="s">
        <v>60</v>
      </c>
      <c r="D45" s="15" t="s">
        <v>64</v>
      </c>
      <c r="E45" s="15" t="s">
        <v>65</v>
      </c>
      <c r="F45" s="15" t="s">
        <v>66</v>
      </c>
      <c r="G45" s="10" t="s">
        <v>63</v>
      </c>
      <c r="H45" s="17">
        <v>9.0</v>
      </c>
    </row>
    <row r="46" ht="15.75" customHeight="1">
      <c r="B46" s="10">
        <v>38.0</v>
      </c>
      <c r="C46" s="11" t="s">
        <v>60</v>
      </c>
      <c r="D46" s="15" t="s">
        <v>64</v>
      </c>
      <c r="E46" s="15" t="s">
        <v>65</v>
      </c>
      <c r="F46" s="15" t="s">
        <v>67</v>
      </c>
      <c r="G46" s="10" t="s">
        <v>63</v>
      </c>
      <c r="H46" s="17">
        <v>9.0</v>
      </c>
    </row>
    <row r="47" ht="15.75" customHeight="1">
      <c r="B47" s="10">
        <v>39.0</v>
      </c>
      <c r="C47" s="11" t="s">
        <v>60</v>
      </c>
      <c r="D47" s="15" t="s">
        <v>64</v>
      </c>
      <c r="E47" s="15" t="s">
        <v>65</v>
      </c>
      <c r="F47" s="15" t="s">
        <v>68</v>
      </c>
      <c r="G47" s="10" t="s">
        <v>63</v>
      </c>
      <c r="H47" s="17">
        <v>10.0</v>
      </c>
    </row>
    <row r="48" ht="15.75" customHeight="1">
      <c r="B48" s="10">
        <v>40.0</v>
      </c>
      <c r="C48" s="11" t="s">
        <v>60</v>
      </c>
      <c r="D48" s="15" t="s">
        <v>64</v>
      </c>
      <c r="E48" s="15" t="s">
        <v>65</v>
      </c>
      <c r="F48" s="15" t="s">
        <v>69</v>
      </c>
      <c r="G48" s="10" t="s">
        <v>63</v>
      </c>
      <c r="H48" s="17">
        <v>10.0</v>
      </c>
    </row>
    <row r="49" ht="15.75" customHeight="1">
      <c r="B49" s="10">
        <v>41.0</v>
      </c>
      <c r="C49" s="11" t="s">
        <v>60</v>
      </c>
      <c r="D49" s="15" t="s">
        <v>64</v>
      </c>
      <c r="E49" s="15" t="s">
        <v>65</v>
      </c>
      <c r="F49" s="15" t="s">
        <v>34</v>
      </c>
      <c r="G49" s="10" t="s">
        <v>63</v>
      </c>
      <c r="H49" s="17">
        <v>10.0</v>
      </c>
    </row>
    <row r="50" ht="15.75" customHeight="1">
      <c r="B50" s="10">
        <v>42.0</v>
      </c>
      <c r="C50" s="11" t="s">
        <v>60</v>
      </c>
      <c r="D50" s="15" t="s">
        <v>64</v>
      </c>
      <c r="E50" s="15" t="s">
        <v>65</v>
      </c>
      <c r="F50" s="15" t="s">
        <v>37</v>
      </c>
      <c r="G50" s="10" t="s">
        <v>63</v>
      </c>
      <c r="H50" s="17">
        <v>10.0</v>
      </c>
    </row>
    <row r="51" ht="15.75" customHeight="1">
      <c r="B51" s="10">
        <v>43.0</v>
      </c>
      <c r="C51" s="11" t="s">
        <v>60</v>
      </c>
      <c r="D51" s="15" t="s">
        <v>64</v>
      </c>
      <c r="E51" s="15" t="s">
        <v>65</v>
      </c>
      <c r="F51" s="15" t="s">
        <v>38</v>
      </c>
      <c r="G51" s="10" t="s">
        <v>63</v>
      </c>
      <c r="H51" s="17">
        <v>10.0</v>
      </c>
    </row>
    <row r="52" ht="15.75" customHeight="1">
      <c r="B52" s="10">
        <v>44.0</v>
      </c>
      <c r="C52" s="11" t="s">
        <v>60</v>
      </c>
      <c r="D52" s="15" t="s">
        <v>64</v>
      </c>
      <c r="E52" s="15" t="s">
        <v>65</v>
      </c>
      <c r="F52" s="15" t="s">
        <v>39</v>
      </c>
      <c r="G52" s="10" t="s">
        <v>63</v>
      </c>
      <c r="H52" s="17">
        <v>10.0</v>
      </c>
    </row>
    <row r="53" ht="15.75" customHeight="1">
      <c r="B53" s="10">
        <v>45.0</v>
      </c>
      <c r="C53" s="11" t="s">
        <v>60</v>
      </c>
      <c r="D53" s="15" t="s">
        <v>64</v>
      </c>
      <c r="E53" s="15" t="s">
        <v>65</v>
      </c>
      <c r="F53" s="15" t="s">
        <v>70</v>
      </c>
      <c r="G53" s="10" t="s">
        <v>63</v>
      </c>
      <c r="H53" s="17">
        <v>10.0</v>
      </c>
    </row>
    <row r="54" ht="15.75" customHeight="1">
      <c r="B54" s="10">
        <v>46.0</v>
      </c>
      <c r="C54" s="11" t="s">
        <v>60</v>
      </c>
      <c r="D54" s="15" t="s">
        <v>64</v>
      </c>
      <c r="E54" s="15" t="s">
        <v>65</v>
      </c>
      <c r="F54" s="15" t="s">
        <v>71</v>
      </c>
      <c r="G54" s="10" t="s">
        <v>63</v>
      </c>
      <c r="H54" s="17">
        <v>11.0</v>
      </c>
    </row>
    <row r="55" ht="15.75" customHeight="1">
      <c r="B55" s="10">
        <v>47.0</v>
      </c>
      <c r="C55" s="11" t="s">
        <v>60</v>
      </c>
      <c r="D55" s="15" t="s">
        <v>64</v>
      </c>
      <c r="E55" s="15" t="s">
        <v>65</v>
      </c>
      <c r="F55" s="15" t="s">
        <v>72</v>
      </c>
      <c r="G55" s="10" t="s">
        <v>63</v>
      </c>
      <c r="H55" s="17">
        <v>11.0</v>
      </c>
    </row>
    <row r="56" ht="15.75" customHeight="1">
      <c r="B56" s="10">
        <v>48.0</v>
      </c>
      <c r="C56" s="11" t="s">
        <v>60</v>
      </c>
      <c r="D56" s="15" t="s">
        <v>64</v>
      </c>
      <c r="E56" s="15" t="s">
        <v>65</v>
      </c>
      <c r="F56" s="15" t="s">
        <v>73</v>
      </c>
      <c r="G56" s="10" t="s">
        <v>63</v>
      </c>
      <c r="H56" s="17">
        <v>11.0</v>
      </c>
    </row>
    <row r="57" ht="15.75" customHeight="1">
      <c r="B57" s="10">
        <v>49.0</v>
      </c>
      <c r="C57" s="11" t="s">
        <v>60</v>
      </c>
      <c r="D57" s="15" t="s">
        <v>64</v>
      </c>
      <c r="E57" s="15" t="s">
        <v>65</v>
      </c>
      <c r="F57" s="15" t="s">
        <v>74</v>
      </c>
      <c r="G57" s="10" t="s">
        <v>63</v>
      </c>
      <c r="H57" s="17">
        <v>11.0</v>
      </c>
    </row>
    <row r="58" ht="15.75" customHeight="1">
      <c r="B58" s="10">
        <v>50.0</v>
      </c>
      <c r="C58" s="11" t="s">
        <v>60</v>
      </c>
      <c r="D58" s="15" t="s">
        <v>64</v>
      </c>
      <c r="E58" s="15" t="s">
        <v>65</v>
      </c>
      <c r="F58" s="15" t="s">
        <v>75</v>
      </c>
      <c r="G58" s="10" t="s">
        <v>63</v>
      </c>
      <c r="H58" s="17">
        <v>11.0</v>
      </c>
    </row>
    <row r="59" ht="15.75" customHeight="1">
      <c r="B59" s="10">
        <v>51.0</v>
      </c>
      <c r="C59" s="11" t="s">
        <v>60</v>
      </c>
      <c r="D59" s="15" t="s">
        <v>64</v>
      </c>
      <c r="E59" s="15" t="s">
        <v>65</v>
      </c>
      <c r="F59" s="15" t="s">
        <v>76</v>
      </c>
      <c r="G59" s="10" t="s">
        <v>63</v>
      </c>
      <c r="H59" s="17">
        <v>11.0</v>
      </c>
    </row>
    <row r="60" ht="15.75" customHeight="1">
      <c r="C60" s="19"/>
      <c r="H60" s="5"/>
    </row>
    <row r="61" ht="15.75" customHeight="1">
      <c r="C61" s="19"/>
      <c r="H61" s="5"/>
    </row>
    <row r="62" ht="15.75" customHeight="1">
      <c r="C62" s="19"/>
      <c r="H62" s="5"/>
    </row>
    <row r="63" ht="15.75" customHeight="1">
      <c r="C63" s="19"/>
      <c r="H63" s="5"/>
    </row>
    <row r="64" ht="15.75" customHeight="1">
      <c r="C64" s="19"/>
      <c r="H64" s="5"/>
    </row>
    <row r="65" ht="15.75" customHeight="1">
      <c r="C65" s="19"/>
      <c r="H65" s="5"/>
    </row>
    <row r="66" ht="15.75" customHeight="1">
      <c r="C66" s="19"/>
      <c r="H66" s="5"/>
    </row>
    <row r="67" ht="15.75" customHeight="1">
      <c r="C67" s="19"/>
      <c r="H67" s="5"/>
    </row>
    <row r="68" ht="15.75" customHeight="1">
      <c r="C68" s="19"/>
      <c r="H68" s="5"/>
    </row>
    <row r="69" ht="15.75" customHeight="1">
      <c r="C69" s="19"/>
      <c r="H69" s="5"/>
    </row>
    <row r="70" ht="15.75" customHeight="1">
      <c r="C70" s="19"/>
      <c r="H70" s="5"/>
    </row>
    <row r="71" ht="15.75" customHeight="1">
      <c r="C71" s="19"/>
      <c r="H71" s="5"/>
    </row>
    <row r="72" ht="15.75" customHeight="1">
      <c r="C72" s="19"/>
      <c r="H72" s="5"/>
    </row>
    <row r="73" ht="15.75" customHeight="1">
      <c r="C73" s="19"/>
      <c r="H73" s="5"/>
    </row>
    <row r="74" ht="15.75" customHeight="1">
      <c r="C74" s="19"/>
      <c r="H74" s="5"/>
    </row>
    <row r="75" ht="15.75" customHeight="1">
      <c r="C75" s="19"/>
      <c r="H75" s="5"/>
    </row>
    <row r="76" ht="15.75" customHeight="1">
      <c r="C76" s="19"/>
      <c r="H76" s="5"/>
    </row>
    <row r="77" ht="15.75" customHeight="1">
      <c r="C77" s="19"/>
      <c r="H77" s="5"/>
    </row>
    <row r="78" ht="15.75" customHeight="1">
      <c r="C78" s="19"/>
      <c r="H78" s="5"/>
    </row>
    <row r="79" ht="15.75" customHeight="1">
      <c r="C79" s="19"/>
      <c r="H79" s="5"/>
    </row>
    <row r="80" ht="15.75" customHeight="1">
      <c r="C80" s="19"/>
      <c r="H80" s="5"/>
    </row>
    <row r="81" ht="15.75" customHeight="1">
      <c r="C81" s="19"/>
      <c r="H81" s="5"/>
    </row>
    <row r="82" ht="15.75" customHeight="1">
      <c r="C82" s="19"/>
      <c r="H82" s="5"/>
    </row>
    <row r="83" ht="15.75" customHeight="1">
      <c r="C83" s="19"/>
      <c r="H83" s="5"/>
    </row>
    <row r="84" ht="15.75" customHeight="1">
      <c r="C84" s="19"/>
      <c r="H84" s="5"/>
    </row>
    <row r="85" ht="15.75" customHeight="1">
      <c r="C85" s="19"/>
      <c r="H85" s="5"/>
    </row>
    <row r="86" ht="15.75" customHeight="1">
      <c r="C86" s="19"/>
      <c r="H86" s="5"/>
    </row>
    <row r="87" ht="15.75" customHeight="1">
      <c r="C87" s="19"/>
      <c r="H87" s="5"/>
    </row>
    <row r="88" ht="15.75" customHeight="1">
      <c r="C88" s="19"/>
      <c r="H88" s="5"/>
    </row>
    <row r="89" ht="15.75" customHeight="1">
      <c r="C89" s="19"/>
      <c r="H89" s="5"/>
    </row>
    <row r="90" ht="15.75" customHeight="1">
      <c r="C90" s="19"/>
      <c r="H90" s="5"/>
    </row>
    <row r="91" ht="15.75" customHeight="1">
      <c r="C91" s="19"/>
      <c r="H91" s="5"/>
    </row>
    <row r="92" ht="15.75" customHeight="1">
      <c r="C92" s="19"/>
      <c r="H92" s="5"/>
    </row>
    <row r="93" ht="15.75" customHeight="1">
      <c r="C93" s="19"/>
      <c r="H93" s="5"/>
    </row>
    <row r="94" ht="15.75" customHeight="1">
      <c r="C94" s="19"/>
      <c r="H94" s="5"/>
    </row>
    <row r="95" ht="15.75" customHeight="1">
      <c r="C95" s="19"/>
      <c r="H95" s="5"/>
    </row>
    <row r="96" ht="15.75" customHeight="1">
      <c r="C96" s="19"/>
      <c r="H96" s="5"/>
    </row>
    <row r="97" ht="15.75" customHeight="1">
      <c r="C97" s="19"/>
      <c r="H97" s="5"/>
    </row>
    <row r="98" ht="15.75" customHeight="1">
      <c r="C98" s="19"/>
      <c r="H98" s="5"/>
    </row>
    <row r="99" ht="15.75" customHeight="1">
      <c r="C99" s="19"/>
      <c r="H99" s="5"/>
    </row>
    <row r="100" ht="15.75" customHeight="1">
      <c r="C100" s="19"/>
      <c r="H100" s="5"/>
    </row>
    <row r="101" ht="15.75" customHeight="1">
      <c r="C101" s="19"/>
      <c r="H101" s="5"/>
    </row>
    <row r="102" ht="15.75" customHeight="1">
      <c r="C102" s="19"/>
      <c r="H102" s="5"/>
    </row>
    <row r="103" ht="15.75" customHeight="1">
      <c r="C103" s="19"/>
    </row>
    <row r="104" ht="15.75" customHeight="1">
      <c r="C104" s="19"/>
    </row>
    <row r="105" ht="15.75" customHeight="1">
      <c r="C105" s="19"/>
    </row>
    <row r="106" ht="15.75" customHeight="1">
      <c r="C106" s="19"/>
    </row>
    <row r="107" ht="15.75" customHeight="1">
      <c r="C107" s="19"/>
    </row>
    <row r="108" ht="15.75" customHeight="1">
      <c r="C108" s="19"/>
    </row>
    <row r="109" ht="15.75" customHeight="1">
      <c r="C109" s="19"/>
    </row>
    <row r="110" ht="15.75" customHeight="1">
      <c r="C110" s="19"/>
    </row>
    <row r="111" ht="15.75" customHeight="1">
      <c r="C111" s="19"/>
    </row>
    <row r="112" ht="15.75" customHeight="1">
      <c r="C112" s="19"/>
    </row>
    <row r="113" ht="15.75" customHeight="1">
      <c r="C113" s="19"/>
    </row>
    <row r="114" ht="15.75" customHeight="1">
      <c r="C114" s="19"/>
    </row>
    <row r="115" ht="15.75" customHeight="1">
      <c r="C115" s="19"/>
    </row>
    <row r="116" ht="15.75" customHeight="1">
      <c r="C116" s="19"/>
    </row>
    <row r="117" ht="15.75" customHeight="1">
      <c r="C117" s="19"/>
    </row>
    <row r="118" ht="15.75" customHeight="1">
      <c r="C118" s="19"/>
    </row>
    <row r="119" ht="15.75" customHeight="1">
      <c r="C119" s="19"/>
    </row>
    <row r="120" ht="15.75" customHeight="1">
      <c r="C120" s="19"/>
    </row>
    <row r="121" ht="15.75" customHeight="1">
      <c r="C121" s="19"/>
    </row>
    <row r="122" ht="15.75" customHeight="1">
      <c r="C122" s="19"/>
    </row>
    <row r="123" ht="15.75" customHeight="1">
      <c r="C123" s="19"/>
    </row>
    <row r="124" ht="15.75" customHeight="1">
      <c r="C124" s="19"/>
    </row>
    <row r="125" ht="15.75" customHeight="1">
      <c r="C125" s="19"/>
    </row>
    <row r="126" ht="15.75" customHeight="1">
      <c r="C126" s="19"/>
    </row>
    <row r="127" ht="15.75" customHeight="1">
      <c r="C127" s="19"/>
    </row>
    <row r="128" ht="15.75" customHeight="1">
      <c r="C128" s="19"/>
    </row>
    <row r="129" ht="15.75" customHeight="1">
      <c r="C129" s="19"/>
    </row>
    <row r="130" ht="15.75" customHeight="1">
      <c r="C130" s="19"/>
    </row>
    <row r="131" ht="15.75" customHeight="1">
      <c r="C131" s="19"/>
    </row>
    <row r="132" ht="15.75" customHeight="1">
      <c r="C132" s="19"/>
    </row>
    <row r="133" ht="15.75" customHeight="1">
      <c r="C133" s="19"/>
    </row>
    <row r="134" ht="15.75" customHeight="1">
      <c r="C134" s="19"/>
    </row>
    <row r="135" ht="15.75" customHeight="1">
      <c r="C135" s="19"/>
    </row>
    <row r="136" ht="15.75" customHeight="1">
      <c r="C136" s="19"/>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H9:H59">
      <formula1>"1,2,3,4,5,6,7,8,9,10,11,12"</formula1>
    </dataValidation>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60:H102">
      <formula1>"2,3,4,5,6,7,8,9,10,11"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20" t="s">
        <v>1</v>
      </c>
      <c r="C4" s="21" t="str">
        <f>'Diseño'!C4</f>
        <v>777 - Organización de Lenguajes y Compiladores 1</v>
      </c>
      <c r="D4" s="22"/>
      <c r="E4" s="22"/>
      <c r="F4" s="22"/>
      <c r="G4" s="23"/>
    </row>
    <row r="5" ht="15.75" customHeight="1">
      <c r="B5" s="24" t="s">
        <v>11</v>
      </c>
      <c r="C5" s="21">
        <v>1.0</v>
      </c>
      <c r="D5" s="22"/>
      <c r="E5" s="22"/>
      <c r="F5" s="22"/>
      <c r="G5" s="23"/>
    </row>
    <row r="6" ht="15.75" customHeight="1">
      <c r="B6" s="24" t="s">
        <v>77</v>
      </c>
      <c r="C6" s="21">
        <f>B15+B22+B29+B41+B47+C48</f>
        <v>94</v>
      </c>
      <c r="D6" s="22"/>
      <c r="E6" s="22"/>
      <c r="F6" s="22"/>
      <c r="G6" s="23"/>
    </row>
    <row r="7" ht="15.75" customHeight="1"/>
    <row r="8" ht="15.75" customHeight="1"/>
    <row r="9" ht="15.75" customHeight="1">
      <c r="A9" s="25" t="s">
        <v>78</v>
      </c>
      <c r="G9" s="26" t="s">
        <v>79</v>
      </c>
      <c r="H9" s="27">
        <f>B15</f>
        <v>9</v>
      </c>
    </row>
    <row r="10" ht="15.75" customHeight="1">
      <c r="G10" s="28" t="s">
        <v>80</v>
      </c>
    </row>
    <row r="11" ht="32.25" customHeight="1">
      <c r="A11" s="29" t="s">
        <v>81</v>
      </c>
      <c r="B11" s="30">
        <v>2.0</v>
      </c>
      <c r="C11" s="22"/>
      <c r="D11" s="22"/>
      <c r="E11" s="22"/>
      <c r="F11" s="22"/>
      <c r="G11" s="22"/>
      <c r="H11" s="23"/>
    </row>
    <row r="12" ht="42.0" customHeight="1">
      <c r="A12" s="29" t="s">
        <v>82</v>
      </c>
      <c r="B12" s="30">
        <v>2.0</v>
      </c>
      <c r="C12" s="22"/>
      <c r="D12" s="22"/>
      <c r="E12" s="22"/>
      <c r="F12" s="22"/>
      <c r="G12" s="22"/>
      <c r="H12" s="23"/>
      <c r="K12" s="31" t="s">
        <v>83</v>
      </c>
    </row>
    <row r="13" ht="63.0" customHeight="1">
      <c r="A13" s="32" t="s">
        <v>84</v>
      </c>
      <c r="B13" s="33">
        <v>2.0</v>
      </c>
      <c r="C13" s="22"/>
      <c r="D13" s="22"/>
      <c r="E13" s="22"/>
      <c r="F13" s="22"/>
      <c r="G13" s="22"/>
      <c r="H13" s="23"/>
    </row>
    <row r="14" ht="37.5" customHeight="1">
      <c r="A14" s="32" t="s">
        <v>85</v>
      </c>
      <c r="B14" s="33">
        <v>3.0</v>
      </c>
      <c r="C14" s="22"/>
      <c r="D14" s="22"/>
      <c r="E14" s="22"/>
      <c r="F14" s="22"/>
      <c r="G14" s="22"/>
      <c r="H14" s="23"/>
    </row>
    <row r="15" ht="21.75" customHeight="1">
      <c r="A15" s="34" t="s">
        <v>86</v>
      </c>
      <c r="B15" s="33">
        <v>9.0</v>
      </c>
      <c r="C15" s="22"/>
      <c r="D15" s="22"/>
      <c r="E15" s="22"/>
      <c r="F15" s="22"/>
      <c r="G15" s="22"/>
      <c r="H15" s="23"/>
    </row>
    <row r="16" ht="15.75" customHeight="1"/>
    <row r="17" ht="15.75" customHeight="1"/>
    <row r="18" ht="15.75" customHeight="1">
      <c r="A18" s="35" t="s">
        <v>87</v>
      </c>
      <c r="G18" s="26" t="s">
        <v>79</v>
      </c>
      <c r="H18" s="27">
        <f>B22</f>
        <v>30</v>
      </c>
    </row>
    <row r="19" ht="15.75" customHeight="1">
      <c r="G19" s="28" t="s">
        <v>88</v>
      </c>
    </row>
    <row r="20" ht="189.75" customHeight="1">
      <c r="A20" s="29" t="s">
        <v>89</v>
      </c>
      <c r="B20" s="30" t="s">
        <v>90</v>
      </c>
      <c r="C20" s="22"/>
      <c r="D20" s="22"/>
      <c r="E20" s="22"/>
      <c r="F20" s="22"/>
      <c r="G20" s="22"/>
      <c r="H20" s="23"/>
      <c r="K20" s="36" t="s">
        <v>91</v>
      </c>
    </row>
    <row r="21" ht="30.0" customHeight="1">
      <c r="A21" s="29" t="s">
        <v>92</v>
      </c>
      <c r="B21" s="30" t="s">
        <v>93</v>
      </c>
      <c r="C21" s="22"/>
      <c r="D21" s="22"/>
      <c r="E21" s="22"/>
      <c r="F21" s="22"/>
      <c r="G21" s="22"/>
      <c r="H21" s="23"/>
    </row>
    <row r="22" ht="15.75" customHeight="1">
      <c r="A22" s="34" t="s">
        <v>86</v>
      </c>
      <c r="B22" s="33">
        <v>30.0</v>
      </c>
      <c r="C22" s="22"/>
      <c r="D22" s="22"/>
      <c r="E22" s="22"/>
      <c r="F22" s="22"/>
      <c r="G22" s="22"/>
      <c r="H22" s="23"/>
    </row>
    <row r="23" ht="15.75" customHeight="1"/>
    <row r="24" ht="15.75" customHeight="1"/>
    <row r="25" ht="15.75" customHeight="1">
      <c r="A25" s="35" t="s">
        <v>94</v>
      </c>
      <c r="G25" s="37" t="s">
        <v>79</v>
      </c>
      <c r="H25" s="27">
        <f>B29</f>
        <v>10</v>
      </c>
    </row>
    <row r="26" ht="15.75" customHeight="1">
      <c r="G26" s="28" t="s">
        <v>95</v>
      </c>
      <c r="H26" s="28"/>
      <c r="I26" s="28"/>
      <c r="J26" s="28"/>
      <c r="K26" s="38" t="s">
        <v>96</v>
      </c>
    </row>
    <row r="27" ht="69.0" customHeight="1">
      <c r="A27" s="29" t="s">
        <v>97</v>
      </c>
      <c r="B27" s="39" t="s">
        <v>98</v>
      </c>
      <c r="C27" s="22"/>
      <c r="D27" s="22"/>
      <c r="E27" s="22"/>
      <c r="F27" s="22"/>
      <c r="G27" s="22"/>
      <c r="H27" s="23"/>
    </row>
    <row r="28" ht="69.75" customHeight="1">
      <c r="A28" s="29" t="s">
        <v>99</v>
      </c>
      <c r="B28" s="30" t="s">
        <v>100</v>
      </c>
      <c r="C28" s="22"/>
      <c r="D28" s="22"/>
      <c r="E28" s="22"/>
      <c r="F28" s="22"/>
      <c r="G28" s="22"/>
      <c r="H28" s="23"/>
    </row>
    <row r="29" ht="15.75" customHeight="1">
      <c r="A29" s="34" t="s">
        <v>86</v>
      </c>
      <c r="B29" s="33">
        <v>10.0</v>
      </c>
      <c r="C29" s="22"/>
      <c r="D29" s="22"/>
      <c r="E29" s="22"/>
      <c r="F29" s="22"/>
      <c r="G29" s="22"/>
      <c r="H29" s="23"/>
    </row>
    <row r="30" ht="15.75" customHeight="1"/>
    <row r="31" ht="15.75" customHeight="1"/>
    <row r="32" ht="15.75" customHeight="1">
      <c r="A32" s="35" t="s">
        <v>101</v>
      </c>
      <c r="G32" s="37" t="s">
        <v>79</v>
      </c>
      <c r="H32" s="27">
        <f>B36</f>
        <v>5</v>
      </c>
    </row>
    <row r="33" ht="15.75" customHeight="1">
      <c r="A33" s="6" t="s">
        <v>102</v>
      </c>
      <c r="G33" s="6" t="s">
        <v>103</v>
      </c>
      <c r="H33" s="40"/>
      <c r="I33" s="40"/>
    </row>
    <row r="34" ht="42.75" customHeight="1">
      <c r="A34" s="29" t="s">
        <v>104</v>
      </c>
      <c r="B34" s="41" t="s">
        <v>105</v>
      </c>
      <c r="C34" s="22"/>
      <c r="D34" s="22"/>
      <c r="E34" s="22"/>
      <c r="F34" s="22"/>
      <c r="G34" s="22"/>
      <c r="H34" s="23"/>
      <c r="K34" s="42" t="s">
        <v>106</v>
      </c>
    </row>
    <row r="35" ht="42.75" customHeight="1">
      <c r="A35" s="29" t="s">
        <v>107</v>
      </c>
      <c r="B35" s="30" t="s">
        <v>108</v>
      </c>
      <c r="C35" s="22"/>
      <c r="D35" s="22"/>
      <c r="E35" s="22"/>
      <c r="F35" s="22"/>
      <c r="G35" s="22"/>
      <c r="H35" s="23"/>
    </row>
    <row r="36" ht="42.75" customHeight="1">
      <c r="A36" s="34" t="s">
        <v>86</v>
      </c>
      <c r="B36" s="33">
        <v>5.0</v>
      </c>
      <c r="C36" s="22"/>
      <c r="D36" s="22"/>
      <c r="E36" s="22"/>
      <c r="F36" s="22"/>
      <c r="G36" s="22"/>
      <c r="H36" s="23"/>
    </row>
    <row r="37" ht="15.75" customHeight="1"/>
    <row r="38" ht="15.75" customHeight="1"/>
    <row r="39" ht="15.75" customHeight="1">
      <c r="A39" s="35" t="s">
        <v>109</v>
      </c>
      <c r="G39" s="37" t="s">
        <v>79</v>
      </c>
      <c r="H39" s="27">
        <f>B41</f>
        <v>30</v>
      </c>
    </row>
    <row r="40" ht="15.75" customHeight="1">
      <c r="G40" s="28" t="s">
        <v>110</v>
      </c>
    </row>
    <row r="41" ht="15.75" customHeight="1">
      <c r="A41" s="34" t="s">
        <v>86</v>
      </c>
      <c r="B41" s="33">
        <v>30.0</v>
      </c>
      <c r="C41" s="22"/>
      <c r="D41" s="22"/>
      <c r="E41" s="22"/>
      <c r="F41" s="22"/>
      <c r="G41" s="22"/>
      <c r="H41" s="23"/>
    </row>
    <row r="42" ht="15.75" customHeight="1"/>
    <row r="43" ht="15.75" customHeight="1"/>
    <row r="44" ht="15.75" customHeight="1">
      <c r="A44" s="35" t="s">
        <v>111</v>
      </c>
      <c r="G44" s="37" t="s">
        <v>79</v>
      </c>
      <c r="H44" s="27">
        <f>B47</f>
        <v>15</v>
      </c>
    </row>
    <row r="45" ht="15.75" customHeight="1">
      <c r="G45" s="28" t="s">
        <v>80</v>
      </c>
    </row>
    <row r="46" ht="249.0" customHeight="1">
      <c r="A46" s="29" t="s">
        <v>112</v>
      </c>
      <c r="B46" s="30" t="s">
        <v>113</v>
      </c>
      <c r="C46" s="22"/>
      <c r="D46" s="22"/>
      <c r="E46" s="22"/>
      <c r="F46" s="22"/>
      <c r="G46" s="22"/>
      <c r="H46" s="23"/>
    </row>
    <row r="47" ht="15.75" customHeight="1">
      <c r="A47" s="34" t="s">
        <v>86</v>
      </c>
      <c r="B47" s="33">
        <v>15.0</v>
      </c>
      <c r="C47" s="22"/>
      <c r="D47" s="22"/>
      <c r="E47" s="22"/>
      <c r="F47" s="22"/>
      <c r="G47" s="22"/>
      <c r="H47" s="2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G19:I19"/>
    <mergeCell ref="K20:M22"/>
    <mergeCell ref="K26:M30"/>
    <mergeCell ref="B12:H12"/>
    <mergeCell ref="K12:M13"/>
    <mergeCell ref="B13:H13"/>
    <mergeCell ref="B14:H14"/>
    <mergeCell ref="B15:H15"/>
    <mergeCell ref="A18:F18"/>
    <mergeCell ref="B20:H20"/>
    <mergeCell ref="B21:H21"/>
    <mergeCell ref="B22:H22"/>
    <mergeCell ref="A25:F25"/>
    <mergeCell ref="B27:H27"/>
    <mergeCell ref="B28:H28"/>
    <mergeCell ref="B29:H29"/>
    <mergeCell ref="A32:F32"/>
    <mergeCell ref="B41:H41"/>
    <mergeCell ref="A44:F44"/>
    <mergeCell ref="G45:I45"/>
    <mergeCell ref="B46:H46"/>
    <mergeCell ref="B47:H47"/>
    <mergeCell ref="A33:F33"/>
    <mergeCell ref="B34:H34"/>
    <mergeCell ref="K34:M37"/>
    <mergeCell ref="B35:H35"/>
    <mergeCell ref="B36:H36"/>
    <mergeCell ref="A39:F39"/>
    <mergeCell ref="G40:I40"/>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2.0</v>
      </c>
      <c r="D5" s="22"/>
      <c r="E5" s="22"/>
      <c r="F5" s="22"/>
      <c r="G5" s="23"/>
    </row>
    <row r="6" ht="15.75" customHeight="1">
      <c r="B6" s="44" t="s">
        <v>77</v>
      </c>
      <c r="C6" s="21">
        <f>H10+H21+H44+H68</f>
        <v>104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5" t="s">
        <v>117</v>
      </c>
      <c r="G10" s="37" t="s">
        <v>79</v>
      </c>
      <c r="H10" s="46">
        <f>B13</f>
        <v>1</v>
      </c>
    </row>
    <row r="11" ht="15.75" customHeight="1">
      <c r="G11" s="28" t="s">
        <v>118</v>
      </c>
    </row>
    <row r="12" ht="15.75" customHeight="1">
      <c r="A12" s="32" t="s">
        <v>119</v>
      </c>
      <c r="B12" s="33" t="s">
        <v>120</v>
      </c>
      <c r="C12" s="22"/>
      <c r="D12" s="22"/>
      <c r="E12" s="22"/>
      <c r="F12" s="22"/>
      <c r="G12" s="22"/>
      <c r="H12" s="23"/>
    </row>
    <row r="13" ht="15.75" customHeight="1">
      <c r="A13" s="34" t="s">
        <v>79</v>
      </c>
      <c r="B13" s="33">
        <v>1.0</v>
      </c>
      <c r="C13" s="22"/>
      <c r="D13" s="22"/>
      <c r="E13" s="22"/>
      <c r="F13" s="22"/>
      <c r="G13" s="22"/>
      <c r="H13" s="23"/>
    </row>
    <row r="14" ht="15.75" customHeight="1">
      <c r="A14" s="47" t="s">
        <v>121</v>
      </c>
      <c r="B14" s="22"/>
      <c r="C14" s="22"/>
      <c r="D14" s="22"/>
      <c r="E14" s="22"/>
      <c r="F14" s="22"/>
      <c r="G14" s="22"/>
      <c r="H14" s="23"/>
    </row>
    <row r="15" ht="15.75" customHeight="1">
      <c r="A15" s="48" t="s">
        <v>122</v>
      </c>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122</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58</v>
      </c>
      <c r="I21" s="5"/>
    </row>
    <row r="22" ht="15.75" customHeight="1">
      <c r="G22" s="28" t="s">
        <v>125</v>
      </c>
    </row>
    <row r="23" ht="15.75" customHeight="1">
      <c r="A23" s="32" t="s">
        <v>126</v>
      </c>
      <c r="B23" s="33" t="s">
        <v>12</v>
      </c>
      <c r="C23" s="22"/>
      <c r="D23" s="22"/>
      <c r="E23" s="22"/>
      <c r="F23" s="22"/>
      <c r="G23" s="22"/>
      <c r="H23" s="23"/>
    </row>
    <row r="24" ht="15.75" customHeight="1">
      <c r="A24" s="32" t="s">
        <v>126</v>
      </c>
      <c r="B24" s="33" t="s">
        <v>127</v>
      </c>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IFERROR(__xludf.DUMMYFUNCTION("FILTER('Diseño'!D:D,'Diseño'!H:H=$C$5)"),"Introduccion")</f>
        <v>Introduccion</v>
      </c>
      <c r="C28" s="23"/>
      <c r="D28" s="21" t="str">
        <f>IFERROR(__xludf.DUMMYFUNCTION("FILTER('Diseño'!E:E,'Diseño'!H:H=$C$5)"),"Introducción a la compilación")</f>
        <v>Introducción a la compilación</v>
      </c>
      <c r="E28" s="23"/>
      <c r="F28" s="21" t="str">
        <f>IFERROR(__xludf.DUMMYFUNCTION("FILTER('Diseño'!F:F,'Diseño'!H:H=$C$5)"),"Conceptos generales de compiladores")</f>
        <v>Conceptos generales de compiladores</v>
      </c>
      <c r="G28" s="22"/>
      <c r="H28" s="23"/>
    </row>
    <row r="29" ht="15.75" customHeight="1">
      <c r="A29" s="24">
        <v>2.0</v>
      </c>
      <c r="B29" s="21" t="str">
        <f>IFERROR(__xludf.DUMMYFUNCTION("""COMPUTED_VALUE"""),"Introduccion")</f>
        <v>Introduccion</v>
      </c>
      <c r="C29" s="23"/>
      <c r="D29" s="21" t="str">
        <f>IFERROR(__xludf.DUMMYFUNCTION("""COMPUTED_VALUE"""),"Introducción a la compilación")</f>
        <v>Introducción a la compilación</v>
      </c>
      <c r="E29" s="23"/>
      <c r="F29" s="21" t="str">
        <f>IFERROR(__xludf.DUMMYFUNCTION("""COMPUTED_VALUE"""),"Tipos de compiladores")</f>
        <v>Tipos de compiladores</v>
      </c>
      <c r="G29" s="22"/>
      <c r="H29" s="23"/>
    </row>
    <row r="30" ht="15.75" customHeight="1">
      <c r="A30" s="24">
        <v>3.0</v>
      </c>
      <c r="B30" s="21" t="str">
        <f>IFERROR(__xludf.DUMMYFUNCTION("""COMPUTED_VALUE"""),"Introduccion")</f>
        <v>Introduccion</v>
      </c>
      <c r="C30" s="23"/>
      <c r="D30" s="21" t="str">
        <f>IFERROR(__xludf.DUMMYFUNCTION("""COMPUTED_VALUE"""),"Introducción a la compilación")</f>
        <v>Introducción a la compilación</v>
      </c>
      <c r="E30" s="23"/>
      <c r="F30" s="21" t="str">
        <f>IFERROR(__xludf.DUMMYFUNCTION("""COMPUTED_VALUE"""),"Fases de Análisis")</f>
        <v>Fases de Análisis</v>
      </c>
      <c r="G30" s="22"/>
      <c r="H30" s="23"/>
    </row>
    <row r="31" ht="15.75" customHeight="1">
      <c r="A31" s="24">
        <v>4.0</v>
      </c>
      <c r="B31" s="21" t="str">
        <f>IFERROR(__xludf.DUMMYFUNCTION("""COMPUTED_VALUE"""),"Introduccion")</f>
        <v>Introduccion</v>
      </c>
      <c r="C31" s="23"/>
      <c r="D31" s="21" t="str">
        <f>IFERROR(__xludf.DUMMYFUNCTION("""COMPUTED_VALUE"""),"Introducción a la compilación")</f>
        <v>Introducción a la compilación</v>
      </c>
      <c r="E31" s="23"/>
      <c r="F31" s="21" t="str">
        <f>IFERROR(__xludf.DUMMYFUNCTION("""COMPUTED_VALUE"""),"Fases de Síntesis")</f>
        <v>Fases de Síntesis</v>
      </c>
      <c r="G31" s="22"/>
      <c r="H31" s="23"/>
    </row>
    <row r="32" ht="15.75" customHeight="1">
      <c r="A32" s="24">
        <v>5.0</v>
      </c>
      <c r="B32" s="21" t="str">
        <f>IFERROR(__xludf.DUMMYFUNCTION("""COMPUTED_VALUE"""),"Fase de Sintesis en Compiladores")</f>
        <v>Fase de Sintesis en Compiladores</v>
      </c>
      <c r="C32" s="23"/>
      <c r="D32" s="21" t="str">
        <f>IFERROR(__xludf.DUMMYFUNCTION("""COMPUTED_VALUE"""),"Análisis Léxico")</f>
        <v>Análisis Léxico</v>
      </c>
      <c r="E32" s="23"/>
      <c r="F32" s="21" t="str">
        <f>IFERROR(__xludf.DUMMYFUNCTION("""COMPUTED_VALUE"""),"Definición de análisis léxico")</f>
        <v>Definición de análisis léxico</v>
      </c>
      <c r="G32" s="22"/>
      <c r="H32" s="23"/>
    </row>
    <row r="33" ht="15.75" customHeight="1">
      <c r="A33" s="24">
        <v>6.0</v>
      </c>
      <c r="B33" s="21" t="str">
        <f>IFERROR(__xludf.DUMMYFUNCTION("""COMPUTED_VALUE"""),"Fase de Sintesis en Compiladores")</f>
        <v>Fase de Sintesis en Compiladores</v>
      </c>
      <c r="C33" s="23"/>
      <c r="D33" s="21" t="str">
        <f>IFERROR(__xludf.DUMMYFUNCTION("""COMPUTED_VALUE"""),"Análisis Léxico")</f>
        <v>Análisis Léxico</v>
      </c>
      <c r="E33" s="23"/>
      <c r="F33" s="21" t="str">
        <f>IFERROR(__xludf.DUMMYFUNCTION("""COMPUTED_VALUE"""),"Componentes del análisis léxico")</f>
        <v>Componentes del análisis léxico</v>
      </c>
      <c r="G33" s="22"/>
      <c r="H33" s="23"/>
    </row>
    <row r="34" ht="15.75" customHeight="1">
      <c r="A34" s="24">
        <v>7.0</v>
      </c>
      <c r="B34" s="21" t="str">
        <f>IFERROR(__xludf.DUMMYFUNCTION("""COMPUTED_VALUE"""),"Fase de Sintesis en Compiladores")</f>
        <v>Fase de Sintesis en Compiladores</v>
      </c>
      <c r="C34" s="23"/>
      <c r="D34" s="21" t="str">
        <f>IFERROR(__xludf.DUMMYFUNCTION("""COMPUTED_VALUE"""),"Análisis Léxico")</f>
        <v>Análisis Léxico</v>
      </c>
      <c r="E34" s="23"/>
      <c r="F34" s="21" t="str">
        <f>IFERROR(__xludf.DUMMYFUNCTION("""COMPUTED_VALUE"""),"Método de Thompson")</f>
        <v>Método de Thompson</v>
      </c>
      <c r="G34" s="22"/>
      <c r="H34" s="23"/>
    </row>
    <row r="35" ht="15.75" customHeight="1">
      <c r="B35" s="57" t="str">
        <f>IFERROR(__xludf.DUMMYFUNCTION("""COMPUTED_VALUE"""),"Fase de Sintesis en Compiladores")</f>
        <v>Fase de Sintesis en Compiladores</v>
      </c>
      <c r="D35" s="57" t="str">
        <f>IFERROR(__xludf.DUMMYFUNCTION("""COMPUTED_VALUE"""),"Análisis Léxico")</f>
        <v>Análisis Léxico</v>
      </c>
      <c r="F35" s="57" t="str">
        <f>IFERROR(__xludf.DUMMYFUNCTION("""COMPUTED_VALUE"""),"Método del Árbol")</f>
        <v>Método del Árbol</v>
      </c>
    </row>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12" t="s">
        <v>138</v>
      </c>
      <c r="D39" s="60">
        <v>17.0</v>
      </c>
      <c r="E39" s="22"/>
      <c r="F39" s="22"/>
      <c r="G39" s="22"/>
      <c r="H39" s="23"/>
    </row>
    <row r="40" ht="15.75" customHeight="1">
      <c r="A40" s="24" t="s">
        <v>139</v>
      </c>
      <c r="B40" s="24" t="s">
        <v>137</v>
      </c>
      <c r="C40" s="12" t="s">
        <v>140</v>
      </c>
      <c r="D40" s="60">
        <v>6.0</v>
      </c>
      <c r="E40" s="22"/>
      <c r="F40" s="22"/>
      <c r="G40" s="22"/>
      <c r="H40" s="23"/>
    </row>
    <row r="41" ht="15.75" customHeight="1">
      <c r="A41" s="24" t="s">
        <v>141</v>
      </c>
      <c r="B41" s="24" t="s">
        <v>142</v>
      </c>
      <c r="C41" s="61" t="s">
        <v>143</v>
      </c>
      <c r="D41" s="62">
        <v>20.0</v>
      </c>
      <c r="E41" s="22"/>
      <c r="F41" s="22"/>
      <c r="G41" s="22"/>
      <c r="H41" s="23"/>
    </row>
    <row r="42" ht="15.75" customHeight="1">
      <c r="A42" s="24" t="s">
        <v>144</v>
      </c>
      <c r="B42" s="24" t="s">
        <v>137</v>
      </c>
      <c r="C42" s="63" t="s">
        <v>138</v>
      </c>
      <c r="D42" s="33">
        <v>15.0</v>
      </c>
      <c r="E42" s="22"/>
      <c r="F42" s="22"/>
      <c r="G42" s="22"/>
      <c r="H42" s="23"/>
    </row>
    <row r="43" ht="15.75" customHeight="1"/>
    <row r="44" ht="15.75" customHeight="1">
      <c r="A44" s="45" t="s">
        <v>145</v>
      </c>
      <c r="G44" s="37" t="s">
        <v>79</v>
      </c>
      <c r="H44" s="46">
        <f>B50+B61</f>
        <v>30</v>
      </c>
    </row>
    <row r="45" ht="15.75" customHeight="1">
      <c r="G45" s="28" t="s">
        <v>146</v>
      </c>
    </row>
    <row r="46" ht="15.75" customHeight="1">
      <c r="A46" s="28" t="s">
        <v>147</v>
      </c>
    </row>
    <row r="47" ht="44.25" customHeight="1">
      <c r="A47" s="32" t="s">
        <v>148</v>
      </c>
      <c r="B47" s="33" t="s">
        <v>12</v>
      </c>
      <c r="C47" s="22"/>
      <c r="D47" s="22"/>
      <c r="E47" s="22"/>
      <c r="F47" s="22"/>
      <c r="G47" s="22"/>
      <c r="H47" s="23"/>
    </row>
    <row r="48" ht="15.75" customHeight="1">
      <c r="A48" s="32" t="s">
        <v>149</v>
      </c>
      <c r="B48" s="33" t="s">
        <v>150</v>
      </c>
      <c r="C48" s="22"/>
      <c r="D48" s="22"/>
      <c r="E48" s="22"/>
      <c r="F48" s="22"/>
      <c r="G48" s="22"/>
      <c r="H48" s="23"/>
    </row>
    <row r="49" ht="15.75" customHeight="1">
      <c r="A49" s="32" t="s">
        <v>115</v>
      </c>
      <c r="B49" s="64">
        <v>0.0</v>
      </c>
      <c r="C49" s="22"/>
      <c r="D49" s="22"/>
      <c r="E49" s="22"/>
      <c r="F49" s="22"/>
      <c r="G49" s="22"/>
      <c r="H49" s="23"/>
    </row>
    <row r="50" ht="15.75" customHeight="1">
      <c r="A50" s="32" t="s">
        <v>79</v>
      </c>
      <c r="B50" s="33">
        <v>30.0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153</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46">
        <f>B70</f>
        <v>15</v>
      </c>
    </row>
    <row r="69" ht="15.75" customHeight="1">
      <c r="G69" s="28" t="s">
        <v>157</v>
      </c>
    </row>
    <row r="70" ht="15.75" customHeight="1">
      <c r="A70" s="32" t="s">
        <v>79</v>
      </c>
      <c r="B70" s="69">
        <v>15.0</v>
      </c>
      <c r="C70" s="22"/>
      <c r="D70" s="22"/>
      <c r="E70" s="22"/>
      <c r="F70" s="22"/>
      <c r="G70" s="22"/>
      <c r="H70" s="23"/>
    </row>
    <row r="71" ht="15.75" customHeight="1">
      <c r="A71" s="59" t="s">
        <v>158</v>
      </c>
      <c r="B71" s="22"/>
      <c r="C71" s="22"/>
      <c r="D71" s="22"/>
      <c r="E71" s="22"/>
      <c r="F71" s="22"/>
      <c r="G71" s="22"/>
      <c r="H71" s="23"/>
    </row>
    <row r="72" ht="15.75" customHeight="1">
      <c r="A72" s="48" t="s">
        <v>159</v>
      </c>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3.0</v>
      </c>
      <c r="D5" s="22"/>
      <c r="E5" s="22"/>
      <c r="F5" s="22"/>
      <c r="G5" s="23"/>
    </row>
    <row r="6" ht="15.75" customHeight="1">
      <c r="B6" s="44" t="s">
        <v>77</v>
      </c>
      <c r="C6" s="21">
        <f>H10+H21+H44+H68</f>
        <v>104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5" t="s">
        <v>117</v>
      </c>
      <c r="G10" s="37" t="s">
        <v>79</v>
      </c>
      <c r="H10" s="46">
        <f>B13</f>
        <v>1</v>
      </c>
    </row>
    <row r="11" ht="15.75" customHeight="1">
      <c r="G11" s="28" t="s">
        <v>118</v>
      </c>
    </row>
    <row r="12" ht="15.75" customHeight="1">
      <c r="A12" s="32" t="s">
        <v>119</v>
      </c>
      <c r="B12" s="33" t="s">
        <v>161</v>
      </c>
      <c r="C12" s="22"/>
      <c r="D12" s="22"/>
      <c r="E12" s="22"/>
      <c r="F12" s="22"/>
      <c r="G12" s="22"/>
      <c r="H12" s="23"/>
    </row>
    <row r="13" ht="15.75" customHeight="1">
      <c r="A13" s="34" t="s">
        <v>79</v>
      </c>
      <c r="B13" s="33">
        <v>1.0</v>
      </c>
      <c r="C13" s="22"/>
      <c r="D13" s="22"/>
      <c r="E13" s="22"/>
      <c r="F13" s="22"/>
      <c r="G13" s="22"/>
      <c r="H13" s="23"/>
    </row>
    <row r="14" ht="15.75" customHeight="1">
      <c r="A14" s="47" t="s">
        <v>121</v>
      </c>
      <c r="B14" s="22"/>
      <c r="C14" s="22"/>
      <c r="D14" s="22"/>
      <c r="E14" s="22"/>
      <c r="F14" s="22"/>
      <c r="G14" s="22"/>
      <c r="H14" s="23"/>
    </row>
    <row r="15" ht="15.75" customHeight="1">
      <c r="A15" s="48" t="s">
        <v>162</v>
      </c>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163</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58</v>
      </c>
      <c r="I21" s="5"/>
    </row>
    <row r="22" ht="15.75" customHeight="1">
      <c r="G22" s="28" t="s">
        <v>125</v>
      </c>
    </row>
    <row r="23" ht="15.75" customHeight="1">
      <c r="A23" s="32" t="s">
        <v>126</v>
      </c>
      <c r="B23" s="33" t="s">
        <v>12</v>
      </c>
      <c r="C23" s="22"/>
      <c r="D23" s="22"/>
      <c r="E23" s="22"/>
      <c r="F23" s="22"/>
      <c r="G23" s="22"/>
      <c r="H23" s="23"/>
    </row>
    <row r="24" ht="15.75" customHeight="1">
      <c r="A24" s="32" t="s">
        <v>126</v>
      </c>
      <c r="B24" s="33" t="s">
        <v>25</v>
      </c>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IFERROR(__xludf.DUMMYFUNCTION("FILTER('Diseño'!D:D,'Diseño'!H:H=$C$5)"),"Fase de Sintesis en Compiladores")</f>
        <v>Fase de Sintesis en Compiladores</v>
      </c>
      <c r="C28" s="23"/>
      <c r="D28" s="21" t="str">
        <f>IFERROR(__xludf.DUMMYFUNCTION("FILTER('Diseño'!E:E,'Diseño'!H:H=$C$5)"),"Análisis Sintactico")</f>
        <v>Análisis Sintactico</v>
      </c>
      <c r="E28" s="23"/>
      <c r="F28" s="21" t="str">
        <f>IFERROR(__xludf.DUMMYFUNCTION("FILTER('Diseño'!F:F,'Diseño'!H:H=$C$5)"),"Definición de análisis sintáctico")</f>
        <v>Definición de análisis sintáctico</v>
      </c>
      <c r="G28" s="22"/>
      <c r="H28" s="23"/>
    </row>
    <row r="29" ht="15.75" customHeight="1">
      <c r="A29" s="24">
        <v>2.0</v>
      </c>
      <c r="B29" s="21" t="str">
        <f>IFERROR(__xludf.DUMMYFUNCTION("""COMPUTED_VALUE"""),"Fase de Sintesis en Compiladores")</f>
        <v>Fase de Sintesis en Compiladores</v>
      </c>
      <c r="C29" s="23"/>
      <c r="D29" s="21" t="str">
        <f>IFERROR(__xludf.DUMMYFUNCTION("""COMPUTED_VALUE"""),"Análisis Sintactico")</f>
        <v>Análisis Sintactico</v>
      </c>
      <c r="E29" s="23"/>
      <c r="F29" s="21" t="str">
        <f>IFERROR(__xludf.DUMMYFUNCTION("""COMPUTED_VALUE"""),"Introducción a grámaticas libres del contexto")</f>
        <v>Introducción a grámaticas libres del contexto</v>
      </c>
      <c r="G29" s="22"/>
      <c r="H29" s="23"/>
    </row>
    <row r="30" ht="15.75" customHeight="1">
      <c r="A30" s="24">
        <v>3.0</v>
      </c>
      <c r="B30" s="21" t="str">
        <f>IFERROR(__xludf.DUMMYFUNCTION("""COMPUTED_VALUE"""),"Fase de Sintesis en Compiladores")</f>
        <v>Fase de Sintesis en Compiladores</v>
      </c>
      <c r="C30" s="23"/>
      <c r="D30" s="21" t="str">
        <f>IFERROR(__xludf.DUMMYFUNCTION("""COMPUTED_VALUE"""),"Análisis Sintactico")</f>
        <v>Análisis Sintactico</v>
      </c>
      <c r="E30" s="23"/>
      <c r="F30" s="21" t="str">
        <f>IFERROR(__xludf.DUMMYFUNCTION("""COMPUTED_VALUE"""),"Derivaciones")</f>
        <v>Derivaciones</v>
      </c>
      <c r="G30" s="22"/>
      <c r="H30" s="23"/>
    </row>
    <row r="31" ht="15.75" customHeight="1">
      <c r="A31" s="24">
        <v>4.0</v>
      </c>
      <c r="B31" s="21" t="str">
        <f>IFERROR(__xludf.DUMMYFUNCTION("""COMPUTED_VALUE"""),"Fase de Sintesis en Compiladores")</f>
        <v>Fase de Sintesis en Compiladores</v>
      </c>
      <c r="C31" s="23"/>
      <c r="D31" s="21" t="str">
        <f>IFERROR(__xludf.DUMMYFUNCTION("""COMPUTED_VALUE"""),"Análisis Sintactico")</f>
        <v>Análisis Sintactico</v>
      </c>
      <c r="E31" s="23"/>
      <c r="F31" s="21" t="str">
        <f>IFERROR(__xludf.DUMMYFUNCTION("""COMPUTED_VALUE"""),"Árbol de Análisis Sintáctico")</f>
        <v>Árbol de Análisis Sintáctico</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164</v>
      </c>
      <c r="D39" s="33">
        <v>20.0</v>
      </c>
      <c r="E39" s="22"/>
      <c r="F39" s="22"/>
      <c r="G39" s="22"/>
      <c r="H39" s="23"/>
    </row>
    <row r="40" ht="15.75" customHeight="1">
      <c r="A40" s="24" t="s">
        <v>139</v>
      </c>
      <c r="B40" s="24" t="s">
        <v>137</v>
      </c>
      <c r="C40" s="63" t="s">
        <v>165</v>
      </c>
      <c r="D40" s="33">
        <v>8.0</v>
      </c>
      <c r="E40" s="22"/>
      <c r="F40" s="22"/>
      <c r="G40" s="22"/>
      <c r="H40" s="23"/>
    </row>
    <row r="41" ht="15.75" customHeight="1">
      <c r="A41" s="24" t="s">
        <v>141</v>
      </c>
      <c r="B41" s="24" t="s">
        <v>142</v>
      </c>
      <c r="C41" s="63" t="s">
        <v>164</v>
      </c>
      <c r="D41" s="33">
        <v>20.0</v>
      </c>
      <c r="E41" s="22"/>
      <c r="F41" s="22"/>
      <c r="G41" s="22"/>
      <c r="H41" s="23"/>
    </row>
    <row r="42" ht="15.75" customHeight="1">
      <c r="A42" s="24" t="s">
        <v>144</v>
      </c>
      <c r="B42" s="24" t="s">
        <v>137</v>
      </c>
      <c r="C42" s="63" t="s">
        <v>166</v>
      </c>
      <c r="D42" s="33">
        <v>10.0</v>
      </c>
      <c r="E42" s="22"/>
      <c r="F42" s="22"/>
      <c r="G42" s="22"/>
      <c r="H42" s="23"/>
    </row>
    <row r="43" ht="15.75" customHeight="1"/>
    <row r="44" ht="15.75" customHeight="1">
      <c r="A44" s="45" t="s">
        <v>145</v>
      </c>
      <c r="G44" s="37" t="s">
        <v>79</v>
      </c>
      <c r="H44" s="46">
        <f>B50+B61</f>
        <v>30</v>
      </c>
    </row>
    <row r="45" ht="15.75" customHeight="1">
      <c r="G45" s="28" t="s">
        <v>146</v>
      </c>
    </row>
    <row r="46" ht="15.75" customHeight="1">
      <c r="A46" s="28" t="s">
        <v>147</v>
      </c>
    </row>
    <row r="47" ht="30.0" customHeight="1">
      <c r="A47" s="32" t="s">
        <v>148</v>
      </c>
      <c r="B47" s="33" t="s">
        <v>12</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33">
        <v>10.0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168</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c r="A58" s="32" t="s">
        <v>148</v>
      </c>
      <c r="B58" s="33" t="s">
        <v>25</v>
      </c>
      <c r="C58" s="22"/>
      <c r="D58" s="22"/>
      <c r="E58" s="22"/>
      <c r="F58" s="22"/>
      <c r="G58" s="22"/>
      <c r="H58" s="23"/>
    </row>
    <row r="59" ht="15.75" customHeight="1">
      <c r="A59" s="32" t="s">
        <v>149</v>
      </c>
      <c r="B59" s="33" t="s">
        <v>150</v>
      </c>
      <c r="C59" s="22"/>
      <c r="D59" s="22"/>
      <c r="E59" s="22"/>
      <c r="F59" s="22"/>
      <c r="G59" s="22"/>
      <c r="H59" s="23"/>
    </row>
    <row r="60" ht="15.75" customHeight="1">
      <c r="A60" s="32" t="s">
        <v>115</v>
      </c>
      <c r="B60" s="64"/>
      <c r="C60" s="22"/>
      <c r="D60" s="22"/>
      <c r="E60" s="22"/>
      <c r="F60" s="22"/>
      <c r="G60" s="22"/>
      <c r="H60" s="23"/>
    </row>
    <row r="61" ht="15.75" customHeight="1">
      <c r="A61" s="32" t="s">
        <v>79</v>
      </c>
      <c r="B61" s="69">
        <v>20.0</v>
      </c>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48" t="s">
        <v>169</v>
      </c>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15.0</v>
      </c>
    </row>
    <row r="69" ht="15.75" customHeight="1">
      <c r="G69" s="28" t="s">
        <v>157</v>
      </c>
    </row>
    <row r="70" ht="15.75" customHeight="1">
      <c r="A70" s="32" t="s">
        <v>79</v>
      </c>
      <c r="B70" s="69">
        <v>10.0</v>
      </c>
      <c r="C70" s="22"/>
      <c r="D70" s="22"/>
      <c r="E70" s="22"/>
      <c r="F70" s="22"/>
      <c r="G70" s="22"/>
      <c r="H70" s="23"/>
    </row>
    <row r="71" ht="15.75" customHeight="1">
      <c r="A71" s="59" t="s">
        <v>158</v>
      </c>
      <c r="B71" s="22"/>
      <c r="C71" s="22"/>
      <c r="D71" s="22"/>
      <c r="E71" s="22"/>
      <c r="F71" s="22"/>
      <c r="G71" s="22"/>
      <c r="H71" s="23"/>
    </row>
    <row r="72" ht="15.75" customHeight="1">
      <c r="A72" s="68"/>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4.0</v>
      </c>
      <c r="D5" s="22"/>
      <c r="E5" s="22"/>
      <c r="F5" s="22"/>
      <c r="G5" s="23"/>
    </row>
    <row r="6" ht="15.75" customHeight="1">
      <c r="B6" s="44" t="s">
        <v>77</v>
      </c>
      <c r="C6" s="21">
        <f>H10+H21+H44+H68</f>
        <v>108</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70">
        <v>5.0</v>
      </c>
    </row>
    <row r="11" ht="15.75" customHeight="1">
      <c r="G11" s="28" t="s">
        <v>118</v>
      </c>
    </row>
    <row r="12" ht="15.75" customHeight="1">
      <c r="A12" s="32" t="s">
        <v>119</v>
      </c>
      <c r="B12" s="33" t="s">
        <v>170</v>
      </c>
      <c r="C12" s="22"/>
      <c r="D12" s="22"/>
      <c r="E12" s="22"/>
      <c r="F12" s="22"/>
      <c r="G12" s="22"/>
      <c r="H12" s="23"/>
    </row>
    <row r="13" ht="15.75" customHeight="1">
      <c r="A13" s="34" t="s">
        <v>79</v>
      </c>
      <c r="B13" s="33">
        <v>3.0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171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32</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IFERROR(__xludf.DUMMYFUNCTION("FILTER('Diseño'!D:D,'Diseño'!H:H=$C$5)"),"Estructuras")</f>
        <v>Estructuras</v>
      </c>
      <c r="C28" s="23"/>
      <c r="D28" s="21" t="str">
        <f>IFERROR(__xludf.DUMMYFUNCTION("FILTER('Diseño'!E:E,'Diseño'!H:H=$C$5)"),"Tabla de Simbolos")</f>
        <v>Tabla de Simbolos</v>
      </c>
      <c r="E28" s="23"/>
      <c r="F28" s="21" t="str">
        <f>IFERROR(__xludf.DUMMYFUNCTION("FILTER('Diseño'!F:F,'Diseño'!H:H=$C$5)"),"Tabla de Símbolos")</f>
        <v>Tabla de Símbolos</v>
      </c>
      <c r="G28" s="22"/>
      <c r="H28" s="23"/>
    </row>
    <row r="29" ht="15.75" customHeight="1">
      <c r="A29" s="24">
        <v>2.0</v>
      </c>
      <c r="B29" s="21" t="str">
        <f>IFERROR(__xludf.DUMMYFUNCTION("""COMPUTED_VALUE"""),"Estructuras")</f>
        <v>Estructuras</v>
      </c>
      <c r="C29" s="23"/>
      <c r="D29" s="21" t="str">
        <f>IFERROR(__xludf.DUMMYFUNCTION("""COMPUTED_VALUE"""),"Tabla de Simbolos")</f>
        <v>Tabla de Simbolos</v>
      </c>
      <c r="E29" s="23"/>
      <c r="F29" s="21" t="str">
        <f>IFERROR(__xludf.DUMMYFUNCTION("""COMPUTED_VALUE"""),"Declaración de variables")</f>
        <v>Declaración de variables</v>
      </c>
      <c r="G29" s="22"/>
      <c r="H29" s="23"/>
    </row>
    <row r="30" ht="15.75" customHeight="1">
      <c r="A30" s="24">
        <v>3.0</v>
      </c>
      <c r="B30" s="21" t="str">
        <f>IFERROR(__xludf.DUMMYFUNCTION("""COMPUTED_VALUE"""),"Estructuras")</f>
        <v>Estructuras</v>
      </c>
      <c r="C30" s="23"/>
      <c r="D30" s="21" t="str">
        <f>IFERROR(__xludf.DUMMYFUNCTION("""COMPUTED_VALUE"""),"Tabla de Simbolos")</f>
        <v>Tabla de Simbolos</v>
      </c>
      <c r="E30" s="23"/>
      <c r="F30" s="21" t="str">
        <f>IFERROR(__xludf.DUMMYFUNCTION("""COMPUTED_VALUE"""),"Asignación de variables")</f>
        <v>Asignación de variables</v>
      </c>
      <c r="G30" s="22"/>
      <c r="H30" s="23"/>
    </row>
    <row r="31" ht="15.75" customHeight="1">
      <c r="A31" s="24">
        <v>4.0</v>
      </c>
      <c r="B31" s="21" t="str">
        <f>IFERROR(__xludf.DUMMYFUNCTION("""COMPUTED_VALUE"""),"Estructuras")</f>
        <v>Estructuras</v>
      </c>
      <c r="C31" s="23"/>
      <c r="D31" s="21" t="str">
        <f>IFERROR(__xludf.DUMMYFUNCTION("""COMPUTED_VALUE"""),"Tabla de Simbolos")</f>
        <v>Tabla de Simbolos</v>
      </c>
      <c r="E31" s="23"/>
      <c r="F31" s="21" t="str">
        <f>IFERROR(__xludf.DUMMYFUNCTION("""COMPUTED_VALUE"""),"Acceso de variables")</f>
        <v>Acceso de variables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172</v>
      </c>
      <c r="D39" s="33">
        <v>15.0</v>
      </c>
      <c r="E39" s="22"/>
      <c r="F39" s="22"/>
      <c r="G39" s="22"/>
      <c r="H39" s="23"/>
    </row>
    <row r="40" ht="15.75" customHeight="1">
      <c r="A40" s="24" t="s">
        <v>139</v>
      </c>
      <c r="B40" s="24" t="s">
        <v>137</v>
      </c>
      <c r="C40" s="24" t="s">
        <v>140</v>
      </c>
      <c r="D40" s="33">
        <v>5.0</v>
      </c>
      <c r="E40" s="22"/>
      <c r="F40" s="22"/>
      <c r="G40" s="22"/>
      <c r="H40" s="23"/>
    </row>
    <row r="41" ht="15.75" customHeight="1">
      <c r="A41" s="24" t="s">
        <v>141</v>
      </c>
      <c r="B41" s="24" t="s">
        <v>142</v>
      </c>
      <c r="C41" s="63" t="s">
        <v>173</v>
      </c>
      <c r="D41" s="33">
        <v>5.0</v>
      </c>
      <c r="E41" s="22"/>
      <c r="F41" s="22"/>
      <c r="G41" s="22"/>
      <c r="H41" s="23"/>
    </row>
    <row r="42" ht="15.75" customHeight="1">
      <c r="A42" s="24" t="s">
        <v>144</v>
      </c>
      <c r="B42" s="24" t="s">
        <v>137</v>
      </c>
      <c r="C42" s="63" t="s">
        <v>174</v>
      </c>
      <c r="D42" s="33">
        <v>35.0</v>
      </c>
      <c r="E42" s="22"/>
      <c r="F42" s="22"/>
      <c r="G42" s="22"/>
      <c r="H42" s="23"/>
    </row>
    <row r="43" ht="15.75" customHeight="1"/>
    <row r="44" ht="15.75" customHeight="1">
      <c r="A44" s="45" t="s">
        <v>145</v>
      </c>
      <c r="G44" s="37" t="s">
        <v>79</v>
      </c>
      <c r="H44" s="46">
        <f>B50+B61</f>
        <v>35</v>
      </c>
    </row>
    <row r="45" ht="15.75" customHeight="1">
      <c r="G45" s="28" t="s">
        <v>146</v>
      </c>
    </row>
    <row r="46" ht="15.75" customHeight="1">
      <c r="A46" s="28" t="s">
        <v>147</v>
      </c>
    </row>
    <row r="47" ht="15.75" customHeight="1">
      <c r="A47" s="32" t="s">
        <v>148</v>
      </c>
      <c r="B47" s="33" t="s">
        <v>32</v>
      </c>
      <c r="C47" s="22"/>
      <c r="D47" s="22"/>
      <c r="E47" s="22"/>
      <c r="F47" s="22"/>
      <c r="G47" s="22"/>
      <c r="H47" s="23"/>
    </row>
    <row r="48" ht="15.75" customHeight="1">
      <c r="A48" s="32" t="s">
        <v>149</v>
      </c>
      <c r="B48" s="33" t="s">
        <v>175</v>
      </c>
      <c r="C48" s="22"/>
      <c r="D48" s="22"/>
      <c r="E48" s="22"/>
      <c r="F48" s="22"/>
      <c r="G48" s="22"/>
      <c r="H48" s="23"/>
    </row>
    <row r="49" ht="15.75" customHeight="1">
      <c r="A49" s="32" t="s">
        <v>115</v>
      </c>
      <c r="B49" s="64">
        <v>0.0</v>
      </c>
      <c r="C49" s="22"/>
      <c r="D49" s="22"/>
      <c r="E49" s="22"/>
      <c r="F49" s="22"/>
      <c r="G49" s="22"/>
      <c r="H49" s="23"/>
    </row>
    <row r="50" ht="15.75" customHeight="1">
      <c r="A50" s="32" t="s">
        <v>79</v>
      </c>
      <c r="B50" s="33">
        <v>35.0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176</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8.0</v>
      </c>
    </row>
    <row r="69" ht="15.75" customHeight="1">
      <c r="G69" s="28" t="s">
        <v>157</v>
      </c>
    </row>
    <row r="70" ht="15.75" customHeight="1">
      <c r="A70" s="32" t="s">
        <v>79</v>
      </c>
      <c r="B70" s="69">
        <v>10.0</v>
      </c>
      <c r="C70" s="22"/>
      <c r="D70" s="22"/>
      <c r="E70" s="22"/>
      <c r="F70" s="22"/>
      <c r="G70" s="22"/>
      <c r="H70" s="23"/>
    </row>
    <row r="71" ht="15.75" customHeight="1">
      <c r="A71" s="59" t="s">
        <v>158</v>
      </c>
      <c r="B71" s="22"/>
      <c r="C71" s="22"/>
      <c r="D71" s="22"/>
      <c r="E71" s="22"/>
      <c r="F71" s="22"/>
      <c r="G71" s="22"/>
      <c r="H71" s="23"/>
    </row>
    <row r="72" ht="15.75" customHeight="1">
      <c r="A72" s="48" t="s">
        <v>177</v>
      </c>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5.0</v>
      </c>
      <c r="D5" s="22"/>
      <c r="E5" s="22"/>
      <c r="F5" s="22"/>
      <c r="G5" s="23"/>
    </row>
    <row r="6" ht="15.75" customHeight="1">
      <c r="B6" s="44" t="s">
        <v>77</v>
      </c>
      <c r="C6" s="21">
        <f>H10+H21+H44+H68</f>
        <v>108</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46">
        <f>B13</f>
        <v>5</v>
      </c>
    </row>
    <row r="11" ht="15.75" customHeight="1">
      <c r="G11" s="28" t="s">
        <v>118</v>
      </c>
    </row>
    <row r="12" ht="15.75" customHeight="1">
      <c r="A12" s="32" t="s">
        <v>119</v>
      </c>
      <c r="B12" s="33" t="s">
        <v>178</v>
      </c>
      <c r="C12" s="22"/>
      <c r="D12" s="22"/>
      <c r="E12" s="22"/>
      <c r="F12" s="22"/>
      <c r="G12" s="22"/>
      <c r="H12" s="23"/>
    </row>
    <row r="13" ht="15.75" customHeight="1">
      <c r="A13" s="34" t="s">
        <v>79</v>
      </c>
      <c r="B13" s="33">
        <v>5.0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179</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55</v>
      </c>
      <c r="I21" s="5"/>
    </row>
    <row r="22" ht="15.75" customHeight="1">
      <c r="G22" s="28" t="s">
        <v>125</v>
      </c>
    </row>
    <row r="23" ht="15.75" customHeight="1">
      <c r="A23" s="32" t="s">
        <v>126</v>
      </c>
      <c r="B23" s="33" t="s">
        <v>40</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JFLEX y CUP")</f>
        <v>Ejemplo Practico de JFLEX y CUP</v>
      </c>
      <c r="E28" s="23"/>
      <c r="F28" s="21" t="str">
        <f>IFERROR(__xludf.DUMMYFUNCTION("FILTER('Diseño'!F:F,'Diseño'!H:H=$C$5)"),"Descarga e instalación de herramientas")</f>
        <v>Descarga e instalación de herramientas</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JFLEX y CUP")</f>
        <v>Ejemplo Practico de JFLEX y CUP</v>
      </c>
      <c r="E29" s="23"/>
      <c r="F29" s="21" t="str">
        <f>IFERROR(__xludf.DUMMYFUNCTION("""COMPUTED_VALUE"""),"Descripción de la sintáxis de las herramientas")</f>
        <v>Descripción de la sintáxis de las herramientas</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JFLEX y CUP")</f>
        <v>Ejemplo Practico de JFLEX y CUP</v>
      </c>
      <c r="E30" s="23"/>
      <c r="F30" s="21" t="str">
        <f>IFERROR(__xludf.DUMMYFUNCTION("""COMPUTED_VALUE"""),"Escritura de expresiones regulares")</f>
        <v>Escritura de expresiones regulares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JFLEX y CUP")</f>
        <v>Ejemplo Practico de JFLEX y CUP</v>
      </c>
      <c r="E31" s="23"/>
      <c r="F31" s="21" t="str">
        <f>IFERROR(__xludf.DUMMYFUNCTION("""COMPUTED_VALUE"""),"Escritura de gramáticas")</f>
        <v>Escritura de gramáticas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172</v>
      </c>
      <c r="D39" s="33">
        <v>15.0</v>
      </c>
      <c r="E39" s="22"/>
      <c r="F39" s="22"/>
      <c r="G39" s="22"/>
      <c r="H39" s="23"/>
    </row>
    <row r="40" ht="15.75" customHeight="1">
      <c r="A40" s="24" t="s">
        <v>139</v>
      </c>
      <c r="B40" s="24" t="s">
        <v>137</v>
      </c>
      <c r="C40" s="24" t="s">
        <v>140</v>
      </c>
      <c r="D40" s="33">
        <v>5.0</v>
      </c>
      <c r="E40" s="22"/>
      <c r="F40" s="22"/>
      <c r="G40" s="22"/>
      <c r="H40" s="23"/>
    </row>
    <row r="41" ht="15.75" customHeight="1">
      <c r="A41" s="24" t="s">
        <v>141</v>
      </c>
      <c r="B41" s="24" t="s">
        <v>142</v>
      </c>
      <c r="C41" s="63" t="s">
        <v>173</v>
      </c>
      <c r="D41" s="33">
        <v>5.0</v>
      </c>
      <c r="E41" s="22"/>
      <c r="F41" s="22"/>
      <c r="G41" s="22"/>
      <c r="H41" s="23"/>
    </row>
    <row r="42" ht="15.75" customHeight="1">
      <c r="A42" s="24" t="s">
        <v>144</v>
      </c>
      <c r="B42" s="24" t="s">
        <v>137</v>
      </c>
      <c r="C42" s="63" t="s">
        <v>174</v>
      </c>
      <c r="D42" s="33">
        <v>30.0</v>
      </c>
      <c r="E42" s="22"/>
      <c r="F42" s="22"/>
      <c r="G42" s="22"/>
      <c r="H42" s="23"/>
    </row>
    <row r="43" ht="15.75" customHeight="1"/>
    <row r="44" ht="15.75" customHeight="1">
      <c r="A44" s="45" t="s">
        <v>145</v>
      </c>
      <c r="G44" s="37" t="s">
        <v>79</v>
      </c>
      <c r="H44" s="46">
        <f>B50+B61</f>
        <v>40</v>
      </c>
    </row>
    <row r="45" ht="15.75" customHeight="1">
      <c r="G45" s="28" t="s">
        <v>146</v>
      </c>
    </row>
    <row r="46" ht="15.75" customHeight="1">
      <c r="A46" s="28" t="s">
        <v>147</v>
      </c>
    </row>
    <row r="47" ht="15.75" customHeight="1">
      <c r="A47" s="32" t="s">
        <v>148</v>
      </c>
      <c r="B47" s="33" t="s">
        <v>40</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33">
        <v>40.0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180</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8.0</v>
      </c>
    </row>
    <row r="69" ht="15.75" customHeight="1">
      <c r="G69" s="28" t="s">
        <v>157</v>
      </c>
    </row>
    <row r="70" ht="15.75" customHeight="1">
      <c r="A70" s="32" t="s">
        <v>79</v>
      </c>
      <c r="B70" s="69">
        <v>10.0</v>
      </c>
      <c r="C70" s="22"/>
      <c r="D70" s="22"/>
      <c r="E70" s="22"/>
      <c r="F70" s="22"/>
      <c r="G70" s="22"/>
      <c r="H70" s="23"/>
    </row>
    <row r="71" ht="15.75" customHeight="1">
      <c r="A71" s="59" t="s">
        <v>158</v>
      </c>
      <c r="B71" s="22"/>
      <c r="C71" s="22"/>
      <c r="D71" s="22"/>
      <c r="E71" s="22"/>
      <c r="F71" s="22"/>
      <c r="G71" s="22"/>
      <c r="H71" s="23"/>
    </row>
    <row r="72" ht="15.75" customHeight="1">
      <c r="A72" s="48" t="s">
        <v>177</v>
      </c>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6.0</v>
      </c>
      <c r="D5" s="22"/>
      <c r="E5" s="22"/>
      <c r="F5" s="22"/>
      <c r="G5" s="23"/>
    </row>
    <row r="6" ht="15.75" customHeight="1">
      <c r="B6" s="44" t="s">
        <v>77</v>
      </c>
      <c r="C6" s="21">
        <f>H10+H21+H44+H68</f>
        <v>113</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46">
        <f>B13</f>
        <v>3</v>
      </c>
    </row>
    <row r="11" ht="15.75" customHeight="1">
      <c r="G11" s="28" t="s">
        <v>118</v>
      </c>
    </row>
    <row r="12" ht="15.75" customHeight="1">
      <c r="A12" s="32" t="s">
        <v>119</v>
      </c>
      <c r="B12" s="33" t="s">
        <v>170</v>
      </c>
      <c r="C12" s="22"/>
      <c r="D12" s="22"/>
      <c r="E12" s="22"/>
      <c r="F12" s="22"/>
      <c r="G12" s="22"/>
      <c r="H12" s="23"/>
    </row>
    <row r="13" ht="15.75" customHeight="1">
      <c r="A13" s="34" t="s">
        <v>79</v>
      </c>
      <c r="B13" s="33">
        <v>3.0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181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25</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JFLEX y CUP")</f>
        <v>Ejemplo Practico de JFLEX y CUP</v>
      </c>
      <c r="E28" s="23"/>
      <c r="F28" s="21" t="str">
        <f>IFERROR(__xludf.DUMMYFUNCTION("FILTER('Diseño'!F:F,'Diseño'!H:H=$C$5)"),"Comunicación con el entorno de programación")</f>
        <v>Comunicación con el entorno de programación</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JFLEX y CUP")</f>
        <v>Ejemplo Practico de JFLEX y CUP</v>
      </c>
      <c r="E29" s="23"/>
      <c r="F29" s="21" t="str">
        <f>IFERROR(__xludf.DUMMYFUNCTION("""COMPUTED_VALUE"""),"Comunicación con el entorno de programación")</f>
        <v>Comunicación con el entorno de programación</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JFLEX y CUP")</f>
        <v>Ejemplo Practico de JFLEX y CUP</v>
      </c>
      <c r="E30" s="23"/>
      <c r="F30" s="21" t="str">
        <f>IFERROR(__xludf.DUMMYFUNCTION("""COMPUTED_VALUE"""),"Acciones Gramaticales")</f>
        <v>Acciones Gramaticales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JFLEX y CUP")</f>
        <v>Ejemplo Practico de JFLEX y CUP</v>
      </c>
      <c r="E31" s="23"/>
      <c r="F31" s="21" t="str">
        <f>IFERROR(__xludf.DUMMYFUNCTION("""COMPUTED_VALUE"""),"Manejo de errores")</f>
        <v>Manejo de errores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172</v>
      </c>
      <c r="D39" s="33">
        <v>15.0</v>
      </c>
      <c r="E39" s="22"/>
      <c r="F39" s="22"/>
      <c r="G39" s="22"/>
      <c r="H39" s="23"/>
    </row>
    <row r="40" ht="15.75" customHeight="1">
      <c r="A40" s="24" t="s">
        <v>139</v>
      </c>
      <c r="B40" s="24" t="s">
        <v>137</v>
      </c>
      <c r="C40" s="24" t="s">
        <v>140</v>
      </c>
      <c r="D40" s="33">
        <v>5.0</v>
      </c>
      <c r="E40" s="22"/>
      <c r="F40" s="22"/>
      <c r="G40" s="22"/>
      <c r="H40" s="23"/>
    </row>
    <row r="41" ht="15.75" customHeight="1">
      <c r="A41" s="24" t="s">
        <v>141</v>
      </c>
      <c r="B41" s="24" t="s">
        <v>142</v>
      </c>
      <c r="C41" s="63" t="s">
        <v>173</v>
      </c>
      <c r="D41" s="33">
        <v>0.0</v>
      </c>
      <c r="E41" s="22"/>
      <c r="F41" s="22"/>
      <c r="G41" s="22"/>
      <c r="H41" s="23"/>
    </row>
    <row r="42" ht="15.75" customHeight="1">
      <c r="A42" s="24" t="s">
        <v>144</v>
      </c>
      <c r="B42" s="24" t="s">
        <v>137</v>
      </c>
      <c r="C42" s="63" t="s">
        <v>174</v>
      </c>
      <c r="D42" s="33">
        <v>40.0</v>
      </c>
      <c r="E42" s="22"/>
      <c r="F42" s="22"/>
      <c r="G42" s="22"/>
      <c r="H42" s="23"/>
    </row>
    <row r="43" ht="15.75" customHeight="1"/>
    <row r="44" ht="15.75" customHeight="1">
      <c r="A44" s="45" t="s">
        <v>145</v>
      </c>
      <c r="G44" s="37" t="s">
        <v>79</v>
      </c>
      <c r="H44" s="46">
        <f>B50+B61</f>
        <v>40</v>
      </c>
    </row>
    <row r="45" ht="15.75" customHeight="1">
      <c r="G45" s="28" t="s">
        <v>146</v>
      </c>
    </row>
    <row r="46" ht="15.75" customHeight="1">
      <c r="A46" s="28" t="s">
        <v>147</v>
      </c>
    </row>
    <row r="47" ht="15.75" customHeight="1">
      <c r="A47" s="32" t="s">
        <v>148</v>
      </c>
      <c r="B47" s="33" t="s">
        <v>40</v>
      </c>
      <c r="C47" s="22"/>
      <c r="D47" s="22"/>
      <c r="E47" s="22"/>
      <c r="F47" s="22"/>
      <c r="G47" s="22"/>
      <c r="H47" s="23"/>
    </row>
    <row r="48" ht="15.75" customHeight="1">
      <c r="A48" s="32" t="s">
        <v>149</v>
      </c>
      <c r="B48" s="33" t="s">
        <v>175</v>
      </c>
      <c r="C48" s="22"/>
      <c r="D48" s="22"/>
      <c r="E48" s="22"/>
      <c r="F48" s="22"/>
      <c r="G48" s="22"/>
      <c r="H48" s="23"/>
    </row>
    <row r="49" ht="15.75" customHeight="1">
      <c r="A49" s="32" t="s">
        <v>115</v>
      </c>
      <c r="B49" s="64">
        <v>0.0</v>
      </c>
      <c r="C49" s="22"/>
      <c r="D49" s="22"/>
      <c r="E49" s="22"/>
      <c r="F49" s="22"/>
      <c r="G49" s="22"/>
      <c r="H49" s="23"/>
    </row>
    <row r="50" ht="15.75" customHeight="1">
      <c r="A50" s="32" t="s">
        <v>79</v>
      </c>
      <c r="B50" s="33">
        <v>40.0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182</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10.0</v>
      </c>
    </row>
    <row r="69" ht="15.75" customHeight="1">
      <c r="G69" s="28" t="s">
        <v>157</v>
      </c>
    </row>
    <row r="70" ht="15.75" customHeight="1">
      <c r="A70" s="32" t="s">
        <v>79</v>
      </c>
      <c r="B70" s="69">
        <v>0.0</v>
      </c>
      <c r="C70" s="22"/>
      <c r="D70" s="22"/>
      <c r="E70" s="22"/>
      <c r="F70" s="22"/>
      <c r="G70" s="22"/>
      <c r="H70" s="23"/>
    </row>
    <row r="71" ht="15.75" customHeight="1">
      <c r="A71" s="59" t="s">
        <v>158</v>
      </c>
      <c r="B71" s="22"/>
      <c r="C71" s="22"/>
      <c r="D71" s="22"/>
      <c r="E71" s="22"/>
      <c r="F71" s="22"/>
      <c r="G71" s="22"/>
      <c r="H71" s="23"/>
    </row>
    <row r="72" ht="15.75" customHeight="1">
      <c r="A72" s="48" t="s">
        <v>177</v>
      </c>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7.0</v>
      </c>
      <c r="D5" s="22"/>
      <c r="E5" s="22"/>
      <c r="F5" s="22"/>
      <c r="G5" s="23"/>
    </row>
    <row r="6" ht="15.75" customHeight="1">
      <c r="B6" s="44" t="s">
        <v>77</v>
      </c>
      <c r="C6" s="21">
        <f>H10+H21+H44+H68</f>
        <v>110</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46">
        <f>B13</f>
        <v>5</v>
      </c>
    </row>
    <row r="11" ht="15.75" customHeight="1">
      <c r="G11" s="28" t="s">
        <v>118</v>
      </c>
    </row>
    <row r="12" ht="15.75" customHeight="1">
      <c r="A12" s="32" t="s">
        <v>119</v>
      </c>
      <c r="B12" s="33" t="s">
        <v>183</v>
      </c>
      <c r="C12" s="22"/>
      <c r="D12" s="22"/>
      <c r="E12" s="22"/>
      <c r="F12" s="22"/>
      <c r="G12" s="22"/>
      <c r="H12" s="23"/>
    </row>
    <row r="13" ht="15.75" customHeight="1">
      <c r="A13" s="34" t="s">
        <v>79</v>
      </c>
      <c r="B13" s="33">
        <v>5.0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184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58</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IFERROR(__xludf.DUMMYFUNCTION("FILTER('Diseño'!D:D,'Diseño'!H:H=$C$5)"),"Gramaticas ")</f>
        <v>Gramaticas </v>
      </c>
      <c r="C28" s="23"/>
      <c r="D28" s="21" t="str">
        <f>IFERROR(__xludf.DUMMYFUNCTION("FILTER('Diseño'!E:E,'Diseño'!H:H=$C$5)"),"Gramáticas Independientes del Contexto")</f>
        <v>Gramáticas Independientes del Contexto</v>
      </c>
      <c r="E28" s="23"/>
      <c r="F28" s="21" t="str">
        <f>IFERROR(__xludf.DUMMYFUNCTION("FILTER('Diseño'!F:F,'Diseño'!H:H=$C$5)"),"Definición")</f>
        <v>Definición</v>
      </c>
      <c r="G28" s="22"/>
      <c r="H28" s="23"/>
    </row>
    <row r="29" ht="15.75" customHeight="1">
      <c r="A29" s="24">
        <v>2.0</v>
      </c>
      <c r="B29" s="21" t="str">
        <f>IFERROR(__xludf.DUMMYFUNCTION("""COMPUTED_VALUE"""),"Gramaticas ")</f>
        <v>Gramaticas </v>
      </c>
      <c r="C29" s="23"/>
      <c r="D29" s="21" t="str">
        <f>IFERROR(__xludf.DUMMYFUNCTION("""COMPUTED_VALUE"""),"Gramáticas Independientes del Contexto")</f>
        <v>Gramáticas Independientes del Contexto</v>
      </c>
      <c r="E29" s="23"/>
      <c r="F29" s="21" t="str">
        <f>IFERROR(__xludf.DUMMYFUNCTION("""COMPUTED_VALUE"""),"Funciones Primero y Siguientes")</f>
        <v>Funciones Primero y Siguientes</v>
      </c>
      <c r="G29" s="22"/>
      <c r="H29" s="23"/>
    </row>
    <row r="30" ht="15.75" customHeight="1">
      <c r="A30" s="24">
        <v>3.0</v>
      </c>
      <c r="B30" s="21" t="str">
        <f>IFERROR(__xludf.DUMMYFUNCTION("""COMPUTED_VALUE"""),"Gramaticas ")</f>
        <v>Gramaticas </v>
      </c>
      <c r="C30" s="23"/>
      <c r="D30" s="21" t="str">
        <f>IFERROR(__xludf.DUMMYFUNCTION("""COMPUTED_VALUE"""),"Gramáticas Independientes del Contexto")</f>
        <v>Gramáticas Independientes del Contexto</v>
      </c>
      <c r="E30" s="23"/>
      <c r="F30" s="21" t="str">
        <f>IFERROR(__xludf.DUMMYFUNCTION("""COMPUTED_VALUE"""),"Gramáticas Descendentes")</f>
        <v>Gramáticas Descendentes</v>
      </c>
      <c r="G30" s="22"/>
      <c r="H30" s="23"/>
    </row>
    <row r="31" ht="15.75" customHeight="1">
      <c r="A31" s="24">
        <v>4.0</v>
      </c>
      <c r="B31" s="21" t="str">
        <f>IFERROR(__xludf.DUMMYFUNCTION("""COMPUTED_VALUE"""),"Gramaticas ")</f>
        <v>Gramaticas </v>
      </c>
      <c r="C31" s="23"/>
      <c r="D31" s="21" t="str">
        <f>IFERROR(__xludf.DUMMYFUNCTION("""COMPUTED_VALUE"""),"Gramáticas Independientes del Contexto")</f>
        <v>Gramáticas Independientes del Contexto</v>
      </c>
      <c r="E31" s="23"/>
      <c r="F31" s="21" t="str">
        <f>IFERROR(__xludf.DUMMYFUNCTION("""COMPUTED_VALUE"""),"Gramáticas Ascendentes")</f>
        <v>Gramáticas Ascendentes</v>
      </c>
      <c r="G31" s="22"/>
      <c r="H31" s="23"/>
    </row>
    <row r="32" ht="15.75" customHeight="1">
      <c r="A32" s="24">
        <v>5.0</v>
      </c>
      <c r="B32" s="21" t="str">
        <f>IFERROR(__xludf.DUMMYFUNCTION("""COMPUTED_VALUE"""),"Gramaticas ")</f>
        <v>Gramaticas </v>
      </c>
      <c r="C32" s="23"/>
      <c r="D32" s="21" t="str">
        <f>IFERROR(__xludf.DUMMYFUNCTION("""COMPUTED_VALUE"""),"Gramáticas Independientes del Contexto")</f>
        <v>Gramáticas Independientes del Contexto</v>
      </c>
      <c r="E32" s="23"/>
      <c r="F32" s="21" t="str">
        <f>IFERROR(__xludf.DUMMYFUNCTION("""COMPUTED_VALUE"""),"Reescrituras gramaticales")</f>
        <v>Reescrituras gramaticales</v>
      </c>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172</v>
      </c>
      <c r="D39" s="33">
        <v>15.0</v>
      </c>
      <c r="E39" s="22"/>
      <c r="F39" s="22"/>
      <c r="G39" s="22"/>
      <c r="H39" s="23"/>
    </row>
    <row r="40" ht="15.75" customHeight="1">
      <c r="A40" s="24" t="s">
        <v>139</v>
      </c>
      <c r="B40" s="24" t="s">
        <v>137</v>
      </c>
      <c r="C40" s="24" t="s">
        <v>140</v>
      </c>
      <c r="D40" s="33">
        <v>5.0</v>
      </c>
      <c r="E40" s="22"/>
      <c r="F40" s="22"/>
      <c r="G40" s="22"/>
      <c r="H40" s="23"/>
    </row>
    <row r="41" ht="15.75" customHeight="1">
      <c r="A41" s="24" t="s">
        <v>141</v>
      </c>
      <c r="B41" s="24" t="s">
        <v>142</v>
      </c>
      <c r="C41" s="63" t="s">
        <v>173</v>
      </c>
      <c r="D41" s="33">
        <v>10.0</v>
      </c>
      <c r="E41" s="22"/>
      <c r="F41" s="22"/>
      <c r="G41" s="22"/>
      <c r="H41" s="23"/>
    </row>
    <row r="42" ht="15.75" customHeight="1">
      <c r="A42" s="24" t="s">
        <v>144</v>
      </c>
      <c r="B42" s="24" t="s">
        <v>137</v>
      </c>
      <c r="C42" s="63" t="s">
        <v>174</v>
      </c>
      <c r="D42" s="33">
        <v>30.0</v>
      </c>
      <c r="E42" s="22"/>
      <c r="F42" s="22"/>
      <c r="G42" s="22"/>
      <c r="H42" s="23"/>
    </row>
    <row r="43" ht="15.75" customHeight="1"/>
    <row r="44" ht="15.75" customHeight="1">
      <c r="A44" s="45" t="s">
        <v>145</v>
      </c>
      <c r="G44" s="37" t="s">
        <v>79</v>
      </c>
      <c r="H44" s="46">
        <f>B50+B61</f>
        <v>35</v>
      </c>
    </row>
    <row r="45" ht="15.75" customHeight="1">
      <c r="G45" s="28" t="s">
        <v>146</v>
      </c>
    </row>
    <row r="46" ht="15.75" customHeight="1">
      <c r="A46" s="28" t="s">
        <v>147</v>
      </c>
    </row>
    <row r="47" ht="15.75" customHeight="1">
      <c r="A47" s="32" t="s">
        <v>148</v>
      </c>
      <c r="B47" s="33" t="s">
        <v>58</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33">
        <v>35.0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185</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10.0</v>
      </c>
    </row>
    <row r="69" ht="15.75" customHeight="1">
      <c r="G69" s="28" t="s">
        <v>157</v>
      </c>
    </row>
    <row r="70" ht="15.75" customHeight="1">
      <c r="A70" s="32" t="s">
        <v>79</v>
      </c>
      <c r="B70" s="69">
        <v>0.0</v>
      </c>
      <c r="C70" s="22"/>
      <c r="D70" s="22"/>
      <c r="E70" s="22"/>
      <c r="F70" s="22"/>
      <c r="G70" s="22"/>
      <c r="H70" s="23"/>
    </row>
    <row r="71" ht="15.75" customHeight="1">
      <c r="A71" s="59" t="s">
        <v>158</v>
      </c>
      <c r="B71" s="22"/>
      <c r="C71" s="22"/>
      <c r="D71" s="22"/>
      <c r="E71" s="22"/>
      <c r="F71" s="22"/>
      <c r="G71" s="22"/>
      <c r="H71" s="23"/>
    </row>
    <row r="72" ht="15.75" customHeight="1">
      <c r="A72" s="48" t="s">
        <v>177</v>
      </c>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8.0</v>
      </c>
      <c r="D5" s="22"/>
      <c r="E5" s="22"/>
      <c r="F5" s="22"/>
      <c r="G5" s="23"/>
    </row>
    <row r="6" ht="15.75" customHeight="1">
      <c r="B6" s="44" t="s">
        <v>77</v>
      </c>
      <c r="C6" s="21">
        <f>H10+H21+H44+H68</f>
        <v>104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70">
        <v>2.0</v>
      </c>
    </row>
    <row r="11" ht="15.75" customHeight="1">
      <c r="G11" s="28" t="s">
        <v>118</v>
      </c>
    </row>
    <row r="12" ht="15.75" customHeight="1">
      <c r="A12" s="32" t="s">
        <v>119</v>
      </c>
      <c r="B12" s="33" t="s">
        <v>170</v>
      </c>
      <c r="C12" s="22"/>
      <c r="D12" s="22"/>
      <c r="E12" s="22"/>
      <c r="F12" s="22"/>
      <c r="G12" s="22"/>
      <c r="H12" s="23"/>
    </row>
    <row r="13" ht="15.75" customHeight="1">
      <c r="A13" s="34" t="s">
        <v>79</v>
      </c>
      <c r="B13" s="33">
        <v>3.0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186</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70">
        <v>60.0</v>
      </c>
      <c r="I21" s="5"/>
    </row>
    <row r="22" ht="15.75" customHeight="1">
      <c r="G22" s="28" t="s">
        <v>125</v>
      </c>
    </row>
    <row r="23" ht="15.75" customHeight="1">
      <c r="A23" s="32" t="s">
        <v>126</v>
      </c>
      <c r="B23" s="33" t="s">
        <v>60</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JISON")</f>
        <v>Ejemplo Practico de JISON</v>
      </c>
      <c r="E28" s="23"/>
      <c r="F28" s="21" t="str">
        <f>IFERROR(__xludf.DUMMYFUNCTION("FILTER('Diseño'!F:F,'Diseño'!H:H=$C$5)"),"Descarga e instalación de herramientas")</f>
        <v>Descarga e instalación de herramientas</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JISON")</f>
        <v>Ejemplo Practico de JISON</v>
      </c>
      <c r="E29" s="23"/>
      <c r="F29" s="21" t="str">
        <f>IFERROR(__xludf.DUMMYFUNCTION("""COMPUTED_VALUE"""),"Escritura de expresiones regulares")</f>
        <v>Escritura de expresiones regulares</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JISON")</f>
        <v>Ejemplo Practico de JISON</v>
      </c>
      <c r="E30" s="23"/>
      <c r="F30" s="21" t="str">
        <f>IFERROR(__xludf.DUMMYFUNCTION("""COMPUTED_VALUE"""),"Escritura de gramáticas")</f>
        <v>Escritura de gramáticas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JISON")</f>
        <v>Ejemplo Practico de JISON</v>
      </c>
      <c r="E31" s="23"/>
      <c r="F31" s="21" t="str">
        <f>IFERROR(__xludf.DUMMYFUNCTION("""COMPUTED_VALUE"""),"Comunicación con el entorno de programación")</f>
        <v>Comunicación con el entorno de programación</v>
      </c>
      <c r="G31" s="22"/>
      <c r="H31" s="23"/>
    </row>
    <row r="32" ht="15.75" customHeight="1">
      <c r="A32" s="24">
        <v>5.0</v>
      </c>
      <c r="B32" s="21" t="str">
        <f>IFERROR(__xludf.DUMMYFUNCTION("""COMPUTED_VALUE"""),"Herramientas de Compilación")</f>
        <v>Herramientas de Compilación</v>
      </c>
      <c r="C32" s="23"/>
      <c r="D32" s="21" t="str">
        <f>IFERROR(__xludf.DUMMYFUNCTION("""COMPUTED_VALUE"""),"Ejemplo Practico de JISON")</f>
        <v>Ejemplo Practico de JISON</v>
      </c>
      <c r="E32" s="23"/>
      <c r="F32" s="21" t="str">
        <f>IFERROR(__xludf.DUMMYFUNCTION("""COMPUTED_VALUE"""),"Acciones Gramaticales")</f>
        <v>Acciones Gramaticales</v>
      </c>
      <c r="G32" s="22"/>
      <c r="H32" s="23"/>
    </row>
    <row r="33" ht="15.75" customHeight="1">
      <c r="A33" s="24">
        <v>6.0</v>
      </c>
      <c r="B33" s="21" t="str">
        <f>IFERROR(__xludf.DUMMYFUNCTION("""COMPUTED_VALUE"""),"Herramientas de Compilación")</f>
        <v>Herramientas de Compilación</v>
      </c>
      <c r="C33" s="23"/>
      <c r="D33" s="21" t="str">
        <f>IFERROR(__xludf.DUMMYFUNCTION("""COMPUTED_VALUE"""),"Ejemplo Practico de JISON")</f>
        <v>Ejemplo Practico de JISON</v>
      </c>
      <c r="E33" s="23"/>
      <c r="F33" s="21" t="str">
        <f>IFERROR(__xludf.DUMMYFUNCTION("""COMPUTED_VALUE"""),"Manejo de errores")</f>
        <v>Manejo de errores</v>
      </c>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63" t="s">
        <v>187</v>
      </c>
      <c r="D39" s="33">
        <v>15.0</v>
      </c>
      <c r="E39" s="22"/>
      <c r="F39" s="22"/>
      <c r="G39" s="22"/>
      <c r="H39" s="23"/>
    </row>
    <row r="40" ht="15.75" customHeight="1">
      <c r="A40" s="24" t="s">
        <v>139</v>
      </c>
      <c r="B40" s="24" t="s">
        <v>137</v>
      </c>
      <c r="C40" s="63" t="s">
        <v>188</v>
      </c>
      <c r="D40" s="33">
        <v>10.0</v>
      </c>
      <c r="E40" s="22"/>
      <c r="F40" s="22"/>
      <c r="G40" s="22"/>
      <c r="H40" s="23"/>
    </row>
    <row r="41" ht="15.75" customHeight="1">
      <c r="A41" s="24" t="s">
        <v>141</v>
      </c>
      <c r="B41" s="24" t="s">
        <v>142</v>
      </c>
      <c r="C41" s="63" t="s">
        <v>187</v>
      </c>
      <c r="D41" s="33">
        <v>15.0</v>
      </c>
      <c r="E41" s="22"/>
      <c r="F41" s="22"/>
      <c r="G41" s="22"/>
      <c r="H41" s="23"/>
    </row>
    <row r="42" ht="15.75" customHeight="1">
      <c r="A42" s="24" t="s">
        <v>144</v>
      </c>
      <c r="B42" s="24" t="s">
        <v>137</v>
      </c>
      <c r="C42" s="63" t="s">
        <v>189</v>
      </c>
      <c r="D42" s="33">
        <v>25.0</v>
      </c>
      <c r="E42" s="22"/>
      <c r="F42" s="22"/>
      <c r="G42" s="22"/>
      <c r="H42" s="23"/>
    </row>
    <row r="43" ht="15.75" customHeight="1"/>
    <row r="44" ht="15.75" customHeight="1">
      <c r="A44" s="45" t="s">
        <v>145</v>
      </c>
      <c r="G44" s="37" t="s">
        <v>79</v>
      </c>
      <c r="H44" s="70">
        <v>40.0</v>
      </c>
    </row>
    <row r="45" ht="15.75" customHeight="1">
      <c r="G45" s="28" t="s">
        <v>146</v>
      </c>
    </row>
    <row r="46" ht="15.75" customHeight="1">
      <c r="A46" s="28" t="s">
        <v>147</v>
      </c>
    </row>
    <row r="47" ht="15.75" customHeight="1">
      <c r="A47" s="32" t="s">
        <v>148</v>
      </c>
      <c r="B47" s="33" t="s">
        <v>60</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33">
        <v>30.0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190</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70">
        <v>2.0</v>
      </c>
    </row>
    <row r="69" ht="15.75" customHeight="1">
      <c r="G69" s="28" t="s">
        <v>157</v>
      </c>
    </row>
    <row r="70" ht="15.75" customHeight="1">
      <c r="A70" s="32" t="s">
        <v>79</v>
      </c>
      <c r="B70" s="69">
        <v>0.0</v>
      </c>
      <c r="C70" s="22"/>
      <c r="D70" s="22"/>
      <c r="E70" s="22"/>
      <c r="F70" s="22"/>
      <c r="G70" s="22"/>
      <c r="H70" s="23"/>
    </row>
    <row r="71" ht="15.75" customHeight="1">
      <c r="A71" s="59" t="s">
        <v>158</v>
      </c>
      <c r="B71" s="22"/>
      <c r="C71" s="22"/>
      <c r="D71" s="22"/>
      <c r="E71" s="22"/>
      <c r="F71" s="22"/>
      <c r="G71" s="22"/>
      <c r="H71" s="23"/>
    </row>
    <row r="72" ht="15.75" customHeight="1">
      <c r="A72" s="68"/>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9.0</v>
      </c>
      <c r="D5" s="22"/>
      <c r="E5" s="22"/>
      <c r="F5" s="22"/>
      <c r="G5" s="23"/>
    </row>
    <row r="6" ht="15.75" customHeight="1">
      <c r="B6" s="44" t="s">
        <v>77</v>
      </c>
      <c r="C6" s="21">
        <f>H10+H21+H44+H68</f>
        <v>64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22"/>
      <c r="E8" s="22"/>
      <c r="F8" s="22"/>
      <c r="G8" s="23"/>
      <c r="I8" s="5"/>
      <c r="J8" s="5"/>
      <c r="K8" s="5"/>
    </row>
    <row r="9" ht="15.75" customHeight="1"/>
    <row r="10" ht="15.75" customHeight="1">
      <c r="A10" s="45" t="s">
        <v>117</v>
      </c>
      <c r="G10" s="37" t="s">
        <v>79</v>
      </c>
      <c r="H10" s="46">
        <f>B13</f>
        <v>2</v>
      </c>
    </row>
    <row r="11" ht="15.75" customHeight="1">
      <c r="G11" s="28" t="s">
        <v>118</v>
      </c>
    </row>
    <row r="12" ht="15.75" customHeight="1">
      <c r="A12" s="32" t="s">
        <v>119</v>
      </c>
      <c r="B12" s="33" t="s">
        <v>191</v>
      </c>
      <c r="C12" s="22"/>
      <c r="D12" s="22"/>
      <c r="E12" s="22"/>
      <c r="F12" s="22"/>
      <c r="G12" s="22"/>
      <c r="H12" s="23"/>
    </row>
    <row r="13" ht="15.75" customHeight="1">
      <c r="A13" s="34" t="s">
        <v>79</v>
      </c>
      <c r="B13" s="33">
        <v>2.0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68"/>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60</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IFERROR(__xludf.DUMMYFUNCTION("FILTER('Diseño'!D:D,'Diseño'!H:H=$C$5)"),"Conferencia")</f>
        <v>Conferencia</v>
      </c>
      <c r="C28" s="23"/>
      <c r="D28" s="21" t="str">
        <f>IFERROR(__xludf.DUMMYFUNCTION("FILTER('Diseño'!E:E,'Diseño'!H:H=$C$5)"),"Conferencia del Laboratorio")</f>
        <v>Conferencia del Laboratorio</v>
      </c>
      <c r="E28" s="23"/>
      <c r="F28" s="21" t="str">
        <f>IFERROR(__xludf.DUMMYFUNCTION("FILTER('Diseño'!F:F,'Diseño'!H:H=$C$5)"),"")</f>
        <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IFERROR(__xludf.DUMMYFUNCTION("""COMPUTED_VALUE"""),"Patrones de diseño")</f>
        <v>Patrones de diseño</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IFERROR(__xludf.DUMMYFUNCTION("""COMPUTED_VALUE"""),"Patron Interprete")</f>
        <v>Patron Interprete</v>
      </c>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24"/>
      <c r="D39" s="33">
        <v>15.0</v>
      </c>
      <c r="E39" s="22"/>
      <c r="F39" s="22"/>
      <c r="G39" s="22"/>
      <c r="H39" s="23"/>
    </row>
    <row r="40" ht="15.75" customHeight="1">
      <c r="A40" s="24" t="s">
        <v>139</v>
      </c>
      <c r="B40" s="24" t="s">
        <v>137</v>
      </c>
      <c r="C40" s="24" t="s">
        <v>140</v>
      </c>
      <c r="D40" s="33">
        <v>10.0</v>
      </c>
      <c r="E40" s="22"/>
      <c r="F40" s="22"/>
      <c r="G40" s="22"/>
      <c r="H40" s="23"/>
    </row>
    <row r="41" ht="15.75" customHeight="1">
      <c r="A41" s="24" t="s">
        <v>141</v>
      </c>
      <c r="B41" s="24" t="s">
        <v>142</v>
      </c>
      <c r="C41" s="24"/>
      <c r="D41" s="33">
        <v>20.0</v>
      </c>
      <c r="E41" s="22"/>
      <c r="F41" s="22"/>
      <c r="G41" s="22"/>
      <c r="H41" s="23"/>
    </row>
    <row r="42" ht="15.75" customHeight="1">
      <c r="A42" s="24" t="s">
        <v>144</v>
      </c>
      <c r="B42" s="24" t="s">
        <v>137</v>
      </c>
      <c r="C42" s="24"/>
      <c r="D42" s="33">
        <v>15.0</v>
      </c>
      <c r="E42" s="22"/>
      <c r="F42" s="22"/>
      <c r="G42" s="22"/>
      <c r="H42" s="23"/>
    </row>
    <row r="43" ht="15.75" customHeight="1"/>
    <row r="44" ht="15.75" customHeight="1">
      <c r="A44" s="45" t="s">
        <v>145</v>
      </c>
      <c r="G44" s="37" t="s">
        <v>79</v>
      </c>
      <c r="H44" s="46">
        <f>B50+B61</f>
        <v>0</v>
      </c>
    </row>
    <row r="45" ht="15.75" customHeight="1">
      <c r="G45" s="28" t="s">
        <v>146</v>
      </c>
    </row>
    <row r="46" ht="15.75" customHeight="1">
      <c r="A46" s="28" t="s">
        <v>147</v>
      </c>
    </row>
    <row r="47" ht="15.75" customHeight="1">
      <c r="A47" s="32" t="s">
        <v>148</v>
      </c>
      <c r="B47" s="33" t="s">
        <v>12</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21">
        <v>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192</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46">
        <f>B70</f>
        <v>2</v>
      </c>
    </row>
    <row r="69" ht="15.75" customHeight="1">
      <c r="G69" s="28" t="s">
        <v>157</v>
      </c>
    </row>
    <row r="70" ht="15.75" customHeight="1">
      <c r="A70" s="32" t="s">
        <v>79</v>
      </c>
      <c r="B70" s="69">
        <v>2.0</v>
      </c>
      <c r="C70" s="22"/>
      <c r="D70" s="22"/>
      <c r="E70" s="22"/>
      <c r="F70" s="22"/>
      <c r="G70" s="22"/>
      <c r="H70" s="23"/>
    </row>
    <row r="71" ht="15.75" customHeight="1">
      <c r="A71" s="59" t="s">
        <v>158</v>
      </c>
      <c r="B71" s="22"/>
      <c r="C71" s="22"/>
      <c r="D71" s="22"/>
      <c r="E71" s="22"/>
      <c r="F71" s="22"/>
      <c r="G71" s="22"/>
      <c r="H71" s="23"/>
    </row>
    <row r="72" ht="15.75" customHeight="1">
      <c r="A72" s="68"/>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10.0</v>
      </c>
      <c r="D5" s="22"/>
      <c r="E5" s="22"/>
      <c r="F5" s="22"/>
      <c r="G5" s="23"/>
    </row>
    <row r="6" ht="15.75" customHeight="1">
      <c r="B6" s="44" t="s">
        <v>77</v>
      </c>
      <c r="C6" s="21">
        <f>H10+H21+H44+H68</f>
        <v>104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5" t="s">
        <v>117</v>
      </c>
      <c r="G10" s="37" t="s">
        <v>79</v>
      </c>
      <c r="H10" s="46">
        <f>B13</f>
        <v>2</v>
      </c>
    </row>
    <row r="11" ht="15.75" customHeight="1">
      <c r="G11" s="28" t="s">
        <v>118</v>
      </c>
    </row>
    <row r="12" ht="15.75" customHeight="1">
      <c r="A12" s="32" t="s">
        <v>119</v>
      </c>
      <c r="B12" s="33" t="s">
        <v>193</v>
      </c>
      <c r="C12" s="22"/>
      <c r="D12" s="22"/>
      <c r="E12" s="22"/>
      <c r="F12" s="22"/>
      <c r="G12" s="22"/>
      <c r="H12" s="23"/>
    </row>
    <row r="13" ht="15.75" customHeight="1">
      <c r="A13" s="34" t="s">
        <v>79</v>
      </c>
      <c r="B13" s="33">
        <v>2.0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194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12</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IFERROR(__xludf.DUMMYFUNCTION("FILTER('Diseño'!D:D,'Diseño'!H:H=$C$5)"),"Diseño Interprete")</f>
        <v>Diseño Interprete</v>
      </c>
      <c r="C28" s="23"/>
      <c r="D28" s="21" t="str">
        <f>IFERROR(__xludf.DUMMYFUNCTION("FILTER('Diseño'!E:E,'Diseño'!H:H=$C$5)"),"Interprete utilizando patron interprete")</f>
        <v>Interprete utilizando patron interprete</v>
      </c>
      <c r="E28" s="23"/>
      <c r="F28" s="21" t="str">
        <f>IFERROR(__xludf.DUMMYFUNCTION("FILTER('Diseño'!F:F,'Diseño'!H:H=$C$5)"),"Expresiones Aritmeticas")</f>
        <v>Expresiones Aritmeticas</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IFERROR(__xludf.DUMMYFUNCTION("""COMPUTED_VALUE"""),"Validaciones semanticas")</f>
        <v>Validaciones semanticas</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IFERROR(__xludf.DUMMYFUNCTION("""COMPUTED_VALUE"""),"Tabla de Simbolos")</f>
        <v>Tabla de Simbolos</v>
      </c>
      <c r="G30" s="22"/>
      <c r="H30" s="23"/>
    </row>
    <row r="31" ht="15.75" customHeight="1">
      <c r="A31" s="24">
        <v>4.0</v>
      </c>
      <c r="B31" s="21" t="str">
        <f>IFERROR(__xludf.DUMMYFUNCTION("""COMPUTED_VALUE"""),"Diseño Interprete")</f>
        <v>Diseño Interprete</v>
      </c>
      <c r="C31" s="23"/>
      <c r="D31" s="21" t="str">
        <f>IFERROR(__xludf.DUMMYFUNCTION("""COMPUTED_VALUE"""),"Interprete utilizando patron interprete")</f>
        <v>Interprete utilizando patron interprete</v>
      </c>
      <c r="E31" s="23"/>
      <c r="F31" s="21" t="str">
        <f>IFERROR(__xludf.DUMMYFUNCTION("""COMPUTED_VALUE"""),"Declaración de variables")</f>
        <v>Declaración de variables</v>
      </c>
      <c r="G31" s="22"/>
      <c r="H31" s="23"/>
    </row>
    <row r="32" ht="15.75" customHeight="1">
      <c r="A32" s="24">
        <v>5.0</v>
      </c>
      <c r="B32" s="21" t="str">
        <f>IFERROR(__xludf.DUMMYFUNCTION("""COMPUTED_VALUE"""),"Diseño Interprete")</f>
        <v>Diseño Interprete</v>
      </c>
      <c r="C32" s="23"/>
      <c r="D32" s="21" t="str">
        <f>IFERROR(__xludf.DUMMYFUNCTION("""COMPUTED_VALUE"""),"Interprete utilizando patron interprete")</f>
        <v>Interprete utilizando patron interprete</v>
      </c>
      <c r="E32" s="23"/>
      <c r="F32" s="21" t="str">
        <f>IFERROR(__xludf.DUMMYFUNCTION("""COMPUTED_VALUE"""),"Asignación de variables")</f>
        <v>Asignación de variables</v>
      </c>
      <c r="G32" s="22"/>
      <c r="H32" s="23"/>
    </row>
    <row r="33" ht="15.75" customHeight="1">
      <c r="A33" s="24">
        <v>6.0</v>
      </c>
      <c r="B33" s="21" t="str">
        <f>IFERROR(__xludf.DUMMYFUNCTION("""COMPUTED_VALUE"""),"Diseño Interprete")</f>
        <v>Diseño Interprete</v>
      </c>
      <c r="C33" s="23"/>
      <c r="D33" s="21" t="str">
        <f>IFERROR(__xludf.DUMMYFUNCTION("""COMPUTED_VALUE"""),"Interprete utilizando patron interprete")</f>
        <v>Interprete utilizando patron interprete</v>
      </c>
      <c r="E33" s="23"/>
      <c r="F33" s="21" t="str">
        <f>IFERROR(__xludf.DUMMYFUNCTION("""COMPUTED_VALUE"""),"Acceso de variables")</f>
        <v>Acceso de variables</v>
      </c>
      <c r="G33" s="22"/>
      <c r="H33" s="23"/>
    </row>
    <row r="34" ht="15.75" customHeight="1">
      <c r="A34" s="24">
        <v>7.0</v>
      </c>
      <c r="B34" s="21" t="str">
        <f>IFERROR(__xludf.DUMMYFUNCTION("""COMPUTED_VALUE"""),"Diseño Interprete")</f>
        <v>Diseño Interprete</v>
      </c>
      <c r="C34" s="23"/>
      <c r="D34" s="21" t="str">
        <f>IFERROR(__xludf.DUMMYFUNCTION("""COMPUTED_VALUE"""),"Interprete utilizando patron interprete")</f>
        <v>Interprete utilizando patron interprete</v>
      </c>
      <c r="E34" s="23"/>
      <c r="F34" s="21" t="str">
        <f>IFERROR(__xludf.DUMMYFUNCTION("""COMPUTED_VALUE"""),"Definición de entornos de programación")</f>
        <v>Definición de entornos de programación</v>
      </c>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24"/>
      <c r="D39" s="33">
        <v>15.0</v>
      </c>
      <c r="E39" s="22"/>
      <c r="F39" s="22"/>
      <c r="G39" s="22"/>
      <c r="H39" s="23"/>
    </row>
    <row r="40" ht="15.75" customHeight="1">
      <c r="A40" s="24" t="s">
        <v>139</v>
      </c>
      <c r="B40" s="24" t="s">
        <v>137</v>
      </c>
      <c r="C40" s="24" t="s">
        <v>140</v>
      </c>
      <c r="D40" s="33">
        <v>10.0</v>
      </c>
      <c r="E40" s="22"/>
      <c r="F40" s="22"/>
      <c r="G40" s="22"/>
      <c r="H40" s="23"/>
    </row>
    <row r="41" ht="15.75" customHeight="1">
      <c r="A41" s="24" t="s">
        <v>141</v>
      </c>
      <c r="B41" s="24" t="s">
        <v>142</v>
      </c>
      <c r="C41" s="24"/>
      <c r="D41" s="33">
        <v>10.0</v>
      </c>
      <c r="E41" s="22"/>
      <c r="F41" s="22"/>
      <c r="G41" s="22"/>
      <c r="H41" s="23"/>
    </row>
    <row r="42" ht="15.75" customHeight="1">
      <c r="A42" s="24" t="s">
        <v>144</v>
      </c>
      <c r="B42" s="24" t="s">
        <v>137</v>
      </c>
      <c r="C42" s="24"/>
      <c r="D42" s="33">
        <v>25.0</v>
      </c>
      <c r="E42" s="22"/>
      <c r="F42" s="22"/>
      <c r="G42" s="22"/>
      <c r="H42" s="23"/>
    </row>
    <row r="43" ht="15.75" customHeight="1"/>
    <row r="44" ht="15.75" customHeight="1">
      <c r="A44" s="45" t="s">
        <v>145</v>
      </c>
      <c r="G44" s="37" t="s">
        <v>79</v>
      </c>
      <c r="H44" s="46">
        <f>B50+B61</f>
        <v>40</v>
      </c>
    </row>
    <row r="45" ht="15.75" customHeight="1">
      <c r="G45" s="28" t="s">
        <v>146</v>
      </c>
    </row>
    <row r="46" ht="15.75" customHeight="1">
      <c r="A46" s="28" t="s">
        <v>147</v>
      </c>
    </row>
    <row r="47" ht="15.75" customHeight="1">
      <c r="A47" s="32" t="s">
        <v>148</v>
      </c>
      <c r="B47" s="33" t="s">
        <v>12</v>
      </c>
      <c r="C47" s="22"/>
      <c r="D47" s="22"/>
      <c r="E47" s="22"/>
      <c r="F47" s="22"/>
      <c r="G47" s="22"/>
      <c r="H47" s="23"/>
    </row>
    <row r="48" ht="15.75" customHeight="1">
      <c r="A48" s="32" t="s">
        <v>149</v>
      </c>
      <c r="B48" s="21" t="s">
        <v>167</v>
      </c>
      <c r="C48" s="22"/>
      <c r="D48" s="22"/>
      <c r="E48" s="22"/>
      <c r="F48" s="22"/>
      <c r="G48" s="22"/>
      <c r="H48" s="23"/>
    </row>
    <row r="49" ht="15.75" customHeight="1">
      <c r="A49" s="32" t="s">
        <v>115</v>
      </c>
      <c r="B49" s="64">
        <v>0.0</v>
      </c>
      <c r="C49" s="22"/>
      <c r="D49" s="22"/>
      <c r="E49" s="22"/>
      <c r="F49" s="22"/>
      <c r="G49" s="22"/>
      <c r="H49" s="23"/>
    </row>
    <row r="50" ht="15.75" customHeight="1">
      <c r="A50" s="32" t="s">
        <v>79</v>
      </c>
      <c r="B50" s="33">
        <v>40.0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195</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46">
        <f>B70</f>
        <v>2</v>
      </c>
    </row>
    <row r="69" ht="15.75" customHeight="1">
      <c r="G69" s="28" t="s">
        <v>157</v>
      </c>
    </row>
    <row r="70" ht="15.75" customHeight="1">
      <c r="A70" s="32" t="s">
        <v>79</v>
      </c>
      <c r="B70" s="69">
        <v>2.0</v>
      </c>
      <c r="C70" s="22"/>
      <c r="D70" s="22"/>
      <c r="E70" s="22"/>
      <c r="F70" s="22"/>
      <c r="G70" s="22"/>
      <c r="H70" s="23"/>
    </row>
    <row r="71" ht="15.75" customHeight="1">
      <c r="A71" s="59" t="s">
        <v>158</v>
      </c>
      <c r="B71" s="22"/>
      <c r="C71" s="22"/>
      <c r="D71" s="22"/>
      <c r="E71" s="22"/>
      <c r="F71" s="22"/>
      <c r="G71" s="22"/>
      <c r="H71" s="23"/>
    </row>
    <row r="72" ht="15.75" customHeight="1">
      <c r="A72" s="68"/>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114</v>
      </c>
    </row>
    <row r="3" ht="15.75" customHeight="1"/>
    <row r="4" ht="15.75" customHeight="1">
      <c r="B4" s="20" t="s">
        <v>1</v>
      </c>
      <c r="C4" s="21" t="str">
        <f>'Diseño'!C4</f>
        <v>777 - Organización de Lenguajes y Compiladores 1</v>
      </c>
      <c r="D4" s="22"/>
      <c r="E4" s="22"/>
      <c r="F4" s="22"/>
      <c r="G4" s="23"/>
    </row>
    <row r="5" ht="15.75" customHeight="1">
      <c r="B5" s="24" t="s">
        <v>11</v>
      </c>
      <c r="C5" s="21">
        <v>11.0</v>
      </c>
      <c r="D5" s="22"/>
      <c r="E5" s="22"/>
      <c r="F5" s="22"/>
      <c r="G5" s="23"/>
    </row>
    <row r="6" ht="15.75" customHeight="1">
      <c r="B6" s="44" t="s">
        <v>77</v>
      </c>
      <c r="C6" s="21">
        <f>H10+H21+H44+H68</f>
        <v>64</v>
      </c>
      <c r="D6" s="22"/>
      <c r="E6" s="22"/>
      <c r="F6" s="22"/>
      <c r="G6" s="23"/>
      <c r="I6" s="5"/>
    </row>
    <row r="7" ht="15.75" customHeight="1">
      <c r="B7" s="44" t="s">
        <v>115</v>
      </c>
      <c r="C7" s="21">
        <f>B49+B60</f>
        <v>0</v>
      </c>
      <c r="D7" s="22"/>
      <c r="E7" s="22"/>
      <c r="F7" s="22"/>
      <c r="G7" s="23"/>
    </row>
    <row r="8" ht="15.75" customHeight="1">
      <c r="B8" s="44" t="s">
        <v>116</v>
      </c>
      <c r="C8" s="21"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22"/>
      <c r="E8" s="22"/>
      <c r="F8" s="22"/>
      <c r="G8" s="23"/>
      <c r="I8" s="5"/>
      <c r="J8" s="5"/>
      <c r="K8" s="5"/>
    </row>
    <row r="9" ht="15.75" customHeight="1"/>
    <row r="10" ht="15.75" customHeight="1">
      <c r="A10" s="45" t="s">
        <v>117</v>
      </c>
      <c r="G10" s="37" t="s">
        <v>79</v>
      </c>
      <c r="H10" s="46">
        <f>B13</f>
        <v>2</v>
      </c>
    </row>
    <row r="11" ht="15.75" customHeight="1">
      <c r="G11" s="28" t="s">
        <v>118</v>
      </c>
    </row>
    <row r="12" ht="15.75" customHeight="1">
      <c r="A12" s="32" t="s">
        <v>119</v>
      </c>
      <c r="B12" s="33" t="s">
        <v>161</v>
      </c>
      <c r="C12" s="22"/>
      <c r="D12" s="22"/>
      <c r="E12" s="22"/>
      <c r="F12" s="22"/>
      <c r="G12" s="22"/>
      <c r="H12" s="23"/>
    </row>
    <row r="13" ht="15.75" customHeight="1">
      <c r="A13" s="34" t="s">
        <v>79</v>
      </c>
      <c r="B13" s="33">
        <v>2.0</v>
      </c>
      <c r="C13" s="22"/>
      <c r="D13" s="22"/>
      <c r="E13" s="22"/>
      <c r="F13" s="22"/>
      <c r="G13" s="22"/>
      <c r="H13" s="23"/>
    </row>
    <row r="14" ht="15.75" customHeight="1">
      <c r="A14" s="47" t="s">
        <v>121</v>
      </c>
      <c r="B14" s="22"/>
      <c r="C14" s="22"/>
      <c r="D14" s="22"/>
      <c r="E14" s="22"/>
      <c r="F14" s="22"/>
      <c r="G14" s="22"/>
      <c r="H14" s="23"/>
    </row>
    <row r="15" ht="15.75" customHeight="1">
      <c r="A15" s="68"/>
      <c r="B15" s="49"/>
      <c r="C15" s="49"/>
      <c r="D15" s="49"/>
      <c r="E15" s="49"/>
      <c r="F15" s="49"/>
      <c r="G15" s="49"/>
      <c r="H15" s="50"/>
    </row>
    <row r="16" ht="15.75" customHeight="1">
      <c r="A16" s="51"/>
      <c r="B16" s="52"/>
      <c r="C16" s="52"/>
      <c r="D16" s="52"/>
      <c r="E16" s="52"/>
      <c r="F16" s="52"/>
      <c r="G16" s="52"/>
      <c r="H16" s="53"/>
    </row>
    <row r="17" ht="15.75" customHeight="1">
      <c r="A17" s="47" t="s">
        <v>123</v>
      </c>
      <c r="B17" s="22"/>
      <c r="C17" s="22"/>
      <c r="D17" s="22"/>
      <c r="E17" s="22"/>
      <c r="F17" s="22"/>
      <c r="G17" s="22"/>
      <c r="H17" s="23"/>
    </row>
    <row r="18" ht="15.75" customHeight="1">
      <c r="A18" s="48" t="s">
        <v>196</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124</v>
      </c>
      <c r="G21" s="37" t="s">
        <v>79</v>
      </c>
      <c r="H21" s="46">
        <f>D39+D40+D41+D42</f>
        <v>60</v>
      </c>
      <c r="I21" s="5"/>
    </row>
    <row r="22" ht="15.75" customHeight="1">
      <c r="G22" s="28" t="s">
        <v>125</v>
      </c>
    </row>
    <row r="23" ht="15.75" customHeight="1">
      <c r="A23" s="32" t="s">
        <v>126</v>
      </c>
      <c r="B23" s="33" t="s">
        <v>12</v>
      </c>
      <c r="C23" s="22"/>
      <c r="D23" s="22"/>
      <c r="E23" s="22"/>
      <c r="F23" s="22"/>
      <c r="G23" s="22"/>
      <c r="H23" s="23"/>
    </row>
    <row r="24" ht="15.75" customHeight="1">
      <c r="A24" s="32" t="s">
        <v>126</v>
      </c>
      <c r="B24" s="21"/>
      <c r="C24" s="22"/>
      <c r="D24" s="22"/>
      <c r="E24" s="22"/>
      <c r="F24" s="22"/>
      <c r="G24" s="22"/>
      <c r="H24" s="23"/>
    </row>
    <row r="25" ht="15.75" customHeight="1"/>
    <row r="26" ht="15.75" customHeight="1">
      <c r="A26" s="54" t="s">
        <v>128</v>
      </c>
      <c r="B26" s="5"/>
      <c r="C26" s="5"/>
      <c r="D26" s="5"/>
    </row>
    <row r="27" ht="15.75" customHeight="1">
      <c r="A27" s="55" t="s">
        <v>5</v>
      </c>
      <c r="B27" s="56" t="s">
        <v>129</v>
      </c>
      <c r="C27" s="23"/>
      <c r="D27" s="56" t="s">
        <v>130</v>
      </c>
      <c r="E27" s="23"/>
      <c r="F27" s="56" t="s">
        <v>131</v>
      </c>
      <c r="G27" s="22"/>
      <c r="H27" s="23"/>
    </row>
    <row r="28" ht="15.75" customHeight="1">
      <c r="A28" s="24">
        <v>1.0</v>
      </c>
      <c r="B28" s="21" t="str">
        <f>IFERROR(__xludf.DUMMYFUNCTION("FILTER('Diseño'!D:D,'Diseño'!H:H=$C$5)"),"Diseño Interprete")</f>
        <v>Diseño Interprete</v>
      </c>
      <c r="C28" s="23"/>
      <c r="D28" s="21" t="str">
        <f>IFERROR(__xludf.DUMMYFUNCTION("FILTER('Diseño'!E:E,'Diseño'!H:H=$C$5)"),"Interprete utilizando patron interprete")</f>
        <v>Interprete utilizando patron interprete</v>
      </c>
      <c r="E28" s="23"/>
      <c r="F28" s="21" t="str">
        <f>IFERROR(__xludf.DUMMYFUNCTION("FILTER('Diseño'!F:F,'Diseño'!H:H=$C$5)"),"Funcionamiento de la tabla de simbolos")</f>
        <v>Funcionamiento de la tabla de simbolos</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IFERROR(__xludf.DUMMYFUNCTION("""COMPUTED_VALUE"""),"Sentencia IF")</f>
        <v>Sentencia IF</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IFERROR(__xludf.DUMMYFUNCTION("""COMPUTED_VALUE"""),"Sentencia While")</f>
        <v>Sentencia While</v>
      </c>
      <c r="G30" s="22"/>
      <c r="H30" s="23"/>
    </row>
    <row r="31" ht="15.75" customHeight="1">
      <c r="A31" s="24">
        <v>4.0</v>
      </c>
      <c r="B31" s="21" t="str">
        <f>IFERROR(__xludf.DUMMYFUNCTION("""COMPUTED_VALUE"""),"Diseño Interprete")</f>
        <v>Diseño Interprete</v>
      </c>
      <c r="C31" s="23"/>
      <c r="D31" s="21" t="str">
        <f>IFERROR(__xludf.DUMMYFUNCTION("""COMPUTED_VALUE"""),"Interprete utilizando patron interprete")</f>
        <v>Interprete utilizando patron interprete</v>
      </c>
      <c r="E31" s="23"/>
      <c r="F31" s="21" t="str">
        <f>IFERROR(__xludf.DUMMYFUNCTION("""COMPUTED_VALUE"""),"Funcionamiento de las funciones y metodos")</f>
        <v>Funcionamiento de las funciones y metodos</v>
      </c>
      <c r="G31" s="22"/>
      <c r="H31" s="23"/>
    </row>
    <row r="32" ht="15.75" customHeight="1">
      <c r="A32" s="24">
        <v>5.0</v>
      </c>
      <c r="B32" s="21" t="str">
        <f>IFERROR(__xludf.DUMMYFUNCTION("""COMPUTED_VALUE"""),"Diseño Interprete")</f>
        <v>Diseño Interprete</v>
      </c>
      <c r="C32" s="23"/>
      <c r="D32" s="21" t="str">
        <f>IFERROR(__xludf.DUMMYFUNCTION("""COMPUTED_VALUE"""),"Interprete utilizando patron interprete")</f>
        <v>Interprete utilizando patron interprete</v>
      </c>
      <c r="E32" s="23"/>
      <c r="F32" s="21" t="str">
        <f>IFERROR(__xludf.DUMMYFUNCTION("""COMPUTED_VALUE"""),"Llamada de funciones y metodos")</f>
        <v>Llamada de funciones y metodos</v>
      </c>
      <c r="G32" s="22"/>
      <c r="H32" s="23"/>
    </row>
    <row r="33" ht="15.75" customHeight="1">
      <c r="A33" s="24">
        <v>6.0</v>
      </c>
      <c r="B33" s="21" t="str">
        <f>IFERROR(__xludf.DUMMYFUNCTION("""COMPUTED_VALUE"""),"Diseño Interprete")</f>
        <v>Diseño Interprete</v>
      </c>
      <c r="C33" s="23"/>
      <c r="D33" s="21" t="str">
        <f>IFERROR(__xludf.DUMMYFUNCTION("""COMPUTED_VALUE"""),"Interprete utilizando patron interprete")</f>
        <v>Interprete utilizando patron interprete</v>
      </c>
      <c r="E33" s="23"/>
      <c r="F33" s="21" t="str">
        <f>IFERROR(__xludf.DUMMYFUNCTION("""COMPUTED_VALUE"""),"Llamada principal (main)")</f>
        <v>Llamada principal (main)</v>
      </c>
      <c r="G33" s="22"/>
      <c r="H33" s="23"/>
    </row>
    <row r="34" ht="15.75" customHeight="1">
      <c r="A34" s="24">
        <v>7.0</v>
      </c>
      <c r="B34" s="21"/>
      <c r="C34" s="23"/>
      <c r="D34" s="21"/>
      <c r="E34" s="23"/>
      <c r="F34" s="21"/>
      <c r="G34" s="22"/>
      <c r="H34" s="23"/>
    </row>
    <row r="35" ht="15.75" customHeight="1"/>
    <row r="36" ht="15.75" customHeight="1">
      <c r="A36" s="54" t="s">
        <v>132</v>
      </c>
    </row>
    <row r="37" ht="15.75" customHeight="1">
      <c r="A37" s="5"/>
      <c r="B37" s="5"/>
      <c r="C37" s="5"/>
      <c r="D37" s="5"/>
      <c r="E37" s="5"/>
      <c r="F37" s="5"/>
      <c r="G37" s="5"/>
      <c r="H37" s="5"/>
    </row>
    <row r="38" ht="15.75" customHeight="1">
      <c r="A38" s="55" t="s">
        <v>133</v>
      </c>
      <c r="B38" s="55" t="s">
        <v>134</v>
      </c>
      <c r="C38" s="58" t="s">
        <v>135</v>
      </c>
      <c r="D38" s="59" t="s">
        <v>79</v>
      </c>
      <c r="E38" s="22"/>
      <c r="F38" s="22"/>
      <c r="G38" s="22"/>
      <c r="H38" s="23"/>
    </row>
    <row r="39" ht="15.75" customHeight="1">
      <c r="A39" s="24" t="s">
        <v>136</v>
      </c>
      <c r="B39" s="24" t="s">
        <v>137</v>
      </c>
      <c r="C39" s="24"/>
      <c r="D39" s="33">
        <v>20.0</v>
      </c>
      <c r="E39" s="22"/>
      <c r="F39" s="22"/>
      <c r="G39" s="22"/>
      <c r="H39" s="23"/>
    </row>
    <row r="40" ht="15.75" customHeight="1">
      <c r="A40" s="24" t="s">
        <v>139</v>
      </c>
      <c r="B40" s="24" t="s">
        <v>137</v>
      </c>
      <c r="C40" s="24"/>
      <c r="D40" s="33">
        <v>10.0</v>
      </c>
      <c r="E40" s="22"/>
      <c r="F40" s="22"/>
      <c r="G40" s="22"/>
      <c r="H40" s="23"/>
    </row>
    <row r="41" ht="15.75" customHeight="1">
      <c r="A41" s="24" t="s">
        <v>141</v>
      </c>
      <c r="B41" s="24" t="s">
        <v>142</v>
      </c>
      <c r="C41" s="24"/>
      <c r="D41" s="33">
        <v>10.0</v>
      </c>
      <c r="E41" s="22"/>
      <c r="F41" s="22"/>
      <c r="G41" s="22"/>
      <c r="H41" s="23"/>
    </row>
    <row r="42" ht="15.75" customHeight="1">
      <c r="A42" s="24" t="s">
        <v>144</v>
      </c>
      <c r="B42" s="24" t="s">
        <v>137</v>
      </c>
      <c r="C42" s="24"/>
      <c r="D42" s="33">
        <v>20.0</v>
      </c>
      <c r="E42" s="22"/>
      <c r="F42" s="22"/>
      <c r="G42" s="22"/>
      <c r="H42" s="23"/>
    </row>
    <row r="43" ht="15.75" customHeight="1"/>
    <row r="44" ht="15.75" customHeight="1">
      <c r="A44" s="45" t="s">
        <v>145</v>
      </c>
      <c r="G44" s="37" t="s">
        <v>79</v>
      </c>
      <c r="H44" s="46">
        <f>B50+B61</f>
        <v>0</v>
      </c>
    </row>
    <row r="45" ht="15.75" customHeight="1">
      <c r="G45" s="28" t="s">
        <v>146</v>
      </c>
    </row>
    <row r="46" ht="15.75" customHeight="1">
      <c r="A46" s="28" t="s">
        <v>147</v>
      </c>
    </row>
    <row r="47" ht="15.75" customHeight="1">
      <c r="A47" s="32" t="s">
        <v>148</v>
      </c>
      <c r="B47" s="33" t="s">
        <v>12</v>
      </c>
      <c r="C47" s="22"/>
      <c r="D47" s="22"/>
      <c r="E47" s="22"/>
      <c r="F47" s="22"/>
      <c r="G47" s="22"/>
      <c r="H47" s="23"/>
    </row>
    <row r="48" ht="15.75" customHeight="1">
      <c r="A48" s="32" t="s">
        <v>149</v>
      </c>
      <c r="B48" s="21" t="s">
        <v>197</v>
      </c>
      <c r="C48" s="22"/>
      <c r="D48" s="22"/>
      <c r="E48" s="22"/>
      <c r="F48" s="22"/>
      <c r="G48" s="22"/>
      <c r="H48" s="23"/>
    </row>
    <row r="49" ht="15.75" customHeight="1">
      <c r="A49" s="32" t="s">
        <v>115</v>
      </c>
      <c r="B49" s="64">
        <v>0.0</v>
      </c>
      <c r="C49" s="22"/>
      <c r="D49" s="22"/>
      <c r="E49" s="22"/>
      <c r="F49" s="22"/>
      <c r="G49" s="22"/>
      <c r="H49" s="23"/>
    </row>
    <row r="50" ht="15.75" customHeight="1">
      <c r="A50" s="32" t="s">
        <v>79</v>
      </c>
      <c r="B50" s="21">
        <v>0.0</v>
      </c>
      <c r="C50" s="22"/>
      <c r="D50" s="22"/>
      <c r="E50" s="22"/>
      <c r="F50" s="22"/>
      <c r="G50" s="22"/>
      <c r="H50" s="23"/>
    </row>
    <row r="51" ht="15.75" customHeight="1">
      <c r="A51" s="40" t="s">
        <v>151</v>
      </c>
      <c r="B51" s="5"/>
      <c r="C51" s="5"/>
      <c r="D51" s="5"/>
      <c r="E51" s="5"/>
      <c r="F51" s="5"/>
      <c r="G51" s="5"/>
      <c r="H51" s="5"/>
    </row>
    <row r="52" ht="15.75" customHeight="1">
      <c r="A52" s="47" t="s">
        <v>152</v>
      </c>
      <c r="B52" s="22"/>
      <c r="C52" s="22"/>
      <c r="D52" s="22"/>
      <c r="E52" s="22"/>
      <c r="F52" s="22"/>
      <c r="G52" s="22"/>
      <c r="H52" s="23"/>
    </row>
    <row r="53" ht="15.75" customHeight="1">
      <c r="A53" s="48" t="s">
        <v>198</v>
      </c>
      <c r="B53" s="49"/>
      <c r="C53" s="49"/>
      <c r="D53" s="49"/>
      <c r="E53" s="49"/>
      <c r="F53" s="49"/>
      <c r="G53" s="49"/>
      <c r="H53" s="50"/>
    </row>
    <row r="54" ht="15.75" customHeight="1">
      <c r="A54" s="65"/>
      <c r="H54" s="66"/>
    </row>
    <row r="55" ht="15.75" customHeight="1">
      <c r="A55" s="51"/>
      <c r="B55" s="52"/>
      <c r="C55" s="52"/>
      <c r="D55" s="52"/>
      <c r="E55" s="52"/>
      <c r="F55" s="52"/>
      <c r="G55" s="52"/>
      <c r="H55" s="53"/>
    </row>
    <row r="56" ht="15.75" customHeight="1"/>
    <row r="57" ht="15.75" customHeight="1">
      <c r="A57" s="28" t="s">
        <v>154</v>
      </c>
    </row>
    <row r="58" ht="15.75" customHeight="1">
      <c r="A58" s="32" t="s">
        <v>148</v>
      </c>
      <c r="B58" s="21"/>
      <c r="C58" s="22"/>
      <c r="D58" s="22"/>
      <c r="E58" s="22"/>
      <c r="F58" s="22"/>
      <c r="G58" s="22"/>
      <c r="H58" s="23"/>
    </row>
    <row r="59" ht="15.75" customHeight="1">
      <c r="A59" s="32" t="s">
        <v>149</v>
      </c>
      <c r="B59" s="21"/>
      <c r="C59" s="22"/>
      <c r="D59" s="22"/>
      <c r="E59" s="22"/>
      <c r="F59" s="22"/>
      <c r="G59" s="22"/>
      <c r="H59" s="23"/>
    </row>
    <row r="60" ht="15.75" customHeight="1">
      <c r="A60" s="32" t="s">
        <v>115</v>
      </c>
      <c r="B60" s="64"/>
      <c r="C60" s="22"/>
      <c r="D60" s="22"/>
      <c r="E60" s="22"/>
      <c r="F60" s="22"/>
      <c r="G60" s="22"/>
      <c r="H60" s="23"/>
    </row>
    <row r="61" ht="15.75" customHeight="1">
      <c r="A61" s="32" t="s">
        <v>79</v>
      </c>
      <c r="B61" s="64"/>
      <c r="C61" s="22"/>
      <c r="D61" s="22"/>
      <c r="E61" s="22"/>
      <c r="F61" s="22"/>
      <c r="G61" s="22"/>
      <c r="H61" s="23"/>
    </row>
    <row r="62" ht="15.75" customHeight="1">
      <c r="A62" s="67" t="s">
        <v>155</v>
      </c>
      <c r="B62" s="5"/>
      <c r="C62" s="5"/>
      <c r="D62" s="5"/>
      <c r="E62" s="5"/>
      <c r="F62" s="5"/>
      <c r="G62" s="5"/>
      <c r="H62" s="5"/>
    </row>
    <row r="63" ht="15.75" customHeight="1">
      <c r="A63" s="47" t="s">
        <v>152</v>
      </c>
      <c r="B63" s="22"/>
      <c r="C63" s="22"/>
      <c r="D63" s="22"/>
      <c r="E63" s="22"/>
      <c r="F63" s="22"/>
      <c r="G63" s="22"/>
      <c r="H63" s="23"/>
    </row>
    <row r="64" ht="15.75" customHeight="1">
      <c r="A64" s="68"/>
      <c r="B64" s="49"/>
      <c r="C64" s="49"/>
      <c r="D64" s="49"/>
      <c r="E64" s="49"/>
      <c r="F64" s="49"/>
      <c r="G64" s="49"/>
      <c r="H64" s="50"/>
    </row>
    <row r="65" ht="15.75" customHeight="1">
      <c r="A65" s="65"/>
      <c r="H65" s="66"/>
    </row>
    <row r="66" ht="15.75" customHeight="1">
      <c r="A66" s="51"/>
      <c r="B66" s="52"/>
      <c r="C66" s="52"/>
      <c r="D66" s="52"/>
      <c r="E66" s="52"/>
      <c r="F66" s="52"/>
      <c r="G66" s="52"/>
      <c r="H66" s="53"/>
    </row>
    <row r="67" ht="15.75" customHeight="1"/>
    <row r="68" ht="15.75" customHeight="1">
      <c r="A68" s="45" t="s">
        <v>156</v>
      </c>
      <c r="G68" s="37" t="s">
        <v>79</v>
      </c>
      <c r="H68" s="46">
        <f>B70</f>
        <v>2</v>
      </c>
    </row>
    <row r="69" ht="15.75" customHeight="1">
      <c r="G69" s="28" t="s">
        <v>157</v>
      </c>
    </row>
    <row r="70" ht="15.75" customHeight="1">
      <c r="A70" s="32" t="s">
        <v>79</v>
      </c>
      <c r="B70" s="69">
        <v>2.0</v>
      </c>
      <c r="C70" s="22"/>
      <c r="D70" s="22"/>
      <c r="E70" s="22"/>
      <c r="F70" s="22"/>
      <c r="G70" s="22"/>
      <c r="H70" s="23"/>
    </row>
    <row r="71" ht="15.75" customHeight="1">
      <c r="A71" s="59" t="s">
        <v>158</v>
      </c>
      <c r="B71" s="22"/>
      <c r="C71" s="22"/>
      <c r="D71" s="22"/>
      <c r="E71" s="22"/>
      <c r="F71" s="22"/>
      <c r="G71" s="22"/>
      <c r="H71" s="23"/>
    </row>
    <row r="72" ht="15.75" customHeight="1">
      <c r="A72" s="68"/>
      <c r="B72" s="49"/>
      <c r="C72" s="49"/>
      <c r="D72" s="49"/>
      <c r="E72" s="49"/>
      <c r="F72" s="49"/>
      <c r="G72" s="49"/>
      <c r="H72" s="50"/>
    </row>
    <row r="73" ht="15.75" customHeight="1">
      <c r="A73" s="51"/>
      <c r="B73" s="52"/>
      <c r="C73" s="52"/>
      <c r="D73" s="52"/>
      <c r="E73" s="52"/>
      <c r="F73" s="52"/>
      <c r="G73" s="52"/>
      <c r="H73" s="53"/>
    </row>
    <row r="74" ht="15.75" customHeight="1">
      <c r="A74" s="28" t="s">
        <v>160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199</v>
      </c>
    </row>
    <row r="3" ht="15.75" customHeight="1"/>
    <row r="4" ht="15.75" customHeight="1">
      <c r="B4" s="20" t="s">
        <v>1</v>
      </c>
      <c r="C4" s="21" t="str">
        <f>'Diseño'!C4</f>
        <v>777 - Organización de Lenguajes y Compiladores 1</v>
      </c>
      <c r="D4" s="22"/>
      <c r="E4" s="22"/>
      <c r="F4" s="22"/>
      <c r="G4" s="23"/>
    </row>
    <row r="5" ht="15.75" customHeight="1">
      <c r="B5" s="44" t="s">
        <v>77</v>
      </c>
      <c r="C5" s="21">
        <f>H9+H26+H43</f>
        <v>0</v>
      </c>
      <c r="D5" s="22"/>
      <c r="E5" s="22"/>
      <c r="F5" s="22"/>
      <c r="G5" s="23"/>
    </row>
    <row r="6" ht="15.75" customHeight="1">
      <c r="B6" s="44" t="s">
        <v>115</v>
      </c>
      <c r="C6" s="21">
        <f>F9+F26+F43</f>
        <v>100</v>
      </c>
      <c r="D6" s="22"/>
      <c r="E6" s="22"/>
      <c r="F6" s="22"/>
      <c r="G6" s="23"/>
    </row>
    <row r="7" ht="15.75" customHeight="1">
      <c r="B7" s="6" t="s">
        <v>200</v>
      </c>
    </row>
    <row r="8" ht="15.75" customHeight="1"/>
    <row r="9" ht="15.75" customHeight="1">
      <c r="A9" s="45" t="s">
        <v>201</v>
      </c>
      <c r="E9" s="37" t="s">
        <v>115</v>
      </c>
      <c r="F9" s="70">
        <v>45.0</v>
      </c>
      <c r="G9" s="37" t="s">
        <v>202</v>
      </c>
      <c r="H9" s="46"/>
    </row>
    <row r="10" ht="15.75" customHeight="1">
      <c r="A10" s="6" t="s">
        <v>137</v>
      </c>
    </row>
    <row r="11" ht="15.75" customHeight="1">
      <c r="A11" s="55" t="s">
        <v>126</v>
      </c>
      <c r="B11" s="33" t="s">
        <v>58</v>
      </c>
      <c r="C11" s="22"/>
      <c r="D11" s="22"/>
      <c r="E11" s="22"/>
      <c r="F11" s="22"/>
      <c r="G11" s="22"/>
      <c r="H11" s="23"/>
    </row>
    <row r="12" ht="15.75" customHeight="1">
      <c r="A12" s="55" t="s">
        <v>126</v>
      </c>
      <c r="B12" s="33" t="s">
        <v>40</v>
      </c>
      <c r="C12" s="22"/>
      <c r="D12" s="22"/>
      <c r="E12" s="22"/>
      <c r="F12" s="22"/>
      <c r="G12" s="22"/>
      <c r="H12" s="23"/>
    </row>
    <row r="13" ht="15.75" customHeight="1">
      <c r="A13" s="55" t="s">
        <v>126</v>
      </c>
      <c r="B13" s="21"/>
      <c r="C13" s="22"/>
      <c r="D13" s="22"/>
      <c r="E13" s="22"/>
      <c r="F13" s="22"/>
      <c r="G13" s="22"/>
      <c r="H13" s="23"/>
    </row>
    <row r="14" ht="15.75" customHeight="1">
      <c r="A14" s="55" t="s">
        <v>203</v>
      </c>
      <c r="B14" s="33" t="s">
        <v>204</v>
      </c>
      <c r="C14" s="22"/>
      <c r="D14" s="22"/>
      <c r="E14" s="22"/>
      <c r="F14" s="22"/>
      <c r="G14" s="22"/>
      <c r="H14" s="23"/>
    </row>
    <row r="15" ht="15.75" customHeight="1">
      <c r="A15" s="47" t="s">
        <v>205</v>
      </c>
      <c r="B15" s="22"/>
      <c r="C15" s="22"/>
      <c r="D15" s="22"/>
      <c r="E15" s="22"/>
      <c r="F15" s="22"/>
      <c r="G15" s="22"/>
      <c r="H15" s="23"/>
    </row>
    <row r="16" ht="15.75" customHeight="1">
      <c r="A16" s="48" t="s">
        <v>206</v>
      </c>
      <c r="B16" s="49"/>
      <c r="C16" s="49"/>
      <c r="D16" s="49"/>
      <c r="E16" s="49"/>
      <c r="F16" s="49"/>
      <c r="G16" s="49"/>
      <c r="H16" s="50"/>
    </row>
    <row r="17" ht="15.75" customHeight="1">
      <c r="A17" s="65"/>
      <c r="H17" s="66"/>
    </row>
    <row r="18" ht="15.75" customHeight="1">
      <c r="A18" s="51"/>
      <c r="B18" s="52"/>
      <c r="C18" s="52"/>
      <c r="D18" s="52"/>
      <c r="E18" s="52"/>
      <c r="F18" s="52"/>
      <c r="G18" s="52"/>
      <c r="H18" s="53"/>
    </row>
    <row r="19" ht="15.75" customHeight="1">
      <c r="A19" s="47" t="s">
        <v>207</v>
      </c>
      <c r="B19" s="22"/>
      <c r="C19" s="22"/>
      <c r="D19" s="22"/>
      <c r="E19" s="22"/>
      <c r="F19" s="22"/>
      <c r="G19" s="22"/>
      <c r="H19" s="23"/>
    </row>
    <row r="20" ht="15.75" customHeight="1">
      <c r="A20" s="48" t="s">
        <v>208</v>
      </c>
      <c r="B20" s="49"/>
      <c r="C20" s="49"/>
      <c r="D20" s="49"/>
      <c r="E20" s="49"/>
      <c r="F20" s="49"/>
      <c r="G20" s="49"/>
      <c r="H20" s="50"/>
    </row>
    <row r="21" ht="15.75" customHeight="1">
      <c r="A21" s="65"/>
      <c r="H21" s="66"/>
    </row>
    <row r="22" ht="15.75" customHeight="1">
      <c r="A22" s="65"/>
      <c r="H22" s="66"/>
    </row>
    <row r="23" ht="15.75" customHeight="1">
      <c r="A23" s="51"/>
      <c r="B23" s="52"/>
      <c r="C23" s="52"/>
      <c r="D23" s="52"/>
      <c r="E23" s="52"/>
      <c r="F23" s="52"/>
      <c r="G23" s="52"/>
      <c r="H23" s="53"/>
    </row>
    <row r="24" ht="15.75" customHeight="1"/>
    <row r="25" ht="15.75" customHeight="1"/>
    <row r="26" ht="15.75" customHeight="1">
      <c r="A26" s="45" t="s">
        <v>209</v>
      </c>
      <c r="E26" s="37" t="s">
        <v>115</v>
      </c>
      <c r="F26" s="70">
        <v>55.0</v>
      </c>
      <c r="G26" s="37" t="s">
        <v>202</v>
      </c>
      <c r="H26" s="46"/>
    </row>
    <row r="27" ht="15.75" customHeight="1">
      <c r="A27" s="6" t="s">
        <v>137</v>
      </c>
    </row>
    <row r="28" ht="15.75" customHeight="1">
      <c r="A28" s="55" t="s">
        <v>126</v>
      </c>
      <c r="B28" s="33" t="s">
        <v>58</v>
      </c>
      <c r="C28" s="22"/>
      <c r="D28" s="22"/>
      <c r="E28" s="22"/>
      <c r="F28" s="22"/>
      <c r="G28" s="22"/>
      <c r="H28" s="23"/>
    </row>
    <row r="29" ht="15.75" customHeight="1">
      <c r="A29" s="55" t="s">
        <v>126</v>
      </c>
      <c r="B29" s="33" t="s">
        <v>60</v>
      </c>
      <c r="C29" s="22"/>
      <c r="D29" s="22"/>
      <c r="E29" s="22"/>
      <c r="F29" s="22"/>
      <c r="G29" s="22"/>
      <c r="H29" s="23"/>
    </row>
    <row r="30" ht="15.75" customHeight="1">
      <c r="A30" s="55" t="s">
        <v>126</v>
      </c>
      <c r="B30" s="21"/>
      <c r="C30" s="22"/>
      <c r="D30" s="22"/>
      <c r="E30" s="22"/>
      <c r="F30" s="22"/>
      <c r="G30" s="22"/>
      <c r="H30" s="23"/>
    </row>
    <row r="31" ht="15.75" customHeight="1">
      <c r="A31" s="55" t="s">
        <v>203</v>
      </c>
      <c r="B31" s="33" t="s">
        <v>210</v>
      </c>
      <c r="C31" s="22"/>
      <c r="D31" s="22"/>
      <c r="E31" s="22"/>
      <c r="F31" s="22"/>
      <c r="G31" s="22"/>
      <c r="H31" s="23"/>
    </row>
    <row r="32" ht="15.75" customHeight="1">
      <c r="A32" s="47" t="s">
        <v>205</v>
      </c>
      <c r="B32" s="22"/>
      <c r="C32" s="22"/>
      <c r="D32" s="22"/>
      <c r="E32" s="22"/>
      <c r="F32" s="22"/>
      <c r="G32" s="22"/>
      <c r="H32" s="23"/>
    </row>
    <row r="33" ht="15.75" customHeight="1">
      <c r="A33" s="48" t="s">
        <v>211</v>
      </c>
      <c r="B33" s="49"/>
      <c r="C33" s="49"/>
      <c r="D33" s="49"/>
      <c r="E33" s="49"/>
      <c r="F33" s="49"/>
      <c r="G33" s="49"/>
      <c r="H33" s="50"/>
    </row>
    <row r="34" ht="15.75" customHeight="1">
      <c r="A34" s="65"/>
      <c r="H34" s="66"/>
    </row>
    <row r="35" ht="15.75" customHeight="1">
      <c r="A35" s="51"/>
      <c r="B35" s="52"/>
      <c r="C35" s="52"/>
      <c r="D35" s="52"/>
      <c r="E35" s="52"/>
      <c r="F35" s="52"/>
      <c r="G35" s="52"/>
      <c r="H35" s="53"/>
    </row>
    <row r="36" ht="15.75" customHeight="1">
      <c r="A36" s="47" t="s">
        <v>207</v>
      </c>
      <c r="B36" s="22"/>
      <c r="C36" s="22"/>
      <c r="D36" s="22"/>
      <c r="E36" s="22"/>
      <c r="F36" s="22"/>
      <c r="G36" s="22"/>
      <c r="H36" s="23"/>
    </row>
    <row r="37" ht="15.75" customHeight="1">
      <c r="A37" s="48" t="s">
        <v>212</v>
      </c>
      <c r="B37" s="49"/>
      <c r="C37" s="49"/>
      <c r="D37" s="49"/>
      <c r="E37" s="49"/>
      <c r="F37" s="49"/>
      <c r="G37" s="49"/>
      <c r="H37" s="50"/>
    </row>
    <row r="38" ht="15.75" customHeight="1">
      <c r="A38" s="65"/>
      <c r="H38" s="66"/>
    </row>
    <row r="39" ht="15.75" customHeight="1">
      <c r="A39" s="65"/>
      <c r="H39" s="66"/>
    </row>
    <row r="40" ht="15.75" customHeight="1">
      <c r="A40" s="51"/>
      <c r="B40" s="52"/>
      <c r="C40" s="52"/>
      <c r="D40" s="52"/>
      <c r="E40" s="52"/>
      <c r="F40" s="52"/>
      <c r="G40" s="52"/>
      <c r="H40" s="53"/>
    </row>
    <row r="41" ht="15.75" customHeight="1"/>
    <row r="42" ht="15.75" customHeight="1"/>
    <row r="43" ht="15.75" customHeight="1">
      <c r="A43" s="45" t="s">
        <v>213</v>
      </c>
      <c r="E43" s="37" t="s">
        <v>115</v>
      </c>
      <c r="F43" s="46"/>
      <c r="G43" s="37" t="s">
        <v>202</v>
      </c>
      <c r="H43" s="46"/>
    </row>
    <row r="44" ht="15.75" customHeight="1">
      <c r="A44" s="40" t="s">
        <v>214</v>
      </c>
    </row>
    <row r="45" ht="15.75" customHeight="1">
      <c r="A45" s="55" t="s">
        <v>126</v>
      </c>
      <c r="B45" s="21"/>
      <c r="C45" s="22"/>
      <c r="D45" s="22"/>
      <c r="E45" s="22"/>
      <c r="F45" s="22"/>
      <c r="G45" s="22"/>
      <c r="H45" s="23"/>
    </row>
    <row r="46" ht="15.75" customHeight="1">
      <c r="A46" s="55" t="s">
        <v>126</v>
      </c>
      <c r="B46" s="21"/>
      <c r="C46" s="22"/>
      <c r="D46" s="22"/>
      <c r="E46" s="22"/>
      <c r="F46" s="22"/>
      <c r="G46" s="22"/>
      <c r="H46" s="23"/>
    </row>
    <row r="47" ht="15.75" customHeight="1">
      <c r="A47" s="55" t="s">
        <v>126</v>
      </c>
      <c r="B47" s="21"/>
      <c r="C47" s="22"/>
      <c r="D47" s="22"/>
      <c r="E47" s="22"/>
      <c r="F47" s="22"/>
      <c r="G47" s="22"/>
      <c r="H47" s="23"/>
    </row>
    <row r="48" ht="15.75" customHeight="1">
      <c r="A48" s="55" t="s">
        <v>203</v>
      </c>
      <c r="B48" s="21"/>
      <c r="C48" s="22"/>
      <c r="D48" s="22"/>
      <c r="E48" s="22"/>
      <c r="F48" s="22"/>
      <c r="G48" s="22"/>
      <c r="H48" s="23"/>
    </row>
    <row r="49" ht="15.75" customHeight="1">
      <c r="A49" s="47" t="s">
        <v>205</v>
      </c>
      <c r="B49" s="22"/>
      <c r="C49" s="22"/>
      <c r="D49" s="22"/>
      <c r="E49" s="22"/>
      <c r="F49" s="22"/>
      <c r="G49" s="22"/>
      <c r="H49" s="23"/>
    </row>
    <row r="50" ht="15.75" customHeight="1">
      <c r="A50" s="68"/>
      <c r="B50" s="49"/>
      <c r="C50" s="49"/>
      <c r="D50" s="49"/>
      <c r="E50" s="49"/>
      <c r="F50" s="49"/>
      <c r="G50" s="49"/>
      <c r="H50" s="50"/>
    </row>
    <row r="51" ht="15.75" customHeight="1">
      <c r="A51" s="65"/>
      <c r="H51" s="66"/>
    </row>
    <row r="52" ht="15.75" customHeight="1">
      <c r="A52" s="51"/>
      <c r="B52" s="52"/>
      <c r="C52" s="52"/>
      <c r="D52" s="52"/>
      <c r="E52" s="52"/>
      <c r="F52" s="52"/>
      <c r="G52" s="52"/>
      <c r="H52" s="53"/>
    </row>
    <row r="53" ht="15.75" customHeight="1">
      <c r="A53" s="47" t="s">
        <v>207</v>
      </c>
      <c r="B53" s="22"/>
      <c r="C53" s="22"/>
      <c r="D53" s="22"/>
      <c r="E53" s="22"/>
      <c r="F53" s="22"/>
      <c r="G53" s="22"/>
      <c r="H53" s="23"/>
    </row>
    <row r="54" ht="15.75" customHeight="1">
      <c r="A54" s="68"/>
      <c r="B54" s="49"/>
      <c r="C54" s="49"/>
      <c r="D54" s="49"/>
      <c r="E54" s="49"/>
      <c r="F54" s="49"/>
      <c r="G54" s="49"/>
      <c r="H54" s="50"/>
    </row>
    <row r="55" ht="15.75" customHeight="1">
      <c r="A55" s="65"/>
      <c r="H55" s="66"/>
    </row>
    <row r="56" ht="15.75" customHeight="1">
      <c r="A56" s="65"/>
      <c r="H56" s="66"/>
    </row>
    <row r="57" ht="15.75" customHeight="1">
      <c r="A57" s="51"/>
      <c r="B57" s="52"/>
      <c r="C57" s="52"/>
      <c r="D57" s="52"/>
      <c r="E57" s="52"/>
      <c r="F57" s="52"/>
      <c r="G57" s="52"/>
      <c r="H57" s="5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71" t="s">
        <v>215</v>
      </c>
    </row>
    <row r="3" ht="15.75" customHeight="1"/>
    <row r="4" ht="15.75" customHeight="1">
      <c r="B4" s="20" t="s">
        <v>1</v>
      </c>
      <c r="C4" s="21" t="str">
        <f>'Diseño'!C4</f>
        <v>777 - Organización de Lenguajes y Compiladores 1</v>
      </c>
      <c r="D4" s="22"/>
      <c r="E4" s="22"/>
      <c r="F4" s="22"/>
      <c r="G4" s="23"/>
    </row>
    <row r="5" ht="15.75" customHeight="1">
      <c r="B5" s="44" t="s">
        <v>77</v>
      </c>
      <c r="C5" s="21">
        <f>H9+H26+H43+H60+H77+H94+H111</f>
        <v>5</v>
      </c>
      <c r="D5" s="22"/>
      <c r="E5" s="22"/>
      <c r="F5" s="22"/>
      <c r="G5" s="23"/>
    </row>
    <row r="6" ht="15.75" customHeight="1">
      <c r="B6" s="44" t="s">
        <v>115</v>
      </c>
      <c r="C6" s="21">
        <f>F9+F26+F43+F60+F77+F94+F111</f>
        <v>0</v>
      </c>
      <c r="D6" s="22"/>
      <c r="E6" s="22"/>
      <c r="F6" s="22"/>
      <c r="G6" s="23"/>
    </row>
    <row r="7" ht="15.75" customHeight="1">
      <c r="B7" s="6" t="s">
        <v>216</v>
      </c>
    </row>
    <row r="8" ht="15.75" customHeight="1"/>
    <row r="9" ht="15.75" customHeight="1">
      <c r="A9" s="45" t="s">
        <v>217</v>
      </c>
      <c r="E9" s="37" t="s">
        <v>115</v>
      </c>
      <c r="F9" s="70">
        <v>0.0</v>
      </c>
      <c r="G9" s="37" t="s">
        <v>202</v>
      </c>
      <c r="H9" s="70">
        <v>1.0</v>
      </c>
    </row>
    <row r="10" ht="15.75" customHeight="1">
      <c r="A10" s="6" t="s">
        <v>218</v>
      </c>
    </row>
    <row r="11" ht="15.75" customHeight="1">
      <c r="A11" s="55" t="s">
        <v>126</v>
      </c>
      <c r="B11" s="33" t="s">
        <v>40</v>
      </c>
      <c r="C11" s="22"/>
      <c r="D11" s="22"/>
      <c r="E11" s="22"/>
      <c r="F11" s="22"/>
      <c r="G11" s="22"/>
      <c r="H11" s="23"/>
    </row>
    <row r="12" ht="15.75" customHeight="1">
      <c r="A12" s="55" t="s">
        <v>126</v>
      </c>
      <c r="B12" s="21"/>
      <c r="C12" s="22"/>
      <c r="D12" s="22"/>
      <c r="E12" s="22"/>
      <c r="F12" s="22"/>
      <c r="G12" s="22"/>
      <c r="H12" s="23"/>
    </row>
    <row r="13" ht="15.75" customHeight="1">
      <c r="A13" s="55" t="s">
        <v>126</v>
      </c>
      <c r="B13" s="21"/>
      <c r="C13" s="22"/>
      <c r="D13" s="22"/>
      <c r="E13" s="22"/>
      <c r="F13" s="22"/>
      <c r="G13" s="22"/>
      <c r="H13" s="23"/>
    </row>
    <row r="14" ht="15.75" customHeight="1">
      <c r="A14" s="55" t="s">
        <v>203</v>
      </c>
      <c r="B14" s="33" t="s">
        <v>219</v>
      </c>
      <c r="C14" s="22"/>
      <c r="D14" s="22"/>
      <c r="E14" s="22"/>
      <c r="F14" s="22"/>
      <c r="G14" s="22"/>
      <c r="H14" s="23"/>
    </row>
    <row r="15" ht="15.75" customHeight="1">
      <c r="A15" s="47" t="s">
        <v>205</v>
      </c>
      <c r="B15" s="22"/>
      <c r="C15" s="22"/>
      <c r="D15" s="22"/>
      <c r="E15" s="22"/>
      <c r="F15" s="22"/>
      <c r="G15" s="22"/>
      <c r="H15" s="23"/>
    </row>
    <row r="16" ht="15.75" customHeight="1">
      <c r="A16" s="48" t="s">
        <v>220</v>
      </c>
      <c r="B16" s="49"/>
      <c r="C16" s="49"/>
      <c r="D16" s="49"/>
      <c r="E16" s="49"/>
      <c r="F16" s="49"/>
      <c r="G16" s="49"/>
      <c r="H16" s="50"/>
    </row>
    <row r="17" ht="15.75" customHeight="1">
      <c r="A17" s="65"/>
      <c r="H17" s="66"/>
    </row>
    <row r="18" ht="15.75" customHeight="1">
      <c r="A18" s="51"/>
      <c r="B18" s="52"/>
      <c r="C18" s="52"/>
      <c r="D18" s="52"/>
      <c r="E18" s="52"/>
      <c r="F18" s="52"/>
      <c r="G18" s="52"/>
      <c r="H18" s="53"/>
    </row>
    <row r="19" ht="15.75" customHeight="1">
      <c r="A19" s="47" t="s">
        <v>207</v>
      </c>
      <c r="B19" s="22"/>
      <c r="C19" s="22"/>
      <c r="D19" s="22"/>
      <c r="E19" s="22"/>
      <c r="F19" s="22"/>
      <c r="G19" s="22"/>
      <c r="H19" s="23"/>
    </row>
    <row r="20" ht="15.75" customHeight="1">
      <c r="A20" s="48" t="s">
        <v>221</v>
      </c>
      <c r="B20" s="49"/>
      <c r="C20" s="49"/>
      <c r="D20" s="49"/>
      <c r="E20" s="49"/>
      <c r="F20" s="49"/>
      <c r="G20" s="49"/>
      <c r="H20" s="50"/>
    </row>
    <row r="21" ht="15.75" customHeight="1">
      <c r="A21" s="65"/>
      <c r="H21" s="66"/>
    </row>
    <row r="22" ht="15.75" customHeight="1">
      <c r="A22" s="65"/>
      <c r="H22" s="66"/>
    </row>
    <row r="23" ht="15.75" customHeight="1">
      <c r="A23" s="51"/>
      <c r="B23" s="52"/>
      <c r="C23" s="52"/>
      <c r="D23" s="52"/>
      <c r="E23" s="52"/>
      <c r="F23" s="52"/>
      <c r="G23" s="52"/>
      <c r="H23" s="53"/>
    </row>
    <row r="24" ht="15.75" customHeight="1"/>
    <row r="25" ht="15.75" customHeight="1"/>
    <row r="26" ht="15.75" customHeight="1">
      <c r="A26" s="45" t="s">
        <v>222</v>
      </c>
      <c r="E26" s="37" t="s">
        <v>115</v>
      </c>
      <c r="F26" s="70">
        <v>0.0</v>
      </c>
      <c r="G26" s="37" t="s">
        <v>202</v>
      </c>
      <c r="H26" s="70">
        <v>1.0</v>
      </c>
    </row>
    <row r="27" ht="15.75" customHeight="1">
      <c r="A27" s="40" t="s">
        <v>214</v>
      </c>
    </row>
    <row r="28" ht="15.75" customHeight="1">
      <c r="A28" s="55" t="s">
        <v>126</v>
      </c>
      <c r="B28" s="33" t="s">
        <v>58</v>
      </c>
      <c r="C28" s="22"/>
      <c r="D28" s="22"/>
      <c r="E28" s="22"/>
      <c r="F28" s="22"/>
      <c r="G28" s="22"/>
      <c r="H28" s="23"/>
    </row>
    <row r="29" ht="15.75" customHeight="1">
      <c r="A29" s="55" t="s">
        <v>126</v>
      </c>
      <c r="B29" s="21"/>
      <c r="C29" s="22"/>
      <c r="D29" s="22"/>
      <c r="E29" s="22"/>
      <c r="F29" s="22"/>
      <c r="G29" s="22"/>
      <c r="H29" s="23"/>
    </row>
    <row r="30" ht="15.75" customHeight="1">
      <c r="A30" s="55" t="s">
        <v>126</v>
      </c>
      <c r="B30" s="21"/>
      <c r="C30" s="22"/>
      <c r="D30" s="22"/>
      <c r="E30" s="22"/>
      <c r="F30" s="22"/>
      <c r="G30" s="22"/>
      <c r="H30" s="23"/>
    </row>
    <row r="31" ht="15.75" customHeight="1">
      <c r="A31" s="55" t="s">
        <v>203</v>
      </c>
      <c r="B31" s="33" t="s">
        <v>223</v>
      </c>
      <c r="C31" s="22"/>
      <c r="D31" s="22"/>
      <c r="E31" s="22"/>
      <c r="F31" s="22"/>
      <c r="G31" s="22"/>
      <c r="H31" s="23"/>
    </row>
    <row r="32" ht="15.75" customHeight="1">
      <c r="A32" s="47" t="s">
        <v>205</v>
      </c>
      <c r="B32" s="22"/>
      <c r="C32" s="22"/>
      <c r="D32" s="22"/>
      <c r="E32" s="22"/>
      <c r="F32" s="22"/>
      <c r="G32" s="22"/>
      <c r="H32" s="23"/>
    </row>
    <row r="33" ht="15.75" customHeight="1">
      <c r="A33" s="48" t="s">
        <v>224</v>
      </c>
      <c r="B33" s="49"/>
      <c r="C33" s="49"/>
      <c r="D33" s="49"/>
      <c r="E33" s="49"/>
      <c r="F33" s="49"/>
      <c r="G33" s="49"/>
      <c r="H33" s="50"/>
    </row>
    <row r="34" ht="15.75" customHeight="1">
      <c r="A34" s="65"/>
      <c r="H34" s="66"/>
    </row>
    <row r="35" ht="15.75" customHeight="1">
      <c r="A35" s="51"/>
      <c r="B35" s="52"/>
      <c r="C35" s="52"/>
      <c r="D35" s="52"/>
      <c r="E35" s="52"/>
      <c r="F35" s="52"/>
      <c r="G35" s="52"/>
      <c r="H35" s="53"/>
    </row>
    <row r="36" ht="15.75" customHeight="1">
      <c r="A36" s="47" t="s">
        <v>207</v>
      </c>
      <c r="B36" s="22"/>
      <c r="C36" s="22"/>
      <c r="D36" s="22"/>
      <c r="E36" s="22"/>
      <c r="F36" s="22"/>
      <c r="G36" s="22"/>
      <c r="H36" s="23"/>
    </row>
    <row r="37" ht="15.75" customHeight="1">
      <c r="A37" s="48" t="s">
        <v>225</v>
      </c>
      <c r="B37" s="49"/>
      <c r="C37" s="49"/>
      <c r="D37" s="49"/>
      <c r="E37" s="49"/>
      <c r="F37" s="49"/>
      <c r="G37" s="49"/>
      <c r="H37" s="50"/>
    </row>
    <row r="38" ht="15.75" customHeight="1">
      <c r="A38" s="65"/>
      <c r="H38" s="66"/>
    </row>
    <row r="39" ht="15.75" customHeight="1">
      <c r="A39" s="65"/>
      <c r="H39" s="66"/>
    </row>
    <row r="40" ht="15.75" customHeight="1">
      <c r="A40" s="51"/>
      <c r="B40" s="52"/>
      <c r="C40" s="52"/>
      <c r="D40" s="52"/>
      <c r="E40" s="52"/>
      <c r="F40" s="52"/>
      <c r="G40" s="52"/>
      <c r="H40" s="53"/>
    </row>
    <row r="41" ht="15.75" customHeight="1"/>
    <row r="42" ht="15.75" customHeight="1"/>
    <row r="43" ht="15.75" customHeight="1">
      <c r="A43" s="45" t="s">
        <v>226</v>
      </c>
      <c r="E43" s="37" t="s">
        <v>115</v>
      </c>
      <c r="F43" s="70">
        <v>0.0</v>
      </c>
      <c r="G43" s="37" t="s">
        <v>202</v>
      </c>
      <c r="H43" s="70">
        <v>1.0</v>
      </c>
    </row>
    <row r="44" ht="15.75" customHeight="1">
      <c r="A44" s="40" t="s">
        <v>214</v>
      </c>
    </row>
    <row r="45" ht="15.75" customHeight="1">
      <c r="A45" s="55" t="s">
        <v>126</v>
      </c>
      <c r="B45" s="33" t="s">
        <v>127</v>
      </c>
      <c r="C45" s="22"/>
      <c r="D45" s="22"/>
      <c r="E45" s="22"/>
      <c r="F45" s="22"/>
      <c r="G45" s="22"/>
      <c r="H45" s="23"/>
    </row>
    <row r="46" ht="15.75" customHeight="1">
      <c r="A46" s="55" t="s">
        <v>126</v>
      </c>
      <c r="B46" s="21"/>
      <c r="C46" s="22"/>
      <c r="D46" s="22"/>
      <c r="E46" s="22"/>
      <c r="F46" s="22"/>
      <c r="G46" s="22"/>
      <c r="H46" s="23"/>
    </row>
    <row r="47" ht="15.75" customHeight="1">
      <c r="A47" s="55" t="s">
        <v>126</v>
      </c>
      <c r="B47" s="21"/>
      <c r="C47" s="22"/>
      <c r="D47" s="22"/>
      <c r="E47" s="22"/>
      <c r="F47" s="22"/>
      <c r="G47" s="22"/>
      <c r="H47" s="23"/>
    </row>
    <row r="48" ht="15.75" customHeight="1">
      <c r="A48" s="55" t="s">
        <v>203</v>
      </c>
      <c r="B48" s="33" t="s">
        <v>227</v>
      </c>
      <c r="C48" s="22"/>
      <c r="D48" s="22"/>
      <c r="E48" s="22"/>
      <c r="F48" s="22"/>
      <c r="G48" s="22"/>
      <c r="H48" s="23"/>
    </row>
    <row r="49" ht="15.75" customHeight="1">
      <c r="A49" s="47" t="s">
        <v>205</v>
      </c>
      <c r="B49" s="22"/>
      <c r="C49" s="22"/>
      <c r="D49" s="22"/>
      <c r="E49" s="22"/>
      <c r="F49" s="22"/>
      <c r="G49" s="22"/>
      <c r="H49" s="23"/>
    </row>
    <row r="50" ht="15.75" customHeight="1">
      <c r="A50" s="48" t="s">
        <v>228</v>
      </c>
      <c r="B50" s="49"/>
      <c r="C50" s="49"/>
      <c r="D50" s="49"/>
      <c r="E50" s="49"/>
      <c r="F50" s="49"/>
      <c r="G50" s="49"/>
      <c r="H50" s="50"/>
    </row>
    <row r="51" ht="15.75" customHeight="1">
      <c r="A51" s="65"/>
      <c r="H51" s="66"/>
    </row>
    <row r="52" ht="15.75" customHeight="1">
      <c r="A52" s="51"/>
      <c r="B52" s="52"/>
      <c r="C52" s="52"/>
      <c r="D52" s="52"/>
      <c r="E52" s="52"/>
      <c r="F52" s="52"/>
      <c r="G52" s="52"/>
      <c r="H52" s="53"/>
    </row>
    <row r="53" ht="15.75" customHeight="1">
      <c r="A53" s="47" t="s">
        <v>207</v>
      </c>
      <c r="B53" s="22"/>
      <c r="C53" s="22"/>
      <c r="D53" s="22"/>
      <c r="E53" s="22"/>
      <c r="F53" s="22"/>
      <c r="G53" s="22"/>
      <c r="H53" s="23"/>
    </row>
    <row r="54" ht="15.75" customHeight="1">
      <c r="A54" s="48" t="s">
        <v>229</v>
      </c>
      <c r="B54" s="49"/>
      <c r="C54" s="49"/>
      <c r="D54" s="49"/>
      <c r="E54" s="49"/>
      <c r="F54" s="49"/>
      <c r="G54" s="49"/>
      <c r="H54" s="50"/>
    </row>
    <row r="55" ht="15.75" customHeight="1">
      <c r="A55" s="65"/>
      <c r="H55" s="66"/>
    </row>
    <row r="56" ht="15.75" customHeight="1">
      <c r="A56" s="65"/>
      <c r="H56" s="66"/>
    </row>
    <row r="57" ht="15.75" customHeight="1">
      <c r="A57" s="51"/>
      <c r="B57" s="52"/>
      <c r="C57" s="52"/>
      <c r="D57" s="52"/>
      <c r="E57" s="52"/>
      <c r="F57" s="52"/>
      <c r="G57" s="52"/>
      <c r="H57" s="53"/>
    </row>
    <row r="58" ht="15.75" customHeight="1"/>
    <row r="59" ht="15.75" customHeight="1"/>
    <row r="60" ht="15.75" customHeight="1">
      <c r="A60" s="45" t="s">
        <v>230</v>
      </c>
      <c r="E60" s="37" t="s">
        <v>115</v>
      </c>
      <c r="F60" s="70">
        <v>0.0</v>
      </c>
      <c r="G60" s="37" t="s">
        <v>202</v>
      </c>
      <c r="H60" s="70">
        <v>1.0</v>
      </c>
    </row>
    <row r="61" ht="15.75" customHeight="1">
      <c r="A61" s="40" t="s">
        <v>214</v>
      </c>
    </row>
    <row r="62" ht="15.75" customHeight="1">
      <c r="A62" s="55" t="s">
        <v>126</v>
      </c>
      <c r="B62" s="33" t="s">
        <v>32</v>
      </c>
      <c r="C62" s="22"/>
      <c r="D62" s="22"/>
      <c r="E62" s="22"/>
      <c r="F62" s="22"/>
      <c r="G62" s="22"/>
      <c r="H62" s="23"/>
    </row>
    <row r="63" ht="15.75" customHeight="1">
      <c r="A63" s="55" t="s">
        <v>126</v>
      </c>
      <c r="B63" s="21"/>
      <c r="C63" s="22"/>
      <c r="D63" s="22"/>
      <c r="E63" s="22"/>
      <c r="F63" s="22"/>
      <c r="G63" s="22"/>
      <c r="H63" s="23"/>
    </row>
    <row r="64" ht="15.75" customHeight="1">
      <c r="A64" s="55" t="s">
        <v>126</v>
      </c>
      <c r="B64" s="21"/>
      <c r="C64" s="22"/>
      <c r="D64" s="22"/>
      <c r="E64" s="22"/>
      <c r="F64" s="22"/>
      <c r="G64" s="22"/>
      <c r="H64" s="23"/>
    </row>
    <row r="65" ht="15.75" customHeight="1">
      <c r="A65" s="55" t="s">
        <v>203</v>
      </c>
      <c r="B65" s="33" t="s">
        <v>231</v>
      </c>
      <c r="C65" s="22"/>
      <c r="D65" s="22"/>
      <c r="E65" s="22"/>
      <c r="F65" s="22"/>
      <c r="G65" s="22"/>
      <c r="H65" s="23"/>
    </row>
    <row r="66" ht="15.75" customHeight="1">
      <c r="A66" s="47" t="s">
        <v>205</v>
      </c>
      <c r="B66" s="22"/>
      <c r="C66" s="22"/>
      <c r="D66" s="22"/>
      <c r="E66" s="22"/>
      <c r="F66" s="22"/>
      <c r="G66" s="22"/>
      <c r="H66" s="23"/>
    </row>
    <row r="67" ht="15.75" customHeight="1">
      <c r="A67" s="48" t="s">
        <v>224</v>
      </c>
      <c r="B67" s="49"/>
      <c r="C67" s="49"/>
      <c r="D67" s="49"/>
      <c r="E67" s="49"/>
      <c r="F67" s="49"/>
      <c r="G67" s="49"/>
      <c r="H67" s="50"/>
    </row>
    <row r="68" ht="15.75" customHeight="1">
      <c r="A68" s="65"/>
      <c r="H68" s="66"/>
    </row>
    <row r="69" ht="15.75" customHeight="1">
      <c r="A69" s="51"/>
      <c r="B69" s="52"/>
      <c r="C69" s="52"/>
      <c r="D69" s="52"/>
      <c r="E69" s="52"/>
      <c r="F69" s="52"/>
      <c r="G69" s="52"/>
      <c r="H69" s="53"/>
    </row>
    <row r="70" ht="15.75" customHeight="1">
      <c r="A70" s="47" t="s">
        <v>207</v>
      </c>
      <c r="B70" s="22"/>
      <c r="C70" s="22"/>
      <c r="D70" s="22"/>
      <c r="E70" s="22"/>
      <c r="F70" s="22"/>
      <c r="G70" s="22"/>
      <c r="H70" s="23"/>
    </row>
    <row r="71" ht="15.75" customHeight="1">
      <c r="A71" s="48" t="s">
        <v>232</v>
      </c>
      <c r="B71" s="49"/>
      <c r="C71" s="49"/>
      <c r="D71" s="49"/>
      <c r="E71" s="49"/>
      <c r="F71" s="49"/>
      <c r="G71" s="49"/>
      <c r="H71" s="50"/>
    </row>
    <row r="72" ht="15.75" customHeight="1">
      <c r="A72" s="65"/>
      <c r="H72" s="66"/>
    </row>
    <row r="73" ht="15.75" customHeight="1">
      <c r="A73" s="65"/>
      <c r="H73" s="66"/>
    </row>
    <row r="74" ht="15.75" customHeight="1">
      <c r="A74" s="51"/>
      <c r="B74" s="52"/>
      <c r="C74" s="52"/>
      <c r="D74" s="52"/>
      <c r="E74" s="52"/>
      <c r="F74" s="52"/>
      <c r="G74" s="52"/>
      <c r="H74" s="53"/>
    </row>
    <row r="75" ht="15.75" customHeight="1"/>
    <row r="76" ht="15.75" customHeight="1"/>
    <row r="77" ht="15.75" customHeight="1">
      <c r="A77" s="45" t="s">
        <v>233</v>
      </c>
      <c r="E77" s="37" t="s">
        <v>115</v>
      </c>
      <c r="F77" s="70">
        <v>0.0</v>
      </c>
      <c r="G77" s="37" t="s">
        <v>202</v>
      </c>
      <c r="H77" s="70">
        <v>1.0</v>
      </c>
    </row>
    <row r="78" ht="15.75" customHeight="1">
      <c r="A78" s="40" t="s">
        <v>214</v>
      </c>
    </row>
    <row r="79" ht="15.75" customHeight="1">
      <c r="A79" s="55" t="s">
        <v>126</v>
      </c>
      <c r="B79" s="33" t="s">
        <v>60</v>
      </c>
      <c r="C79" s="22"/>
      <c r="D79" s="22"/>
      <c r="E79" s="22"/>
      <c r="F79" s="22"/>
      <c r="G79" s="22"/>
      <c r="H79" s="23"/>
    </row>
    <row r="80" ht="15.75" customHeight="1">
      <c r="A80" s="55" t="s">
        <v>126</v>
      </c>
      <c r="B80" s="21"/>
      <c r="C80" s="22"/>
      <c r="D80" s="22"/>
      <c r="E80" s="22"/>
      <c r="F80" s="22"/>
      <c r="G80" s="22"/>
      <c r="H80" s="23"/>
    </row>
    <row r="81" ht="15.75" customHeight="1">
      <c r="A81" s="55" t="s">
        <v>126</v>
      </c>
      <c r="B81" s="21"/>
      <c r="C81" s="22"/>
      <c r="D81" s="22"/>
      <c r="E81" s="22"/>
      <c r="F81" s="22"/>
      <c r="G81" s="22"/>
      <c r="H81" s="23"/>
    </row>
    <row r="82" ht="15.75" customHeight="1">
      <c r="A82" s="55" t="s">
        <v>203</v>
      </c>
      <c r="B82" s="33" t="s">
        <v>66</v>
      </c>
      <c r="C82" s="22"/>
      <c r="D82" s="22"/>
      <c r="E82" s="22"/>
      <c r="F82" s="22"/>
      <c r="G82" s="22"/>
      <c r="H82" s="23"/>
    </row>
    <row r="83" ht="15.75" customHeight="1">
      <c r="A83" s="47" t="s">
        <v>205</v>
      </c>
      <c r="B83" s="22"/>
      <c r="C83" s="22"/>
      <c r="D83" s="22"/>
      <c r="E83" s="22"/>
      <c r="F83" s="22"/>
      <c r="G83" s="22"/>
      <c r="H83" s="23"/>
    </row>
    <row r="84" ht="15.75" customHeight="1">
      <c r="A84" s="48" t="s">
        <v>234</v>
      </c>
      <c r="B84" s="49"/>
      <c r="C84" s="49"/>
      <c r="D84" s="49"/>
      <c r="E84" s="49"/>
      <c r="F84" s="49"/>
      <c r="G84" s="49"/>
      <c r="H84" s="50"/>
    </row>
    <row r="85" ht="15.75" customHeight="1">
      <c r="A85" s="65"/>
      <c r="H85" s="66"/>
    </row>
    <row r="86" ht="15.75" customHeight="1">
      <c r="A86" s="51"/>
      <c r="B86" s="52"/>
      <c r="C86" s="52"/>
      <c r="D86" s="52"/>
      <c r="E86" s="52"/>
      <c r="F86" s="52"/>
      <c r="G86" s="52"/>
      <c r="H86" s="53"/>
    </row>
    <row r="87" ht="15.75" customHeight="1">
      <c r="A87" s="47" t="s">
        <v>207</v>
      </c>
      <c r="B87" s="22"/>
      <c r="C87" s="22"/>
      <c r="D87" s="22"/>
      <c r="E87" s="22"/>
      <c r="F87" s="22"/>
      <c r="G87" s="22"/>
      <c r="H87" s="23"/>
    </row>
    <row r="88" ht="15.75" customHeight="1">
      <c r="A88" s="48" t="s">
        <v>235</v>
      </c>
      <c r="B88" s="49"/>
      <c r="C88" s="49"/>
      <c r="D88" s="49"/>
      <c r="E88" s="49"/>
      <c r="F88" s="49"/>
      <c r="G88" s="49"/>
      <c r="H88" s="50"/>
    </row>
    <row r="89" ht="15.75" customHeight="1">
      <c r="A89" s="65"/>
      <c r="H89" s="66"/>
    </row>
    <row r="90" ht="15.75" customHeight="1">
      <c r="A90" s="65"/>
      <c r="H90" s="66"/>
    </row>
    <row r="91" ht="15.75" customHeight="1">
      <c r="A91" s="51"/>
      <c r="B91" s="52"/>
      <c r="C91" s="52"/>
      <c r="D91" s="52"/>
      <c r="E91" s="52"/>
      <c r="F91" s="52"/>
      <c r="G91" s="52"/>
      <c r="H91" s="53"/>
    </row>
    <row r="92" ht="15.75" customHeight="1"/>
    <row r="93" ht="15.75" customHeight="1"/>
    <row r="94" ht="15.75" customHeight="1">
      <c r="A94" s="45" t="s">
        <v>236</v>
      </c>
      <c r="E94" s="37" t="s">
        <v>115</v>
      </c>
      <c r="F94" s="46"/>
      <c r="G94" s="37" t="s">
        <v>202</v>
      </c>
      <c r="H94" s="46"/>
    </row>
    <row r="95" ht="15.75" customHeight="1">
      <c r="A95" s="40" t="s">
        <v>214</v>
      </c>
    </row>
    <row r="96" ht="15.75" customHeight="1">
      <c r="A96" s="55" t="s">
        <v>126</v>
      </c>
      <c r="B96" s="21"/>
      <c r="C96" s="22"/>
      <c r="D96" s="22"/>
      <c r="E96" s="22"/>
      <c r="F96" s="22"/>
      <c r="G96" s="22"/>
      <c r="H96" s="23"/>
    </row>
    <row r="97" ht="15.75" customHeight="1">
      <c r="A97" s="55" t="s">
        <v>126</v>
      </c>
      <c r="B97" s="21"/>
      <c r="C97" s="22"/>
      <c r="D97" s="22"/>
      <c r="E97" s="22"/>
      <c r="F97" s="22"/>
      <c r="G97" s="22"/>
      <c r="H97" s="23"/>
    </row>
    <row r="98" ht="15.75" customHeight="1">
      <c r="A98" s="55" t="s">
        <v>126</v>
      </c>
      <c r="B98" s="21"/>
      <c r="C98" s="22"/>
      <c r="D98" s="22"/>
      <c r="E98" s="22"/>
      <c r="F98" s="22"/>
      <c r="G98" s="22"/>
      <c r="H98" s="23"/>
    </row>
    <row r="99" ht="15.75" customHeight="1">
      <c r="A99" s="55" t="s">
        <v>203</v>
      </c>
      <c r="B99" s="21"/>
      <c r="C99" s="22"/>
      <c r="D99" s="22"/>
      <c r="E99" s="22"/>
      <c r="F99" s="22"/>
      <c r="G99" s="22"/>
      <c r="H99" s="23"/>
    </row>
    <row r="100" ht="15.75" customHeight="1">
      <c r="A100" s="47" t="s">
        <v>205</v>
      </c>
      <c r="B100" s="22"/>
      <c r="C100" s="22"/>
      <c r="D100" s="22"/>
      <c r="E100" s="22"/>
      <c r="F100" s="22"/>
      <c r="G100" s="22"/>
      <c r="H100" s="23"/>
    </row>
    <row r="101" ht="15.75" customHeight="1">
      <c r="A101" s="68"/>
      <c r="B101" s="49"/>
      <c r="C101" s="49"/>
      <c r="D101" s="49"/>
      <c r="E101" s="49"/>
      <c r="F101" s="49"/>
      <c r="G101" s="49"/>
      <c r="H101" s="50"/>
    </row>
    <row r="102" ht="15.75" customHeight="1">
      <c r="A102" s="65"/>
      <c r="H102" s="66"/>
    </row>
    <row r="103" ht="15.75" customHeight="1">
      <c r="A103" s="51"/>
      <c r="B103" s="52"/>
      <c r="C103" s="52"/>
      <c r="D103" s="52"/>
      <c r="E103" s="52"/>
      <c r="F103" s="52"/>
      <c r="G103" s="52"/>
      <c r="H103" s="53"/>
    </row>
    <row r="104" ht="15.75" customHeight="1">
      <c r="A104" s="47" t="s">
        <v>207</v>
      </c>
      <c r="B104" s="22"/>
      <c r="C104" s="22"/>
      <c r="D104" s="22"/>
      <c r="E104" s="22"/>
      <c r="F104" s="22"/>
      <c r="G104" s="22"/>
      <c r="H104" s="23"/>
    </row>
    <row r="105" ht="15.75" customHeight="1">
      <c r="A105" s="68"/>
      <c r="B105" s="49"/>
      <c r="C105" s="49"/>
      <c r="D105" s="49"/>
      <c r="E105" s="49"/>
      <c r="F105" s="49"/>
      <c r="G105" s="49"/>
      <c r="H105" s="50"/>
    </row>
    <row r="106" ht="15.75" customHeight="1">
      <c r="A106" s="65"/>
      <c r="H106" s="66"/>
    </row>
    <row r="107" ht="15.75" customHeight="1">
      <c r="A107" s="65"/>
      <c r="H107" s="66"/>
    </row>
    <row r="108" ht="15.75" customHeight="1">
      <c r="A108" s="51"/>
      <c r="B108" s="52"/>
      <c r="C108" s="52"/>
      <c r="D108" s="52"/>
      <c r="E108" s="52"/>
      <c r="F108" s="52"/>
      <c r="G108" s="52"/>
      <c r="H108" s="53"/>
    </row>
    <row r="109" ht="15.75" customHeight="1"/>
    <row r="110" ht="15.75" customHeight="1"/>
    <row r="111" ht="15.75" customHeight="1">
      <c r="A111" s="45" t="s">
        <v>237</v>
      </c>
      <c r="E111" s="37" t="s">
        <v>115</v>
      </c>
      <c r="F111" s="46"/>
      <c r="G111" s="37" t="s">
        <v>202</v>
      </c>
      <c r="H111" s="46"/>
    </row>
    <row r="112" ht="15.75" customHeight="1">
      <c r="A112" s="40" t="s">
        <v>214</v>
      </c>
    </row>
    <row r="113" ht="15.75" customHeight="1">
      <c r="A113" s="55" t="s">
        <v>126</v>
      </c>
      <c r="B113" s="21"/>
      <c r="C113" s="22"/>
      <c r="D113" s="22"/>
      <c r="E113" s="22"/>
      <c r="F113" s="22"/>
      <c r="G113" s="22"/>
      <c r="H113" s="23"/>
    </row>
    <row r="114" ht="15.75" customHeight="1">
      <c r="A114" s="55" t="s">
        <v>126</v>
      </c>
      <c r="B114" s="21"/>
      <c r="C114" s="22"/>
      <c r="D114" s="22"/>
      <c r="E114" s="22"/>
      <c r="F114" s="22"/>
      <c r="G114" s="22"/>
      <c r="H114" s="23"/>
    </row>
    <row r="115" ht="15.75" customHeight="1">
      <c r="A115" s="55" t="s">
        <v>126</v>
      </c>
      <c r="B115" s="21"/>
      <c r="C115" s="22"/>
      <c r="D115" s="22"/>
      <c r="E115" s="22"/>
      <c r="F115" s="22"/>
      <c r="G115" s="22"/>
      <c r="H115" s="23"/>
    </row>
    <row r="116" ht="15.75" customHeight="1">
      <c r="A116" s="55" t="s">
        <v>203</v>
      </c>
      <c r="B116" s="21"/>
      <c r="C116" s="22"/>
      <c r="D116" s="22"/>
      <c r="E116" s="22"/>
      <c r="F116" s="22"/>
      <c r="G116" s="22"/>
      <c r="H116" s="23"/>
    </row>
    <row r="117" ht="15.75" customHeight="1">
      <c r="A117" s="47" t="s">
        <v>205</v>
      </c>
      <c r="B117" s="22"/>
      <c r="C117" s="22"/>
      <c r="D117" s="22"/>
      <c r="E117" s="22"/>
      <c r="F117" s="22"/>
      <c r="G117" s="22"/>
      <c r="H117" s="23"/>
    </row>
    <row r="118" ht="15.75" customHeight="1">
      <c r="A118" s="68"/>
      <c r="B118" s="49"/>
      <c r="C118" s="49"/>
      <c r="D118" s="49"/>
      <c r="E118" s="49"/>
      <c r="F118" s="49"/>
      <c r="G118" s="49"/>
      <c r="H118" s="50"/>
    </row>
    <row r="119" ht="15.75" customHeight="1">
      <c r="A119" s="65"/>
      <c r="H119" s="66"/>
    </row>
    <row r="120" ht="15.75" customHeight="1">
      <c r="A120" s="51"/>
      <c r="B120" s="52"/>
      <c r="C120" s="52"/>
      <c r="D120" s="52"/>
      <c r="E120" s="52"/>
      <c r="F120" s="52"/>
      <c r="G120" s="52"/>
      <c r="H120" s="53"/>
    </row>
    <row r="121" ht="15.75" customHeight="1">
      <c r="A121" s="47" t="s">
        <v>207</v>
      </c>
      <c r="B121" s="22"/>
      <c r="C121" s="22"/>
      <c r="D121" s="22"/>
      <c r="E121" s="22"/>
      <c r="F121" s="22"/>
      <c r="G121" s="22"/>
      <c r="H121" s="23"/>
    </row>
    <row r="122" ht="15.75" customHeight="1">
      <c r="A122" s="68"/>
      <c r="B122" s="49"/>
      <c r="C122" s="49"/>
      <c r="D122" s="49"/>
      <c r="E122" s="49"/>
      <c r="F122" s="49"/>
      <c r="G122" s="49"/>
      <c r="H122" s="50"/>
    </row>
    <row r="123" ht="15.75" customHeight="1">
      <c r="A123" s="65"/>
      <c r="H123" s="66"/>
    </row>
    <row r="124" ht="15.75" customHeight="1">
      <c r="A124" s="65"/>
      <c r="H124" s="66"/>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238</v>
      </c>
    </row>
    <row r="3" ht="15.75" customHeight="1"/>
    <row r="4" ht="15.75" customHeight="1">
      <c r="B4" s="20" t="s">
        <v>1</v>
      </c>
      <c r="C4" s="21" t="str">
        <f>'Diseño'!C4</f>
        <v>777 - Organización de Lenguajes y Compiladores 1</v>
      </c>
      <c r="D4" s="22"/>
      <c r="E4" s="22"/>
      <c r="F4" s="22"/>
      <c r="G4" s="23"/>
    </row>
    <row r="5" ht="15.75" customHeight="1">
      <c r="B5" s="44" t="s">
        <v>77</v>
      </c>
      <c r="C5" s="21">
        <f>H9+H26+H43+H60+H77+H94+H111</f>
        <v>0</v>
      </c>
      <c r="D5" s="22"/>
      <c r="E5" s="22"/>
      <c r="F5" s="22"/>
      <c r="G5" s="23"/>
    </row>
    <row r="6" ht="15.75" customHeight="1">
      <c r="B6" s="44" t="s">
        <v>115</v>
      </c>
      <c r="C6" s="21">
        <f>F9+F26+F43+F60+F77+F94+F111</f>
        <v>15</v>
      </c>
      <c r="D6" s="22"/>
      <c r="E6" s="22"/>
      <c r="F6" s="22"/>
      <c r="G6" s="23"/>
    </row>
    <row r="7" ht="15.75" customHeight="1">
      <c r="B7" s="6" t="s">
        <v>239</v>
      </c>
    </row>
    <row r="8" ht="15.75" customHeight="1"/>
    <row r="9" ht="15.75" customHeight="1">
      <c r="A9" s="45" t="s">
        <v>240</v>
      </c>
      <c r="E9" s="37" t="s">
        <v>115</v>
      </c>
      <c r="F9" s="70">
        <v>5.0</v>
      </c>
      <c r="G9" s="37" t="s">
        <v>202</v>
      </c>
      <c r="H9" s="46"/>
    </row>
    <row r="10" ht="15.75" customHeight="1">
      <c r="A10" s="6" t="s">
        <v>218</v>
      </c>
    </row>
    <row r="11" ht="15.75" customHeight="1">
      <c r="A11" s="55" t="s">
        <v>126</v>
      </c>
      <c r="B11" s="33" t="s">
        <v>40</v>
      </c>
      <c r="C11" s="22"/>
      <c r="D11" s="22"/>
      <c r="E11" s="22"/>
      <c r="F11" s="22"/>
      <c r="G11" s="22"/>
      <c r="H11" s="23"/>
    </row>
    <row r="12" ht="15.75" customHeight="1">
      <c r="A12" s="55" t="s">
        <v>126</v>
      </c>
      <c r="B12" s="21"/>
      <c r="C12" s="22"/>
      <c r="D12" s="22"/>
      <c r="E12" s="22"/>
      <c r="F12" s="22"/>
      <c r="G12" s="22"/>
      <c r="H12" s="23"/>
    </row>
    <row r="13" ht="15.75" customHeight="1">
      <c r="A13" s="55" t="s">
        <v>126</v>
      </c>
      <c r="B13" s="21"/>
      <c r="C13" s="22"/>
      <c r="D13" s="22"/>
      <c r="E13" s="22"/>
      <c r="F13" s="22"/>
      <c r="G13" s="22"/>
      <c r="H13" s="23"/>
    </row>
    <row r="14" ht="15.75" customHeight="1">
      <c r="A14" s="55" t="s">
        <v>203</v>
      </c>
      <c r="B14" s="21"/>
      <c r="C14" s="22"/>
      <c r="D14" s="22"/>
      <c r="E14" s="22"/>
      <c r="F14" s="22"/>
      <c r="G14" s="22"/>
      <c r="H14" s="23"/>
    </row>
    <row r="15" ht="15.75" customHeight="1">
      <c r="A15" s="47" t="s">
        <v>205</v>
      </c>
      <c r="B15" s="22"/>
      <c r="C15" s="22"/>
      <c r="D15" s="22"/>
      <c r="E15" s="22"/>
      <c r="F15" s="22"/>
      <c r="G15" s="22"/>
      <c r="H15" s="23"/>
    </row>
    <row r="16" ht="15.75" customHeight="1">
      <c r="A16" s="48" t="s">
        <v>241</v>
      </c>
      <c r="B16" s="49"/>
      <c r="C16" s="49"/>
      <c r="D16" s="49"/>
      <c r="E16" s="49"/>
      <c r="F16" s="49"/>
      <c r="G16" s="49"/>
      <c r="H16" s="50"/>
    </row>
    <row r="17" ht="15.75" customHeight="1">
      <c r="A17" s="65"/>
      <c r="H17" s="66"/>
    </row>
    <row r="18" ht="15.75" customHeight="1">
      <c r="A18" s="51"/>
      <c r="B18" s="52"/>
      <c r="C18" s="52"/>
      <c r="D18" s="52"/>
      <c r="E18" s="52"/>
      <c r="F18" s="52"/>
      <c r="G18" s="52"/>
      <c r="H18" s="53"/>
    </row>
    <row r="19" ht="15.75" customHeight="1">
      <c r="A19" s="47" t="s">
        <v>207</v>
      </c>
      <c r="B19" s="22"/>
      <c r="C19" s="22"/>
      <c r="D19" s="22"/>
      <c r="E19" s="22"/>
      <c r="F19" s="22"/>
      <c r="G19" s="22"/>
      <c r="H19" s="23"/>
    </row>
    <row r="20" ht="15.75" customHeight="1">
      <c r="A20" s="48" t="s">
        <v>242</v>
      </c>
      <c r="B20" s="49"/>
      <c r="C20" s="49"/>
      <c r="D20" s="49"/>
      <c r="E20" s="49"/>
      <c r="F20" s="49"/>
      <c r="G20" s="49"/>
      <c r="H20" s="50"/>
    </row>
    <row r="21" ht="15.75" customHeight="1">
      <c r="A21" s="65"/>
      <c r="H21" s="66"/>
    </row>
    <row r="22" ht="15.75" customHeight="1">
      <c r="A22" s="65"/>
      <c r="H22" s="66"/>
    </row>
    <row r="23" ht="15.75" customHeight="1">
      <c r="A23" s="51"/>
      <c r="B23" s="52"/>
      <c r="C23" s="52"/>
      <c r="D23" s="52"/>
      <c r="E23" s="52"/>
      <c r="F23" s="52"/>
      <c r="G23" s="52"/>
      <c r="H23" s="53"/>
    </row>
    <row r="24" ht="15.75" customHeight="1"/>
    <row r="25" ht="15.75" customHeight="1"/>
    <row r="26" ht="15.75" customHeight="1">
      <c r="A26" s="45" t="s">
        <v>243</v>
      </c>
      <c r="E26" s="37" t="s">
        <v>115</v>
      </c>
      <c r="F26" s="70">
        <v>5.0</v>
      </c>
      <c r="G26" s="37" t="s">
        <v>202</v>
      </c>
      <c r="H26" s="46"/>
    </row>
    <row r="27" ht="15.75" customHeight="1">
      <c r="A27" s="6" t="s">
        <v>218</v>
      </c>
    </row>
    <row r="28" ht="15.75" customHeight="1">
      <c r="A28" s="55" t="s">
        <v>126</v>
      </c>
      <c r="B28" s="33" t="s">
        <v>58</v>
      </c>
      <c r="C28" s="22"/>
      <c r="D28" s="22"/>
      <c r="E28" s="22"/>
      <c r="F28" s="22"/>
      <c r="G28" s="22"/>
      <c r="H28" s="23"/>
    </row>
    <row r="29" ht="15.75" customHeight="1">
      <c r="A29" s="55" t="s">
        <v>126</v>
      </c>
      <c r="B29" s="21"/>
      <c r="C29" s="22"/>
      <c r="D29" s="22"/>
      <c r="E29" s="22"/>
      <c r="F29" s="22"/>
      <c r="G29" s="22"/>
      <c r="H29" s="23"/>
    </row>
    <row r="30" ht="15.75" customHeight="1">
      <c r="A30" s="55" t="s">
        <v>126</v>
      </c>
      <c r="B30" s="21"/>
      <c r="C30" s="22"/>
      <c r="D30" s="22"/>
      <c r="E30" s="22"/>
      <c r="F30" s="22"/>
      <c r="G30" s="22"/>
      <c r="H30" s="23"/>
    </row>
    <row r="31" ht="15.75" customHeight="1">
      <c r="A31" s="55" t="s">
        <v>203</v>
      </c>
      <c r="B31" s="21"/>
      <c r="C31" s="22"/>
      <c r="D31" s="22"/>
      <c r="E31" s="22"/>
      <c r="F31" s="22"/>
      <c r="G31" s="22"/>
      <c r="H31" s="23"/>
    </row>
    <row r="32" ht="15.75" customHeight="1">
      <c r="A32" s="47" t="s">
        <v>205</v>
      </c>
      <c r="B32" s="22"/>
      <c r="C32" s="22"/>
      <c r="D32" s="22"/>
      <c r="E32" s="22"/>
      <c r="F32" s="22"/>
      <c r="G32" s="22"/>
      <c r="H32" s="23"/>
    </row>
    <row r="33" ht="15.75" customHeight="1">
      <c r="A33" s="48" t="s">
        <v>244</v>
      </c>
      <c r="B33" s="49"/>
      <c r="C33" s="49"/>
      <c r="D33" s="49"/>
      <c r="E33" s="49"/>
      <c r="F33" s="49"/>
      <c r="G33" s="49"/>
      <c r="H33" s="50"/>
    </row>
    <row r="34" ht="15.75" customHeight="1">
      <c r="A34" s="65"/>
      <c r="H34" s="66"/>
    </row>
    <row r="35" ht="15.75" customHeight="1">
      <c r="A35" s="51"/>
      <c r="B35" s="52"/>
      <c r="C35" s="52"/>
      <c r="D35" s="52"/>
      <c r="E35" s="52"/>
      <c r="F35" s="52"/>
      <c r="G35" s="52"/>
      <c r="H35" s="53"/>
    </row>
    <row r="36" ht="15.75" customHeight="1">
      <c r="A36" s="47" t="s">
        <v>207</v>
      </c>
      <c r="B36" s="22"/>
      <c r="C36" s="22"/>
      <c r="D36" s="22"/>
      <c r="E36" s="22"/>
      <c r="F36" s="22"/>
      <c r="G36" s="22"/>
      <c r="H36" s="23"/>
    </row>
    <row r="37" ht="15.75" customHeight="1">
      <c r="A37" s="48" t="s">
        <v>245</v>
      </c>
      <c r="B37" s="49"/>
      <c r="C37" s="49"/>
      <c r="D37" s="49"/>
      <c r="E37" s="49"/>
      <c r="F37" s="49"/>
      <c r="G37" s="49"/>
      <c r="H37" s="50"/>
    </row>
    <row r="38" ht="15.75" customHeight="1">
      <c r="A38" s="65"/>
      <c r="H38" s="66"/>
    </row>
    <row r="39" ht="15.75" customHeight="1">
      <c r="A39" s="65"/>
      <c r="H39" s="66"/>
    </row>
    <row r="40" ht="15.75" customHeight="1">
      <c r="A40" s="51"/>
      <c r="B40" s="52"/>
      <c r="C40" s="52"/>
      <c r="D40" s="52"/>
      <c r="E40" s="52"/>
      <c r="F40" s="52"/>
      <c r="G40" s="52"/>
      <c r="H40" s="53"/>
    </row>
    <row r="41" ht="15.75" customHeight="1"/>
    <row r="42" ht="15.75" customHeight="1"/>
    <row r="43" ht="15.75" customHeight="1">
      <c r="A43" s="45" t="s">
        <v>246</v>
      </c>
      <c r="E43" s="37" t="s">
        <v>115</v>
      </c>
      <c r="F43" s="70">
        <v>5.0</v>
      </c>
      <c r="G43" s="37" t="s">
        <v>202</v>
      </c>
      <c r="H43" s="46"/>
    </row>
    <row r="44" ht="15.75" customHeight="1">
      <c r="A44" s="40" t="s">
        <v>214</v>
      </c>
    </row>
    <row r="45" ht="15.75" customHeight="1">
      <c r="A45" s="55" t="s">
        <v>126</v>
      </c>
      <c r="B45" s="33" t="s">
        <v>58</v>
      </c>
      <c r="C45" s="22"/>
      <c r="D45" s="22"/>
      <c r="E45" s="22"/>
      <c r="F45" s="22"/>
      <c r="G45" s="22"/>
      <c r="H45" s="23"/>
    </row>
    <row r="46" ht="15.75" customHeight="1">
      <c r="A46" s="55" t="s">
        <v>126</v>
      </c>
      <c r="B46" s="21"/>
      <c r="C46" s="22"/>
      <c r="D46" s="22"/>
      <c r="E46" s="22"/>
      <c r="F46" s="22"/>
      <c r="G46" s="22"/>
      <c r="H46" s="23"/>
    </row>
    <row r="47" ht="15.75" customHeight="1">
      <c r="A47" s="55" t="s">
        <v>126</v>
      </c>
      <c r="B47" s="21"/>
      <c r="C47" s="22"/>
      <c r="D47" s="22"/>
      <c r="E47" s="22"/>
      <c r="F47" s="22"/>
      <c r="G47" s="22"/>
      <c r="H47" s="23"/>
    </row>
    <row r="48" ht="15.75" customHeight="1">
      <c r="A48" s="55" t="s">
        <v>203</v>
      </c>
      <c r="B48" s="21"/>
      <c r="C48" s="22"/>
      <c r="D48" s="22"/>
      <c r="E48" s="22"/>
      <c r="F48" s="22"/>
      <c r="G48" s="22"/>
      <c r="H48" s="23"/>
    </row>
    <row r="49" ht="15.75" customHeight="1">
      <c r="A49" s="47" t="s">
        <v>205</v>
      </c>
      <c r="B49" s="22"/>
      <c r="C49" s="22"/>
      <c r="D49" s="22"/>
      <c r="E49" s="22"/>
      <c r="F49" s="22"/>
      <c r="G49" s="22"/>
      <c r="H49" s="23"/>
    </row>
    <row r="50" ht="15.75" customHeight="1">
      <c r="A50" s="48" t="s">
        <v>247</v>
      </c>
      <c r="B50" s="49"/>
      <c r="C50" s="49"/>
      <c r="D50" s="49"/>
      <c r="E50" s="49"/>
      <c r="F50" s="49"/>
      <c r="G50" s="49"/>
      <c r="H50" s="50"/>
    </row>
    <row r="51" ht="15.75" customHeight="1">
      <c r="A51" s="65"/>
      <c r="H51" s="66"/>
    </row>
    <row r="52" ht="15.75" customHeight="1">
      <c r="A52" s="51"/>
      <c r="B52" s="52"/>
      <c r="C52" s="52"/>
      <c r="D52" s="52"/>
      <c r="E52" s="52"/>
      <c r="F52" s="52"/>
      <c r="G52" s="52"/>
      <c r="H52" s="53"/>
    </row>
    <row r="53" ht="15.75" customHeight="1">
      <c r="A53" s="47" t="s">
        <v>207</v>
      </c>
      <c r="B53" s="22"/>
      <c r="C53" s="22"/>
      <c r="D53" s="22"/>
      <c r="E53" s="22"/>
      <c r="F53" s="22"/>
      <c r="G53" s="22"/>
      <c r="H53" s="23"/>
    </row>
    <row r="54" ht="15.75" customHeight="1">
      <c r="A54" s="48" t="s">
        <v>242</v>
      </c>
      <c r="B54" s="49"/>
      <c r="C54" s="49"/>
      <c r="D54" s="49"/>
      <c r="E54" s="49"/>
      <c r="F54" s="49"/>
      <c r="G54" s="49"/>
      <c r="H54" s="50"/>
    </row>
    <row r="55" ht="15.75" customHeight="1">
      <c r="A55" s="65"/>
      <c r="H55" s="66"/>
    </row>
    <row r="56" ht="15.75" customHeight="1">
      <c r="A56" s="65"/>
      <c r="H56" s="66"/>
    </row>
    <row r="57" ht="15.75" customHeight="1">
      <c r="A57" s="51"/>
      <c r="B57" s="52"/>
      <c r="C57" s="52"/>
      <c r="D57" s="52"/>
      <c r="E57" s="52"/>
      <c r="F57" s="52"/>
      <c r="G57" s="52"/>
      <c r="H57" s="53"/>
    </row>
    <row r="58" ht="15.75" customHeight="1"/>
    <row r="59" ht="15.75" customHeight="1"/>
    <row r="60" ht="15.75" customHeight="1">
      <c r="A60" s="45" t="s">
        <v>248</v>
      </c>
      <c r="E60" s="37" t="s">
        <v>115</v>
      </c>
      <c r="F60" s="46"/>
      <c r="G60" s="37" t="s">
        <v>202</v>
      </c>
      <c r="H60" s="46"/>
    </row>
    <row r="61" ht="15.75" customHeight="1">
      <c r="A61" s="40" t="s">
        <v>214</v>
      </c>
    </row>
    <row r="62" ht="15.75" customHeight="1">
      <c r="A62" s="55" t="s">
        <v>126</v>
      </c>
      <c r="B62" s="21"/>
      <c r="C62" s="22"/>
      <c r="D62" s="22"/>
      <c r="E62" s="22"/>
      <c r="F62" s="22"/>
      <c r="G62" s="22"/>
      <c r="H62" s="23"/>
    </row>
    <row r="63" ht="15.75" customHeight="1">
      <c r="A63" s="55" t="s">
        <v>126</v>
      </c>
      <c r="B63" s="21"/>
      <c r="C63" s="22"/>
      <c r="D63" s="22"/>
      <c r="E63" s="22"/>
      <c r="F63" s="22"/>
      <c r="G63" s="22"/>
      <c r="H63" s="23"/>
    </row>
    <row r="64" ht="15.75" customHeight="1">
      <c r="A64" s="55" t="s">
        <v>126</v>
      </c>
      <c r="B64" s="21"/>
      <c r="C64" s="22"/>
      <c r="D64" s="22"/>
      <c r="E64" s="22"/>
      <c r="F64" s="22"/>
      <c r="G64" s="22"/>
      <c r="H64" s="23"/>
    </row>
    <row r="65" ht="15.75" customHeight="1">
      <c r="A65" s="55" t="s">
        <v>203</v>
      </c>
      <c r="B65" s="21"/>
      <c r="C65" s="22"/>
      <c r="D65" s="22"/>
      <c r="E65" s="22"/>
      <c r="F65" s="22"/>
      <c r="G65" s="22"/>
      <c r="H65" s="23"/>
    </row>
    <row r="66" ht="15.75" customHeight="1">
      <c r="A66" s="47" t="s">
        <v>205</v>
      </c>
      <c r="B66" s="22"/>
      <c r="C66" s="22"/>
      <c r="D66" s="22"/>
      <c r="E66" s="22"/>
      <c r="F66" s="22"/>
      <c r="G66" s="22"/>
      <c r="H66" s="23"/>
    </row>
    <row r="67" ht="15.75" customHeight="1">
      <c r="A67" s="68"/>
      <c r="B67" s="49"/>
      <c r="C67" s="49"/>
      <c r="D67" s="49"/>
      <c r="E67" s="49"/>
      <c r="F67" s="49"/>
      <c r="G67" s="49"/>
      <c r="H67" s="50"/>
    </row>
    <row r="68" ht="15.75" customHeight="1">
      <c r="A68" s="65"/>
      <c r="H68" s="66"/>
    </row>
    <row r="69" ht="15.75" customHeight="1">
      <c r="A69" s="51"/>
      <c r="B69" s="52"/>
      <c r="C69" s="52"/>
      <c r="D69" s="52"/>
      <c r="E69" s="52"/>
      <c r="F69" s="52"/>
      <c r="G69" s="52"/>
      <c r="H69" s="53"/>
    </row>
    <row r="70" ht="15.75" customHeight="1">
      <c r="A70" s="47" t="s">
        <v>207</v>
      </c>
      <c r="B70" s="22"/>
      <c r="C70" s="22"/>
      <c r="D70" s="22"/>
      <c r="E70" s="22"/>
      <c r="F70" s="22"/>
      <c r="G70" s="22"/>
      <c r="H70" s="23"/>
    </row>
    <row r="71" ht="15.75" customHeight="1">
      <c r="A71" s="68"/>
      <c r="B71" s="49"/>
      <c r="C71" s="49"/>
      <c r="D71" s="49"/>
      <c r="E71" s="49"/>
      <c r="F71" s="49"/>
      <c r="G71" s="49"/>
      <c r="H71" s="50"/>
    </row>
    <row r="72" ht="15.75" customHeight="1">
      <c r="A72" s="65"/>
      <c r="H72" s="66"/>
    </row>
    <row r="73" ht="15.75" customHeight="1">
      <c r="A73" s="65"/>
      <c r="H73" s="66"/>
    </row>
    <row r="74" ht="15.75" customHeight="1">
      <c r="A74" s="51"/>
      <c r="B74" s="52"/>
      <c r="C74" s="52"/>
      <c r="D74" s="52"/>
      <c r="E74" s="52"/>
      <c r="F74" s="52"/>
      <c r="G74" s="52"/>
      <c r="H74" s="53"/>
    </row>
    <row r="75" ht="15.75" customHeight="1"/>
    <row r="76" ht="15.75" customHeight="1"/>
    <row r="77" ht="15.75" customHeight="1">
      <c r="A77" s="45" t="s">
        <v>249</v>
      </c>
      <c r="E77" s="37" t="s">
        <v>115</v>
      </c>
      <c r="F77" s="46"/>
      <c r="G77" s="37" t="s">
        <v>202</v>
      </c>
      <c r="H77" s="46"/>
    </row>
    <row r="78" ht="15.75" customHeight="1">
      <c r="A78" s="40" t="s">
        <v>214</v>
      </c>
    </row>
    <row r="79" ht="15.75" customHeight="1">
      <c r="A79" s="55" t="s">
        <v>126</v>
      </c>
      <c r="B79" s="21"/>
      <c r="C79" s="22"/>
      <c r="D79" s="22"/>
      <c r="E79" s="22"/>
      <c r="F79" s="22"/>
      <c r="G79" s="22"/>
      <c r="H79" s="23"/>
    </row>
    <row r="80" ht="15.75" customHeight="1">
      <c r="A80" s="55" t="s">
        <v>126</v>
      </c>
      <c r="B80" s="21"/>
      <c r="C80" s="22"/>
      <c r="D80" s="22"/>
      <c r="E80" s="22"/>
      <c r="F80" s="22"/>
      <c r="G80" s="22"/>
      <c r="H80" s="23"/>
    </row>
    <row r="81" ht="15.75" customHeight="1">
      <c r="A81" s="55" t="s">
        <v>126</v>
      </c>
      <c r="B81" s="21"/>
      <c r="C81" s="22"/>
      <c r="D81" s="22"/>
      <c r="E81" s="22"/>
      <c r="F81" s="22"/>
      <c r="G81" s="22"/>
      <c r="H81" s="23"/>
    </row>
    <row r="82" ht="15.75" customHeight="1">
      <c r="A82" s="55" t="s">
        <v>203</v>
      </c>
      <c r="B82" s="21"/>
      <c r="C82" s="22"/>
      <c r="D82" s="22"/>
      <c r="E82" s="22"/>
      <c r="F82" s="22"/>
      <c r="G82" s="22"/>
      <c r="H82" s="23"/>
    </row>
    <row r="83" ht="15.75" customHeight="1">
      <c r="A83" s="47" t="s">
        <v>205</v>
      </c>
      <c r="B83" s="22"/>
      <c r="C83" s="22"/>
      <c r="D83" s="22"/>
      <c r="E83" s="22"/>
      <c r="F83" s="22"/>
      <c r="G83" s="22"/>
      <c r="H83" s="23"/>
    </row>
    <row r="84" ht="15.75" customHeight="1">
      <c r="A84" s="68"/>
      <c r="B84" s="49"/>
      <c r="C84" s="49"/>
      <c r="D84" s="49"/>
      <c r="E84" s="49"/>
      <c r="F84" s="49"/>
      <c r="G84" s="49"/>
      <c r="H84" s="50"/>
    </row>
    <row r="85" ht="15.75" customHeight="1">
      <c r="A85" s="65"/>
      <c r="H85" s="66"/>
    </row>
    <row r="86" ht="15.75" customHeight="1">
      <c r="A86" s="51"/>
      <c r="B86" s="52"/>
      <c r="C86" s="52"/>
      <c r="D86" s="52"/>
      <c r="E86" s="52"/>
      <c r="F86" s="52"/>
      <c r="G86" s="52"/>
      <c r="H86" s="53"/>
    </row>
    <row r="87" ht="15.75" customHeight="1">
      <c r="A87" s="47" t="s">
        <v>207</v>
      </c>
      <c r="B87" s="22"/>
      <c r="C87" s="22"/>
      <c r="D87" s="22"/>
      <c r="E87" s="22"/>
      <c r="F87" s="22"/>
      <c r="G87" s="22"/>
      <c r="H87" s="23"/>
    </row>
    <row r="88" ht="15.75" customHeight="1">
      <c r="A88" s="68"/>
      <c r="B88" s="49"/>
      <c r="C88" s="49"/>
      <c r="D88" s="49"/>
      <c r="E88" s="49"/>
      <c r="F88" s="49"/>
      <c r="G88" s="49"/>
      <c r="H88" s="50"/>
    </row>
    <row r="89" ht="15.75" customHeight="1">
      <c r="A89" s="65"/>
      <c r="H89" s="66"/>
    </row>
    <row r="90" ht="15.75" customHeight="1">
      <c r="A90" s="65"/>
      <c r="H90" s="66"/>
    </row>
    <row r="91" ht="15.75" customHeight="1">
      <c r="A91" s="51"/>
      <c r="B91" s="52"/>
      <c r="C91" s="52"/>
      <c r="D91" s="52"/>
      <c r="E91" s="52"/>
      <c r="F91" s="52"/>
      <c r="G91" s="52"/>
      <c r="H91" s="53"/>
    </row>
    <row r="92" ht="15.75" customHeight="1"/>
    <row r="93" ht="15.75" customHeight="1"/>
    <row r="94" ht="15.75" customHeight="1">
      <c r="A94" s="45" t="s">
        <v>250</v>
      </c>
      <c r="E94" s="37" t="s">
        <v>115</v>
      </c>
      <c r="F94" s="46"/>
      <c r="G94" s="37" t="s">
        <v>202</v>
      </c>
      <c r="H94" s="46"/>
    </row>
    <row r="95" ht="15.75" customHeight="1">
      <c r="A95" s="40" t="s">
        <v>214</v>
      </c>
    </row>
    <row r="96" ht="15.75" customHeight="1">
      <c r="A96" s="55" t="s">
        <v>126</v>
      </c>
      <c r="B96" s="21"/>
      <c r="C96" s="22"/>
      <c r="D96" s="22"/>
      <c r="E96" s="22"/>
      <c r="F96" s="22"/>
      <c r="G96" s="22"/>
      <c r="H96" s="23"/>
    </row>
    <row r="97" ht="15.75" customHeight="1">
      <c r="A97" s="55" t="s">
        <v>126</v>
      </c>
      <c r="B97" s="21"/>
      <c r="C97" s="22"/>
      <c r="D97" s="22"/>
      <c r="E97" s="22"/>
      <c r="F97" s="22"/>
      <c r="G97" s="22"/>
      <c r="H97" s="23"/>
    </row>
    <row r="98" ht="15.75" customHeight="1">
      <c r="A98" s="55" t="s">
        <v>126</v>
      </c>
      <c r="B98" s="21"/>
      <c r="C98" s="22"/>
      <c r="D98" s="22"/>
      <c r="E98" s="22"/>
      <c r="F98" s="22"/>
      <c r="G98" s="22"/>
      <c r="H98" s="23"/>
    </row>
    <row r="99" ht="15.75" customHeight="1">
      <c r="A99" s="55" t="s">
        <v>203</v>
      </c>
      <c r="B99" s="21"/>
      <c r="C99" s="22"/>
      <c r="D99" s="22"/>
      <c r="E99" s="22"/>
      <c r="F99" s="22"/>
      <c r="G99" s="22"/>
      <c r="H99" s="23"/>
    </row>
    <row r="100" ht="15.75" customHeight="1">
      <c r="A100" s="47" t="s">
        <v>205</v>
      </c>
      <c r="B100" s="22"/>
      <c r="C100" s="22"/>
      <c r="D100" s="22"/>
      <c r="E100" s="22"/>
      <c r="F100" s="22"/>
      <c r="G100" s="22"/>
      <c r="H100" s="23"/>
    </row>
    <row r="101" ht="15.75" customHeight="1">
      <c r="A101" s="68"/>
      <c r="B101" s="49"/>
      <c r="C101" s="49"/>
      <c r="D101" s="49"/>
      <c r="E101" s="49"/>
      <c r="F101" s="49"/>
      <c r="G101" s="49"/>
      <c r="H101" s="50"/>
    </row>
    <row r="102" ht="15.75" customHeight="1">
      <c r="A102" s="65"/>
      <c r="H102" s="66"/>
    </row>
    <row r="103" ht="15.75" customHeight="1">
      <c r="A103" s="51"/>
      <c r="B103" s="52"/>
      <c r="C103" s="52"/>
      <c r="D103" s="52"/>
      <c r="E103" s="52"/>
      <c r="F103" s="52"/>
      <c r="G103" s="52"/>
      <c r="H103" s="53"/>
    </row>
    <row r="104" ht="15.75" customHeight="1">
      <c r="A104" s="47" t="s">
        <v>207</v>
      </c>
      <c r="B104" s="22"/>
      <c r="C104" s="22"/>
      <c r="D104" s="22"/>
      <c r="E104" s="22"/>
      <c r="F104" s="22"/>
      <c r="G104" s="22"/>
      <c r="H104" s="23"/>
    </row>
    <row r="105" ht="15.75" customHeight="1">
      <c r="A105" s="68"/>
      <c r="B105" s="49"/>
      <c r="C105" s="49"/>
      <c r="D105" s="49"/>
      <c r="E105" s="49"/>
      <c r="F105" s="49"/>
      <c r="G105" s="49"/>
      <c r="H105" s="50"/>
    </row>
    <row r="106" ht="15.75" customHeight="1">
      <c r="A106" s="65"/>
      <c r="H106" s="66"/>
    </row>
    <row r="107" ht="15.75" customHeight="1">
      <c r="A107" s="65"/>
      <c r="H107" s="66"/>
    </row>
    <row r="108" ht="15.75" customHeight="1">
      <c r="A108" s="51"/>
      <c r="B108" s="52"/>
      <c r="C108" s="52"/>
      <c r="D108" s="52"/>
      <c r="E108" s="52"/>
      <c r="F108" s="52"/>
      <c r="G108" s="52"/>
      <c r="H108" s="53"/>
    </row>
    <row r="109" ht="15.75" customHeight="1"/>
    <row r="110" ht="15.75" customHeight="1"/>
    <row r="111" ht="15.75" customHeight="1">
      <c r="A111" s="45" t="s">
        <v>251</v>
      </c>
      <c r="E111" s="37" t="s">
        <v>115</v>
      </c>
      <c r="F111" s="46"/>
      <c r="G111" s="37" t="s">
        <v>202</v>
      </c>
      <c r="H111" s="46"/>
    </row>
    <row r="112" ht="15.75" customHeight="1">
      <c r="A112" s="40" t="s">
        <v>214</v>
      </c>
    </row>
    <row r="113" ht="15.75" customHeight="1">
      <c r="A113" s="55" t="s">
        <v>126</v>
      </c>
      <c r="B113" s="21"/>
      <c r="C113" s="22"/>
      <c r="D113" s="22"/>
      <c r="E113" s="22"/>
      <c r="F113" s="22"/>
      <c r="G113" s="22"/>
      <c r="H113" s="23"/>
    </row>
    <row r="114" ht="15.75" customHeight="1">
      <c r="A114" s="55" t="s">
        <v>126</v>
      </c>
      <c r="B114" s="21"/>
      <c r="C114" s="22"/>
      <c r="D114" s="22"/>
      <c r="E114" s="22"/>
      <c r="F114" s="22"/>
      <c r="G114" s="22"/>
      <c r="H114" s="23"/>
    </row>
    <row r="115" ht="15.75" customHeight="1">
      <c r="A115" s="55" t="s">
        <v>126</v>
      </c>
      <c r="B115" s="21"/>
      <c r="C115" s="22"/>
      <c r="D115" s="22"/>
      <c r="E115" s="22"/>
      <c r="F115" s="22"/>
      <c r="G115" s="22"/>
      <c r="H115" s="23"/>
    </row>
    <row r="116" ht="15.75" customHeight="1">
      <c r="A116" s="55" t="s">
        <v>203</v>
      </c>
      <c r="B116" s="21"/>
      <c r="C116" s="22"/>
      <c r="D116" s="22"/>
      <c r="E116" s="22"/>
      <c r="F116" s="22"/>
      <c r="G116" s="22"/>
      <c r="H116" s="23"/>
    </row>
    <row r="117" ht="15.75" customHeight="1">
      <c r="A117" s="47" t="s">
        <v>205</v>
      </c>
      <c r="B117" s="22"/>
      <c r="C117" s="22"/>
      <c r="D117" s="22"/>
      <c r="E117" s="22"/>
      <c r="F117" s="22"/>
      <c r="G117" s="22"/>
      <c r="H117" s="23"/>
    </row>
    <row r="118" ht="15.75" customHeight="1">
      <c r="A118" s="68"/>
      <c r="B118" s="49"/>
      <c r="C118" s="49"/>
      <c r="D118" s="49"/>
      <c r="E118" s="49"/>
      <c r="F118" s="49"/>
      <c r="G118" s="49"/>
      <c r="H118" s="50"/>
    </row>
    <row r="119" ht="15.75" customHeight="1">
      <c r="A119" s="65"/>
      <c r="H119" s="66"/>
    </row>
    <row r="120" ht="15.75" customHeight="1">
      <c r="A120" s="51"/>
      <c r="B120" s="52"/>
      <c r="C120" s="52"/>
      <c r="D120" s="52"/>
      <c r="E120" s="52"/>
      <c r="F120" s="52"/>
      <c r="G120" s="52"/>
      <c r="H120" s="53"/>
    </row>
    <row r="121" ht="15.75" customHeight="1">
      <c r="A121" s="47" t="s">
        <v>207</v>
      </c>
      <c r="B121" s="22"/>
      <c r="C121" s="22"/>
      <c r="D121" s="22"/>
      <c r="E121" s="22"/>
      <c r="F121" s="22"/>
      <c r="G121" s="22"/>
      <c r="H121" s="23"/>
    </row>
    <row r="122" ht="15.75" customHeight="1">
      <c r="A122" s="68"/>
      <c r="B122" s="49"/>
      <c r="C122" s="49"/>
      <c r="D122" s="49"/>
      <c r="E122" s="49"/>
      <c r="F122" s="49"/>
      <c r="G122" s="49"/>
      <c r="H122" s="50"/>
    </row>
    <row r="123" ht="15.75" customHeight="1">
      <c r="A123" s="65"/>
      <c r="H123" s="66"/>
    </row>
    <row r="124" ht="15.75" customHeight="1">
      <c r="A124" s="65"/>
      <c r="H124" s="66"/>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9"/>
    </row>
    <row r="2" ht="15.75" customHeight="1">
      <c r="A2" s="19"/>
      <c r="B2" s="43" t="s">
        <v>252</v>
      </c>
    </row>
    <row r="3" ht="15.75" customHeight="1">
      <c r="A3" s="19"/>
    </row>
    <row r="4" ht="15.75" customHeight="1">
      <c r="A4" s="19"/>
      <c r="B4" s="3" t="s">
        <v>1</v>
      </c>
      <c r="C4" s="3" t="str">
        <f>'Diseño'!C4</f>
        <v>777 - Organización de Lenguajes y Compiladores 1</v>
      </c>
    </row>
    <row r="5" ht="15.75" customHeight="1">
      <c r="A5" s="19"/>
      <c r="B5" s="19" t="s">
        <v>3</v>
      </c>
      <c r="C5" s="5" t="s">
        <v>4</v>
      </c>
    </row>
    <row r="6" ht="15.75" customHeight="1">
      <c r="A6" s="19"/>
      <c r="B6" s="19" t="s">
        <v>253</v>
      </c>
      <c r="H6" s="72"/>
    </row>
    <row r="7" ht="15.75" customHeight="1">
      <c r="A7" s="19"/>
    </row>
    <row r="8" ht="15.75" customHeight="1">
      <c r="A8" s="19"/>
    </row>
    <row r="9" ht="15.75" customHeight="1">
      <c r="A9" s="37" t="s">
        <v>254</v>
      </c>
      <c r="B9" s="73"/>
      <c r="D9" s="37" t="s">
        <v>199</v>
      </c>
      <c r="E9" s="74"/>
      <c r="F9" s="75"/>
      <c r="G9" s="75"/>
      <c r="H9" s="75"/>
      <c r="I9" s="75"/>
      <c r="J9" s="75"/>
      <c r="K9" s="75"/>
      <c r="L9" s="75"/>
      <c r="M9" s="75"/>
      <c r="N9" s="75"/>
      <c r="O9" s="75"/>
      <c r="P9" s="75"/>
      <c r="Q9" s="75"/>
      <c r="R9" s="75"/>
      <c r="S9" s="75"/>
      <c r="T9" s="75"/>
      <c r="U9" s="75"/>
      <c r="V9" s="75"/>
      <c r="W9" s="75"/>
      <c r="X9" s="75"/>
      <c r="Y9" s="75"/>
      <c r="Z9" s="75"/>
    </row>
    <row r="10" ht="15.75" customHeight="1">
      <c r="A10" s="76" t="s">
        <v>255</v>
      </c>
      <c r="D10" s="76" t="s">
        <v>256</v>
      </c>
    </row>
    <row r="11" ht="15.75" customHeight="1">
      <c r="A11" s="77"/>
      <c r="B11" s="78"/>
      <c r="C11" s="78"/>
      <c r="D11" s="78"/>
    </row>
    <row r="12" ht="15.75" customHeight="1">
      <c r="A12" s="79" t="s">
        <v>149</v>
      </c>
      <c r="B12" s="80" t="s">
        <v>257</v>
      </c>
      <c r="C12" s="80" t="s">
        <v>258</v>
      </c>
      <c r="D12" s="80" t="s">
        <v>259</v>
      </c>
    </row>
    <row r="13" ht="15.75" customHeight="1">
      <c r="A13" s="44" t="s">
        <v>260</v>
      </c>
      <c r="B13" s="24"/>
      <c r="C13" s="24"/>
      <c r="D13" s="24"/>
      <c r="E13" s="76" t="s">
        <v>261</v>
      </c>
    </row>
    <row r="14" ht="15.75" customHeight="1">
      <c r="A14" s="44" t="s">
        <v>199</v>
      </c>
      <c r="B14" s="24">
        <f>Proyectos!C6</f>
        <v>100</v>
      </c>
      <c r="C14" s="24">
        <f>Proyectos!C5</f>
        <v>0</v>
      </c>
      <c r="D14" s="24"/>
    </row>
    <row r="15" ht="15.75" customHeight="1">
      <c r="A15" s="44" t="s">
        <v>262</v>
      </c>
      <c r="B15" s="24">
        <f>Practicas!C6</f>
        <v>0</v>
      </c>
      <c r="C15" s="24">
        <f>Practicas!C5</f>
        <v>5</v>
      </c>
      <c r="D15" s="24"/>
    </row>
    <row r="16" ht="15.75" customHeight="1">
      <c r="A16" s="44" t="s">
        <v>238</v>
      </c>
      <c r="B16" s="24">
        <f>Tareas!C6</f>
        <v>15</v>
      </c>
      <c r="C16" s="24">
        <f>Tareas!C5</f>
        <v>0</v>
      </c>
      <c r="D16" s="24"/>
    </row>
    <row r="17" ht="15.75" customHeight="1">
      <c r="A17" s="81" t="s">
        <v>263</v>
      </c>
      <c r="B17" s="82">
        <f t="shared" ref="B17:C17" si="1">SUM(B13:B16)</f>
        <v>115</v>
      </c>
      <c r="C17" s="82">
        <f t="shared" si="1"/>
        <v>5</v>
      </c>
      <c r="D17" s="82"/>
    </row>
    <row r="18" ht="15.75" customHeight="1">
      <c r="A18" s="19"/>
    </row>
    <row r="19" ht="15.75" customHeight="1">
      <c r="A19" s="19"/>
    </row>
    <row r="20" ht="15.75" customHeight="1">
      <c r="A20" s="19"/>
    </row>
    <row r="21" ht="15.75" customHeight="1">
      <c r="A21" s="19"/>
    </row>
    <row r="22" ht="15.75" customHeight="1">
      <c r="A22" s="19"/>
    </row>
    <row r="23" ht="15.75" customHeight="1">
      <c r="A23" s="19"/>
    </row>
    <row r="24" ht="15.75" customHeight="1">
      <c r="A24" s="19"/>
    </row>
    <row r="25" ht="15.75" customHeight="1">
      <c r="A25" s="19"/>
    </row>
    <row r="26" ht="15.75" customHeight="1">
      <c r="A26" s="19"/>
    </row>
    <row r="27" ht="15.75" customHeight="1">
      <c r="A27" s="19"/>
    </row>
    <row r="28" ht="15.75" customHeight="1">
      <c r="A28" s="19"/>
    </row>
    <row r="29" ht="15.75" customHeight="1">
      <c r="A29" s="19"/>
    </row>
    <row r="30" ht="15.75" customHeight="1">
      <c r="A30" s="19"/>
    </row>
    <row r="31" ht="15.75" customHeight="1">
      <c r="A31" s="19"/>
    </row>
    <row r="32" ht="15.75" customHeight="1">
      <c r="A32" s="19"/>
    </row>
    <row r="33" ht="15.75" customHeight="1">
      <c r="A33" s="19"/>
    </row>
    <row r="34" ht="15.75" customHeight="1">
      <c r="A34" s="19"/>
    </row>
    <row r="35" ht="15.75" customHeight="1">
      <c r="A35" s="19"/>
    </row>
    <row r="36" ht="15.75" customHeight="1">
      <c r="A36" s="19"/>
    </row>
    <row r="37" ht="15.75" customHeight="1">
      <c r="A37" s="19"/>
    </row>
    <row r="38" ht="15.75" customHeight="1">
      <c r="A38" s="19"/>
    </row>
    <row r="39" ht="15.75" customHeight="1">
      <c r="A39" s="19"/>
    </row>
    <row r="40" ht="15.75" customHeight="1">
      <c r="A40" s="19"/>
    </row>
    <row r="41" ht="15.75" customHeight="1">
      <c r="A41" s="19"/>
    </row>
    <row r="42" ht="15.75" customHeight="1">
      <c r="A42" s="19"/>
    </row>
    <row r="43" ht="15.75" customHeight="1">
      <c r="A43" s="19"/>
    </row>
    <row r="44" ht="15.75" customHeight="1">
      <c r="A44" s="19"/>
    </row>
    <row r="45" ht="15.75" customHeight="1">
      <c r="A45" s="19"/>
    </row>
    <row r="46" ht="15.75" customHeight="1">
      <c r="A46" s="19"/>
    </row>
    <row r="47" ht="15.75" customHeight="1">
      <c r="A47" s="19"/>
    </row>
    <row r="48" ht="15.75" customHeight="1">
      <c r="A48" s="19"/>
    </row>
    <row r="49" ht="15.75" customHeight="1">
      <c r="A49" s="19"/>
    </row>
    <row r="50" ht="15.75" customHeight="1">
      <c r="A50" s="19"/>
    </row>
    <row r="51" ht="15.75" customHeight="1">
      <c r="A51" s="19"/>
    </row>
    <row r="52" ht="15.75" customHeight="1">
      <c r="A52" s="19"/>
    </row>
    <row r="53" ht="15.75" customHeight="1">
      <c r="A53" s="19"/>
    </row>
    <row r="54" ht="15.75" customHeight="1">
      <c r="A54" s="19"/>
    </row>
    <row r="55" ht="15.75" customHeight="1">
      <c r="A55" s="19"/>
    </row>
    <row r="56" ht="15.75" customHeight="1">
      <c r="A56" s="19"/>
    </row>
    <row r="57" ht="15.75" customHeight="1">
      <c r="A57" s="19"/>
    </row>
    <row r="58" ht="15.75" customHeight="1">
      <c r="A58" s="19"/>
    </row>
    <row r="59" ht="15.75" customHeight="1">
      <c r="A59" s="19"/>
    </row>
    <row r="60" ht="15.75" customHeight="1">
      <c r="A60" s="19"/>
    </row>
    <row r="61" ht="15.75" customHeight="1">
      <c r="A61" s="19"/>
    </row>
    <row r="62" ht="15.75" customHeight="1">
      <c r="A62" s="19"/>
    </row>
    <row r="63" ht="15.75" customHeight="1">
      <c r="A63" s="19"/>
    </row>
    <row r="64" ht="15.75" customHeight="1">
      <c r="A64" s="19"/>
    </row>
    <row r="65" ht="15.75" customHeight="1">
      <c r="A65" s="19"/>
    </row>
    <row r="66" ht="15.75" customHeight="1">
      <c r="A66" s="19"/>
    </row>
    <row r="67" ht="15.75" customHeight="1">
      <c r="A67" s="19"/>
    </row>
    <row r="68" ht="15.75" customHeight="1">
      <c r="A68" s="19"/>
    </row>
    <row r="69" ht="15.75" customHeight="1">
      <c r="A69" s="19"/>
    </row>
    <row r="70" ht="15.75" customHeight="1">
      <c r="A70" s="19"/>
    </row>
    <row r="71" ht="15.75" customHeight="1">
      <c r="A71" s="19"/>
    </row>
    <row r="72" ht="15.75" customHeight="1">
      <c r="A72" s="19"/>
    </row>
    <row r="73" ht="15.75" customHeight="1">
      <c r="A73" s="19"/>
    </row>
    <row r="74" ht="15.75" customHeight="1">
      <c r="A74" s="19"/>
    </row>
    <row r="75" ht="15.75" customHeight="1">
      <c r="A75" s="19"/>
    </row>
    <row r="76" ht="15.75" customHeight="1">
      <c r="A76" s="19"/>
    </row>
    <row r="77" ht="15.75" customHeight="1">
      <c r="A77" s="19"/>
    </row>
    <row r="78" ht="15.75" customHeight="1">
      <c r="A78" s="19"/>
    </row>
    <row r="79" ht="15.75" customHeight="1">
      <c r="A79" s="19"/>
    </row>
    <row r="80" ht="15.75" customHeight="1">
      <c r="A80" s="19"/>
    </row>
    <row r="81" ht="15.75" customHeight="1">
      <c r="A81" s="19"/>
    </row>
    <row r="82" ht="15.75" customHeight="1">
      <c r="A82" s="19"/>
    </row>
    <row r="83" ht="15.75" customHeight="1">
      <c r="A83" s="19"/>
    </row>
    <row r="84" ht="15.75" customHeight="1">
      <c r="A84" s="19"/>
    </row>
    <row r="85" ht="15.75" customHeight="1">
      <c r="A85" s="19"/>
    </row>
    <row r="86" ht="15.75" customHeight="1">
      <c r="A86" s="19"/>
    </row>
    <row r="87" ht="15.75" customHeight="1">
      <c r="A87" s="19"/>
    </row>
    <row r="88" ht="15.75" customHeight="1">
      <c r="A88" s="19"/>
    </row>
    <row r="89" ht="15.75" customHeight="1">
      <c r="A89" s="19"/>
    </row>
    <row r="90" ht="15.75" customHeight="1">
      <c r="A90" s="19"/>
    </row>
    <row r="91" ht="15.75" customHeight="1">
      <c r="A91" s="19"/>
    </row>
    <row r="92" ht="15.75" customHeight="1">
      <c r="A92" s="19"/>
    </row>
    <row r="93" ht="15.75" customHeight="1">
      <c r="A93" s="19"/>
    </row>
    <row r="94" ht="15.75" customHeight="1">
      <c r="A94" s="19"/>
    </row>
    <row r="95" ht="15.75" customHeight="1">
      <c r="A95" s="19"/>
    </row>
    <row r="96" ht="15.75" customHeight="1">
      <c r="A96" s="19"/>
    </row>
    <row r="97" ht="15.75" customHeight="1">
      <c r="A97" s="19"/>
    </row>
    <row r="98" ht="15.75" customHeight="1">
      <c r="A98" s="19"/>
    </row>
    <row r="99" ht="15.75" customHeight="1">
      <c r="A99" s="19"/>
    </row>
    <row r="100" ht="15.75" customHeight="1">
      <c r="A100" s="19"/>
    </row>
    <row r="101" ht="15.75" customHeight="1">
      <c r="A101" s="19"/>
    </row>
    <row r="102" ht="15.75" customHeight="1">
      <c r="A102" s="19"/>
    </row>
    <row r="103" ht="15.75" customHeight="1">
      <c r="A103" s="19"/>
    </row>
    <row r="104" ht="15.75" customHeight="1">
      <c r="A104" s="19"/>
    </row>
    <row r="105" ht="15.75" customHeight="1">
      <c r="A105" s="19"/>
    </row>
    <row r="106" ht="15.75" customHeight="1">
      <c r="A106" s="19"/>
    </row>
    <row r="107" ht="15.75" customHeight="1">
      <c r="A107" s="19"/>
    </row>
    <row r="108" ht="15.75" customHeight="1">
      <c r="A108" s="19"/>
    </row>
    <row r="109" ht="15.75" customHeight="1">
      <c r="A109" s="19"/>
    </row>
    <row r="110" ht="15.75" customHeight="1">
      <c r="A110" s="19"/>
    </row>
    <row r="111" ht="15.75" customHeight="1">
      <c r="A111" s="19"/>
    </row>
    <row r="112" ht="15.75" customHeight="1">
      <c r="A112" s="19"/>
    </row>
    <row r="113" ht="15.75" customHeight="1">
      <c r="A113" s="19"/>
    </row>
    <row r="114" ht="15.75" customHeight="1">
      <c r="A114" s="19"/>
    </row>
    <row r="115" ht="15.75" customHeight="1">
      <c r="A115" s="19"/>
    </row>
    <row r="116" ht="15.75" customHeight="1">
      <c r="A116" s="19"/>
    </row>
    <row r="117" ht="15.75" customHeight="1">
      <c r="A117" s="19"/>
    </row>
    <row r="118" ht="15.75" customHeight="1">
      <c r="A118" s="19"/>
    </row>
    <row r="119" ht="15.75" customHeight="1">
      <c r="A119" s="19"/>
    </row>
    <row r="120" ht="15.75" customHeight="1">
      <c r="A120" s="19"/>
    </row>
    <row r="121" ht="15.75" customHeight="1">
      <c r="A121" s="19"/>
    </row>
    <row r="122" ht="15.75" customHeight="1">
      <c r="A122" s="19"/>
    </row>
    <row r="123" ht="15.75" customHeight="1">
      <c r="A123" s="19"/>
    </row>
    <row r="124" ht="15.75" customHeight="1">
      <c r="A124" s="19"/>
    </row>
    <row r="125" ht="15.75" customHeight="1">
      <c r="A125" s="19"/>
    </row>
    <row r="126" ht="15.75" customHeight="1">
      <c r="A126" s="19"/>
    </row>
    <row r="127" ht="15.75" customHeight="1">
      <c r="A127" s="19"/>
    </row>
    <row r="128" ht="15.75" customHeight="1">
      <c r="A128" s="19"/>
    </row>
    <row r="129" ht="15.75" customHeight="1">
      <c r="A129" s="19"/>
    </row>
    <row r="130" ht="15.75" customHeight="1">
      <c r="A130" s="19"/>
    </row>
    <row r="131" ht="15.75" customHeight="1">
      <c r="A131" s="19"/>
    </row>
    <row r="132" ht="15.75" customHeight="1">
      <c r="A132" s="19"/>
    </row>
    <row r="133" ht="15.75" customHeight="1">
      <c r="A133" s="19"/>
    </row>
    <row r="134" ht="15.75" customHeight="1">
      <c r="A134" s="19"/>
    </row>
    <row r="135" ht="15.75" customHeight="1">
      <c r="A135" s="19"/>
    </row>
    <row r="136" ht="15.75" customHeight="1">
      <c r="A136" s="19"/>
    </row>
    <row r="137" ht="15.75" customHeight="1">
      <c r="A137" s="19"/>
    </row>
    <row r="138" ht="15.75" customHeight="1">
      <c r="A138" s="19"/>
    </row>
    <row r="139" ht="15.75" customHeight="1">
      <c r="A139" s="19"/>
    </row>
    <row r="140" ht="15.75" customHeight="1">
      <c r="A140" s="19"/>
    </row>
    <row r="141" ht="15.75" customHeight="1">
      <c r="A141" s="19"/>
    </row>
    <row r="142" ht="15.75" customHeight="1">
      <c r="A142" s="19"/>
    </row>
    <row r="143" ht="15.75" customHeight="1">
      <c r="A143" s="19"/>
    </row>
    <row r="144" ht="15.75" customHeight="1">
      <c r="A144" s="19"/>
    </row>
    <row r="145" ht="15.75" customHeight="1">
      <c r="A145" s="19"/>
    </row>
    <row r="146" ht="15.75" customHeight="1">
      <c r="A146" s="19"/>
    </row>
    <row r="147" ht="15.75" customHeight="1">
      <c r="A147" s="19"/>
    </row>
    <row r="148" ht="15.75" customHeight="1">
      <c r="A148" s="19"/>
    </row>
    <row r="149" ht="15.75" customHeight="1">
      <c r="A149" s="19"/>
    </row>
    <row r="150" ht="15.75" customHeight="1">
      <c r="A150" s="19"/>
    </row>
    <row r="151" ht="15.75" customHeight="1">
      <c r="A151" s="19"/>
    </row>
    <row r="152" ht="15.75" customHeight="1">
      <c r="A152" s="19"/>
    </row>
    <row r="153" ht="15.75" customHeight="1">
      <c r="A153" s="19"/>
    </row>
    <row r="154" ht="15.75" customHeight="1">
      <c r="A154" s="19"/>
    </row>
    <row r="155" ht="15.75" customHeight="1">
      <c r="A155" s="19"/>
    </row>
    <row r="156" ht="15.75" customHeight="1">
      <c r="A156" s="19"/>
    </row>
    <row r="157" ht="15.75" customHeight="1">
      <c r="A157" s="19"/>
    </row>
    <row r="158" ht="15.75" customHeight="1">
      <c r="A158" s="19"/>
    </row>
    <row r="159" ht="15.75" customHeight="1">
      <c r="A159" s="19"/>
    </row>
    <row r="160" ht="15.75" customHeight="1">
      <c r="A160" s="19"/>
    </row>
    <row r="161" ht="15.75" customHeight="1">
      <c r="A161" s="19"/>
    </row>
    <row r="162" ht="15.75" customHeight="1">
      <c r="A162" s="19"/>
    </row>
    <row r="163" ht="15.75" customHeight="1">
      <c r="A163" s="19"/>
    </row>
    <row r="164" ht="15.75" customHeight="1">
      <c r="A164" s="19"/>
    </row>
    <row r="165" ht="15.75" customHeight="1">
      <c r="A165" s="19"/>
    </row>
    <row r="166" ht="15.75" customHeight="1">
      <c r="A166" s="19"/>
    </row>
    <row r="167" ht="15.75" customHeight="1">
      <c r="A167" s="19"/>
    </row>
    <row r="168" ht="15.75" customHeight="1">
      <c r="A168" s="19"/>
    </row>
    <row r="169" ht="15.75" customHeight="1">
      <c r="A169" s="19"/>
    </row>
    <row r="170" ht="15.75" customHeight="1">
      <c r="A170" s="19"/>
    </row>
    <row r="171" ht="15.75" customHeight="1">
      <c r="A171" s="19"/>
    </row>
    <row r="172" ht="15.75" customHeight="1">
      <c r="A172" s="19"/>
    </row>
    <row r="173" ht="15.75" customHeight="1">
      <c r="A173" s="19"/>
    </row>
    <row r="174" ht="15.75" customHeight="1">
      <c r="A174" s="19"/>
    </row>
    <row r="175" ht="15.75" customHeight="1">
      <c r="A175" s="19"/>
    </row>
    <row r="176" ht="15.75" customHeight="1">
      <c r="A176" s="19"/>
    </row>
    <row r="177" ht="15.75" customHeight="1">
      <c r="A177" s="19"/>
    </row>
    <row r="178" ht="15.75" customHeight="1">
      <c r="A178" s="19"/>
    </row>
    <row r="179" ht="15.75" customHeight="1">
      <c r="A179" s="19"/>
    </row>
    <row r="180" ht="15.75" customHeight="1">
      <c r="A180" s="19"/>
    </row>
    <row r="181" ht="15.75" customHeight="1">
      <c r="A181" s="19"/>
    </row>
    <row r="182" ht="15.75" customHeight="1">
      <c r="A182" s="19"/>
    </row>
    <row r="183" ht="15.75" customHeight="1">
      <c r="A183" s="19"/>
    </row>
    <row r="184" ht="15.75" customHeight="1">
      <c r="A184" s="19"/>
    </row>
    <row r="185" ht="15.75" customHeight="1">
      <c r="A185" s="19"/>
    </row>
    <row r="186" ht="15.75" customHeight="1">
      <c r="A186" s="19"/>
    </row>
    <row r="187" ht="15.75" customHeight="1">
      <c r="A187" s="19"/>
    </row>
    <row r="188" ht="15.75" customHeight="1">
      <c r="A188" s="19"/>
    </row>
    <row r="189" ht="15.75" customHeight="1">
      <c r="A189" s="19"/>
    </row>
    <row r="190" ht="15.75" customHeight="1">
      <c r="A190" s="19"/>
    </row>
    <row r="191" ht="15.75" customHeight="1">
      <c r="A191" s="19"/>
    </row>
    <row r="192" ht="15.75" customHeight="1">
      <c r="A192" s="19"/>
    </row>
    <row r="193" ht="15.75" customHeight="1">
      <c r="A193" s="19"/>
    </row>
    <row r="194" ht="15.75" customHeight="1">
      <c r="A194" s="19"/>
    </row>
    <row r="195" ht="15.75" customHeight="1">
      <c r="A195" s="19"/>
    </row>
    <row r="196" ht="15.75" customHeight="1">
      <c r="A196" s="19"/>
    </row>
    <row r="197" ht="15.75" customHeight="1">
      <c r="A197" s="19"/>
    </row>
    <row r="198" ht="15.75" customHeight="1">
      <c r="A198" s="19"/>
    </row>
    <row r="199" ht="15.75" customHeight="1">
      <c r="A199" s="19"/>
    </row>
    <row r="200" ht="15.75" customHeight="1">
      <c r="A200" s="19"/>
    </row>
    <row r="201" ht="15.75" customHeight="1">
      <c r="A201" s="19"/>
    </row>
    <row r="202" ht="15.75" customHeight="1">
      <c r="A202" s="19"/>
    </row>
    <row r="203" ht="15.75" customHeight="1">
      <c r="A203" s="19"/>
    </row>
    <row r="204" ht="15.75" customHeight="1">
      <c r="A204" s="19"/>
    </row>
    <row r="205" ht="15.75" customHeight="1">
      <c r="A205" s="19"/>
    </row>
    <row r="206" ht="15.75" customHeight="1">
      <c r="A206" s="19"/>
    </row>
    <row r="207" ht="15.75" customHeight="1">
      <c r="A207" s="19"/>
    </row>
    <row r="208" ht="15.75" customHeight="1">
      <c r="A208" s="19"/>
    </row>
    <row r="209" ht="15.75" customHeight="1">
      <c r="A209" s="19"/>
    </row>
    <row r="210" ht="15.75" customHeight="1">
      <c r="A210" s="19"/>
    </row>
    <row r="211" ht="15.75" customHeight="1">
      <c r="A211" s="19"/>
    </row>
    <row r="212" ht="15.75" customHeight="1">
      <c r="A212" s="19"/>
    </row>
    <row r="213" ht="15.75" customHeight="1">
      <c r="A213" s="19"/>
    </row>
    <row r="214" ht="15.75" customHeight="1">
      <c r="A214" s="19"/>
    </row>
    <row r="215" ht="15.75" customHeight="1">
      <c r="A215" s="19"/>
    </row>
    <row r="216" ht="15.75" customHeight="1">
      <c r="A216" s="19"/>
    </row>
    <row r="217" ht="15.75" customHeight="1">
      <c r="A217" s="19"/>
    </row>
    <row r="218" ht="15.75" customHeight="1">
      <c r="A218" s="19"/>
    </row>
    <row r="219" ht="15.75" customHeight="1">
      <c r="A219" s="19"/>
    </row>
    <row r="220" ht="15.75" customHeight="1">
      <c r="A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