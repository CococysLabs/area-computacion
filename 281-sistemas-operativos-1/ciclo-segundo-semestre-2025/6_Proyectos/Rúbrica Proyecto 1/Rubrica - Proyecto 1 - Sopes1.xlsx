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<sst xmlns="http://schemas.openxmlformats.org/spreadsheetml/2006/main" count="189" uniqueCount="68">
  <si>
    <t>RÚBRICA DE CALIFICACIÓN - PROYECTO 1</t>
  </si>
  <si>
    <t>No.</t>
  </si>
  <si>
    <t>Criterio de evaluación</t>
  </si>
  <si>
    <t>Punteo máximo</t>
  </si>
  <si>
    <t>Satisfactorio (100%-61%)</t>
  </si>
  <si>
    <t>Necesita mejorar (60%-0%)</t>
  </si>
  <si>
    <t>Obtenido</t>
  </si>
  <si>
    <t>CONOCIMIENTOS</t>
  </si>
  <si>
    <t>1</t>
  </si>
  <si>
    <t>1.1</t>
  </si>
  <si>
    <t>Descripción</t>
  </si>
  <si>
    <t>Rango del punteo</t>
  </si>
  <si>
    <t>2 /</t>
  </si>
  <si>
    <t>1 - 0 /</t>
  </si>
  <si>
    <t>1.2</t>
  </si>
  <si>
    <t>Puntos</t>
  </si>
  <si>
    <t>2</t>
  </si>
  <si>
    <t>2.1</t>
  </si>
  <si>
    <t>1 /</t>
  </si>
  <si>
    <t>0 /</t>
  </si>
  <si>
    <t>2.2</t>
  </si>
  <si>
    <t>3</t>
  </si>
  <si>
    <t>3.1</t>
  </si>
  <si>
    <t>3.2</t>
  </si>
  <si>
    <t>3.3</t>
  </si>
  <si>
    <t>3.4</t>
  </si>
  <si>
    <t>3.5</t>
  </si>
  <si>
    <t>3.6</t>
  </si>
  <si>
    <t>4</t>
  </si>
  <si>
    <t>COMUNICACIÓN ENTRE VLANS</t>
  </si>
  <si>
    <t>4.1</t>
  </si>
  <si>
    <t>3 - 2 /</t>
  </si>
  <si>
    <t>4.2</t>
  </si>
  <si>
    <t>4.3</t>
  </si>
  <si>
    <t>4.4</t>
  </si>
  <si>
    <t>4.5</t>
  </si>
  <si>
    <t>4.6</t>
  </si>
  <si>
    <t>4.7</t>
  </si>
  <si>
    <t>4.8</t>
  </si>
  <si>
    <t>4.9</t>
  </si>
  <si>
    <t>5</t>
  </si>
  <si>
    <t>5.1</t>
  </si>
  <si>
    <t>4 - 2 /</t>
  </si>
  <si>
    <t>5.2</t>
  </si>
  <si>
    <t>5.3</t>
  </si>
  <si>
    <t>6</t>
  </si>
  <si>
    <t>6.1</t>
  </si>
  <si>
    <t>6.2</t>
  </si>
  <si>
    <t>7</t>
  </si>
  <si>
    <t>ENRUTAMIENTO DINÁMICO</t>
  </si>
  <si>
    <t>7.1</t>
  </si>
  <si>
    <t>7.2</t>
  </si>
  <si>
    <t>7.3</t>
  </si>
  <si>
    <t>8</t>
  </si>
  <si>
    <t>DOCUMENTACIÓN</t>
  </si>
  <si>
    <t>8.1</t>
  </si>
  <si>
    <t>7 - 4 /</t>
  </si>
  <si>
    <t>3 - 0 /</t>
  </si>
  <si>
    <t>TOTAL</t>
  </si>
  <si>
    <t>HABILIDADES</t>
  </si>
  <si>
    <t>9</t>
  </si>
  <si>
    <t>EVALUACIÓN DE CONOCIMIENTO INDIVIDUAL</t>
  </si>
  <si>
    <t>9.1</t>
  </si>
  <si>
    <t>10 - 6 /</t>
  </si>
  <si>
    <t>5 - 0 /</t>
  </si>
  <si>
    <t>9.2</t>
  </si>
  <si>
    <t>9.3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</si>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</sst>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Calibri"/>
    </font>
    <font/>
    <font>
      <b/>
      <sz val="12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wrapText="1"/>
    </xf>
    <xf borderId="4" fillId="2" fontId="4" numFmtId="0" xfId="0" applyBorder="1" applyFont="1"/>
    <xf borderId="5" fillId="2" fontId="3" numFmtId="0" xfId="0" applyAlignment="1" applyBorder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ont="1">
      <alignment shrinkToFit="0" wrapText="1"/>
    </xf>
    <xf borderId="4" fillId="3" fontId="4" numFmtId="0" xfId="0" applyBorder="1" applyFont="1"/>
    <xf borderId="8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4" fontId="4" numFmtId="0" xfId="0" applyAlignment="1" applyBorder="1" applyFill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0" fontId="4" numFmtId="0" xfId="0" applyAlignment="1" applyBorder="1" applyFont="1">
      <alignment vertical="bottom"/>
    </xf>
    <xf borderId="9" fillId="0" fontId="2" numFmtId="0" xfId="0" applyBorder="1" applyFont="1"/>
    <xf borderId="9" fillId="0" fontId="4" numFmtId="0" xfId="0" applyAlignment="1" applyBorder="1" applyFont="1">
      <alignment shrinkToFit="0" wrapText="1"/>
    </xf>
    <xf quotePrefix="1"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wrapText="1"/>
    </xf>
    <xf borderId="5" fillId="6" fontId="7" numFmtId="0" xfId="0" applyAlignment="1" applyBorder="1" applyFill="1" applyFont="1">
      <alignment vertical="bottom"/>
    </xf>
    <xf borderId="4" fillId="6" fontId="7" numFmtId="0" xfId="0" applyAlignment="1" applyBorder="1" applyFont="1">
      <alignment horizontal="center" vertical="bottom"/>
    </xf>
    <xf borderId="5" fillId="6" fontId="4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4" max="4" width="20.25"/>
    <col customWidth="1" min="5" max="5" width="30.75"/>
    <col customWidth="1" min="6" max="6" width="48.25"/>
    <col customWidth="1" min="7" max="7" width="52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5"/>
      <c r="E2" s="4" t="s">
        <v>4</v>
      </c>
      <c r="F2" s="4" t="s">
        <v>5</v>
      </c>
      <c r="G2" s="4" t="s">
        <v>6</v>
      </c>
    </row>
    <row r="3">
      <c r="A3" s="6" t="s">
        <v>7</v>
      </c>
      <c r="B3" s="7"/>
      <c r="C3" s="7"/>
      <c r="D3" s="7"/>
      <c r="E3" s="7"/>
      <c r="F3" s="7"/>
      <c r="G3" s="8"/>
    </row>
    <row r="4">
      <c r="A4" s="9" t="s">
        <v>8</v>
      </c>
      <c r="B4" s="10"/>
      <c r="C4" s="11"/>
      <c r="D4" s="11"/>
      <c r="E4" s="11"/>
      <c r="F4" s="11"/>
      <c r="G4" s="11"/>
    </row>
    <row r="5">
      <c r="A5" s="12" t="s">
        <v>9</v>
      </c>
      <c r="B5" s="13"/>
      <c r="C5" s="12">
        <v>2.0</v>
      </c>
      <c r="D5" s="14" t="s">
        <v>10</v>
      </c>
      <c r="E5" s="15"/>
      <c r="F5" s="16"/>
      <c r="G5" s="17"/>
    </row>
    <row r="6">
      <c r="A6" s="18"/>
      <c r="B6" s="18"/>
      <c r="C6" s="18"/>
      <c r="D6" s="19" t="s">
        <v>11</v>
      </c>
      <c r="E6" s="20" t="s">
        <v>12</v>
      </c>
      <c r="F6" s="20" t="s">
        <v>13</v>
      </c>
      <c r="G6" s="17"/>
    </row>
    <row r="7">
      <c r="A7" s="12" t="s">
        <v>14</v>
      </c>
      <c r="B7" s="13"/>
      <c r="C7" s="12">
        <v>2.0</v>
      </c>
      <c r="D7" s="14" t="s">
        <v>10</v>
      </c>
      <c r="E7" s="15"/>
      <c r="F7" s="16"/>
      <c r="G7" s="21"/>
    </row>
    <row r="8">
      <c r="A8" s="18"/>
      <c r="B8" s="18"/>
      <c r="C8" s="18"/>
      <c r="D8" s="19" t="s">
        <v>11</v>
      </c>
      <c r="E8" s="20" t="s">
        <v>12</v>
      </c>
      <c r="F8" s="20" t="s">
        <v>13</v>
      </c>
      <c r="G8" s="17"/>
    </row>
    <row r="9">
      <c r="A9" s="17"/>
      <c r="B9" s="22" t="s">
        <v>15</v>
      </c>
      <c r="C9" s="23">
        <f>SUM(C5,C7)</f>
        <v>4</v>
      </c>
      <c r="D9" s="17"/>
      <c r="E9" s="17"/>
      <c r="F9" s="17"/>
      <c r="G9" s="17"/>
    </row>
    <row r="10">
      <c r="A10" s="9" t="s">
        <v>16</v>
      </c>
      <c r="B10" s="10"/>
      <c r="C10" s="11"/>
      <c r="D10" s="11"/>
      <c r="E10" s="11"/>
      <c r="F10" s="11"/>
      <c r="G10" s="11"/>
    </row>
    <row r="11">
      <c r="A11" s="12" t="s">
        <v>17</v>
      </c>
      <c r="B11" s="13"/>
      <c r="C11" s="12">
        <v>1.0</v>
      </c>
      <c r="D11" s="14" t="s">
        <v>10</v>
      </c>
      <c r="E11" s="15"/>
      <c r="F11" s="16"/>
      <c r="G11" s="21"/>
    </row>
    <row r="12">
      <c r="A12" s="18"/>
      <c r="B12" s="18"/>
      <c r="C12" s="18"/>
      <c r="D12" s="19" t="s">
        <v>11</v>
      </c>
      <c r="E12" s="20" t="s">
        <v>18</v>
      </c>
      <c r="F12" s="20" t="s">
        <v>19</v>
      </c>
      <c r="G12" s="17"/>
    </row>
    <row r="13">
      <c r="A13" s="12" t="s">
        <v>20</v>
      </c>
      <c r="B13" s="13"/>
      <c r="C13" s="12">
        <v>2.0</v>
      </c>
      <c r="D13" s="14" t="s">
        <v>10</v>
      </c>
      <c r="E13" s="15"/>
      <c r="F13" s="16"/>
      <c r="G13" s="21"/>
    </row>
    <row r="14">
      <c r="A14" s="18"/>
      <c r="B14" s="18"/>
      <c r="C14" s="18"/>
      <c r="D14" s="19" t="s">
        <v>11</v>
      </c>
      <c r="E14" s="20" t="s">
        <v>12</v>
      </c>
      <c r="F14" s="20" t="s">
        <v>13</v>
      </c>
      <c r="G14" s="17"/>
    </row>
    <row r="15">
      <c r="A15" s="17"/>
      <c r="B15" s="22" t="s">
        <v>15</v>
      </c>
      <c r="C15" s="23">
        <f>SUM(C11,C13)</f>
        <v>3</v>
      </c>
      <c r="D15" s="17"/>
      <c r="E15" s="17"/>
      <c r="F15" s="17"/>
      <c r="G15" s="17"/>
    </row>
    <row r="16">
      <c r="A16" s="9" t="s">
        <v>21</v>
      </c>
      <c r="B16" s="10"/>
      <c r="C16" s="11"/>
      <c r="D16" s="11"/>
      <c r="E16" s="11"/>
      <c r="F16" s="11"/>
      <c r="G16" s="11"/>
    </row>
    <row r="17">
      <c r="A17" s="12" t="s">
        <v>22</v>
      </c>
      <c r="B17" s="13"/>
      <c r="C17" s="12">
        <v>1.0</v>
      </c>
      <c r="D17" s="14" t="s">
        <v>10</v>
      </c>
      <c r="E17" s="15"/>
      <c r="F17" s="16"/>
      <c r="G17" s="21"/>
    </row>
    <row r="18">
      <c r="A18" s="18"/>
      <c r="B18" s="18"/>
      <c r="C18" s="18"/>
      <c r="D18" s="19" t="s">
        <v>11</v>
      </c>
      <c r="E18" s="20" t="s">
        <v>18</v>
      </c>
      <c r="F18" s="20" t="s">
        <v>19</v>
      </c>
      <c r="G18" s="17"/>
    </row>
    <row r="19">
      <c r="A19" s="12" t="s">
        <v>23</v>
      </c>
      <c r="B19" s="13"/>
      <c r="C19" s="12">
        <v>1.0</v>
      </c>
      <c r="D19" s="14" t="s">
        <v>10</v>
      </c>
      <c r="E19" s="15"/>
      <c r="F19" s="16"/>
      <c r="G19" s="21"/>
    </row>
    <row r="20">
      <c r="A20" s="18"/>
      <c r="B20" s="18"/>
      <c r="C20" s="18"/>
      <c r="D20" s="19" t="s">
        <v>11</v>
      </c>
      <c r="E20" s="20" t="s">
        <v>18</v>
      </c>
      <c r="F20" s="20" t="s">
        <v>19</v>
      </c>
      <c r="G20" s="17"/>
    </row>
    <row r="21">
      <c r="A21" s="12" t="s">
        <v>24</v>
      </c>
      <c r="B21" s="13"/>
      <c r="C21" s="12">
        <v>1.0</v>
      </c>
      <c r="D21" s="14" t="s">
        <v>10</v>
      </c>
      <c r="E21" s="15"/>
      <c r="F21" s="16"/>
      <c r="G21" s="21"/>
    </row>
    <row r="22">
      <c r="A22" s="18"/>
      <c r="B22" s="18"/>
      <c r="C22" s="18"/>
      <c r="D22" s="19" t="s">
        <v>11</v>
      </c>
      <c r="E22" s="20" t="s">
        <v>18</v>
      </c>
      <c r="F22" s="20" t="s">
        <v>19</v>
      </c>
      <c r="G22" s="17"/>
    </row>
    <row r="23">
      <c r="A23" s="12" t="s">
        <v>25</v>
      </c>
      <c r="B23" s="13"/>
      <c r="C23" s="12">
        <v>1.0</v>
      </c>
      <c r="D23" s="14" t="s">
        <v>10</v>
      </c>
      <c r="E23" s="15"/>
      <c r="F23" s="16"/>
      <c r="G23" s="21"/>
    </row>
    <row r="24">
      <c r="A24" s="18"/>
      <c r="B24" s="18"/>
      <c r="C24" s="18"/>
      <c r="D24" s="19" t="s">
        <v>11</v>
      </c>
      <c r="E24" s="20" t="s">
        <v>18</v>
      </c>
      <c r="F24" s="20" t="s">
        <v>19</v>
      </c>
      <c r="G24" s="17"/>
    </row>
    <row r="25">
      <c r="A25" s="12" t="s">
        <v>26</v>
      </c>
      <c r="B25" s="13"/>
      <c r="C25" s="12">
        <v>1.0</v>
      </c>
      <c r="D25" s="14" t="s">
        <v>10</v>
      </c>
      <c r="E25" s="15"/>
      <c r="F25" s="16"/>
      <c r="G25" s="21"/>
    </row>
    <row r="26">
      <c r="A26" s="18"/>
      <c r="B26" s="18"/>
      <c r="C26" s="18"/>
      <c r="D26" s="19" t="s">
        <v>11</v>
      </c>
      <c r="E26" s="20" t="s">
        <v>18</v>
      </c>
      <c r="F26" s="20" t="s">
        <v>19</v>
      </c>
      <c r="G26" s="17"/>
    </row>
    <row r="27">
      <c r="A27" s="12" t="s">
        <v>27</v>
      </c>
      <c r="B27" s="13"/>
      <c r="C27" s="12">
        <v>1.0</v>
      </c>
      <c r="D27" s="14" t="s">
        <v>10</v>
      </c>
      <c r="E27" s="15"/>
      <c r="F27" s="16"/>
      <c r="G27" s="21"/>
    </row>
    <row r="28">
      <c r="A28" s="18"/>
      <c r="B28" s="18"/>
      <c r="C28" s="18"/>
      <c r="D28" s="19" t="s">
        <v>11</v>
      </c>
      <c r="E28" s="20" t="s">
        <v>18</v>
      </c>
      <c r="F28" s="20" t="s">
        <v>19</v>
      </c>
      <c r="G28" s="17"/>
    </row>
    <row r="29">
      <c r="A29" s="17"/>
      <c r="B29" s="22" t="s">
        <v>15</v>
      </c>
      <c r="C29" s="23">
        <f>SUM(C27,C25,C23,C21,C19,C17,)</f>
        <v>6</v>
      </c>
      <c r="D29" s="17"/>
      <c r="E29" s="17"/>
      <c r="F29" s="17"/>
      <c r="G29" s="17"/>
    </row>
    <row r="30">
      <c r="A30" s="9" t="s">
        <v>28</v>
      </c>
      <c r="B30" s="10" t="s">
        <v>29</v>
      </c>
      <c r="C30" s="11"/>
      <c r="D30" s="11"/>
      <c r="E30" s="11"/>
      <c r="F30" s="11"/>
      <c r="G30" s="11"/>
    </row>
    <row r="31">
      <c r="A31" s="12" t="s">
        <v>30</v>
      </c>
      <c r="B31" s="13"/>
      <c r="C31" s="12">
        <v>3.0</v>
      </c>
      <c r="D31" s="14" t="s">
        <v>10</v>
      </c>
      <c r="E31" s="15"/>
      <c r="F31" s="16"/>
      <c r="G31" s="21"/>
    </row>
    <row r="32">
      <c r="A32" s="18"/>
      <c r="B32" s="18"/>
      <c r="C32" s="18"/>
      <c r="D32" s="19" t="s">
        <v>11</v>
      </c>
      <c r="E32" s="20" t="s">
        <v>31</v>
      </c>
      <c r="F32" s="20" t="s">
        <v>13</v>
      </c>
      <c r="G32" s="17"/>
    </row>
    <row r="33">
      <c r="A33" s="12" t="s">
        <v>32</v>
      </c>
      <c r="B33" s="13"/>
      <c r="C33" s="12">
        <v>3.0</v>
      </c>
      <c r="D33" s="14" t="s">
        <v>10</v>
      </c>
      <c r="E33" s="15"/>
      <c r="F33" s="16"/>
      <c r="G33" s="21"/>
    </row>
    <row r="34">
      <c r="A34" s="18"/>
      <c r="B34" s="18"/>
      <c r="C34" s="18"/>
      <c r="D34" s="19" t="s">
        <v>11</v>
      </c>
      <c r="E34" s="20" t="s">
        <v>31</v>
      </c>
      <c r="F34" s="20" t="s">
        <v>13</v>
      </c>
      <c r="G34" s="17"/>
    </row>
    <row r="35">
      <c r="A35" s="12" t="s">
        <v>33</v>
      </c>
      <c r="B35" s="13"/>
      <c r="C35" s="12">
        <v>3.0</v>
      </c>
      <c r="D35" s="14" t="s">
        <v>10</v>
      </c>
      <c r="E35" s="15"/>
      <c r="F35" s="16"/>
      <c r="G35" s="21"/>
    </row>
    <row r="36">
      <c r="A36" s="18"/>
      <c r="B36" s="18"/>
      <c r="C36" s="18"/>
      <c r="D36" s="19" t="s">
        <v>11</v>
      </c>
      <c r="E36" s="20" t="s">
        <v>31</v>
      </c>
      <c r="F36" s="20" t="s">
        <v>13</v>
      </c>
      <c r="G36" s="17"/>
    </row>
    <row r="37">
      <c r="A37" s="12" t="s">
        <v>34</v>
      </c>
      <c r="B37" s="13"/>
      <c r="C37" s="12">
        <v>3.0</v>
      </c>
      <c r="D37" s="14" t="s">
        <v>10</v>
      </c>
      <c r="E37" s="15"/>
      <c r="F37" s="16"/>
      <c r="G37" s="21"/>
    </row>
    <row r="38">
      <c r="A38" s="18"/>
      <c r="B38" s="18"/>
      <c r="C38" s="18"/>
      <c r="D38" s="19" t="s">
        <v>11</v>
      </c>
      <c r="E38" s="20" t="s">
        <v>31</v>
      </c>
      <c r="F38" s="20" t="s">
        <v>13</v>
      </c>
      <c r="G38" s="17"/>
    </row>
    <row r="39">
      <c r="A39" s="12" t="s">
        <v>35</v>
      </c>
      <c r="B39" s="13"/>
      <c r="C39" s="12">
        <v>3.0</v>
      </c>
      <c r="D39" s="14" t="s">
        <v>10</v>
      </c>
      <c r="E39" s="15"/>
      <c r="F39" s="16"/>
      <c r="G39" s="21"/>
    </row>
    <row r="40">
      <c r="A40" s="18"/>
      <c r="B40" s="18"/>
      <c r="C40" s="18"/>
      <c r="D40" s="19" t="s">
        <v>11</v>
      </c>
      <c r="E40" s="20" t="s">
        <v>31</v>
      </c>
      <c r="F40" s="20" t="s">
        <v>13</v>
      </c>
      <c r="G40" s="17"/>
    </row>
    <row r="41">
      <c r="A41" s="12" t="s">
        <v>36</v>
      </c>
      <c r="B41" s="13"/>
      <c r="C41" s="12">
        <v>3.0</v>
      </c>
      <c r="D41" s="14" t="s">
        <v>10</v>
      </c>
      <c r="E41" s="15"/>
      <c r="F41" s="16"/>
      <c r="G41" s="21"/>
    </row>
    <row r="42">
      <c r="A42" s="18"/>
      <c r="B42" s="18"/>
      <c r="C42" s="18"/>
      <c r="D42" s="19" t="s">
        <v>11</v>
      </c>
      <c r="E42" s="20" t="s">
        <v>31</v>
      </c>
      <c r="F42" s="20" t="s">
        <v>13</v>
      </c>
      <c r="G42" s="17"/>
    </row>
    <row r="43">
      <c r="A43" s="12" t="s">
        <v>37</v>
      </c>
      <c r="B43" s="13"/>
      <c r="C43" s="12">
        <v>3.0</v>
      </c>
      <c r="D43" s="14" t="s">
        <v>10</v>
      </c>
      <c r="E43" s="15"/>
      <c r="F43" s="16"/>
      <c r="G43" s="21"/>
    </row>
    <row r="44">
      <c r="A44" s="18"/>
      <c r="B44" s="18"/>
      <c r="C44" s="18"/>
      <c r="D44" s="19" t="s">
        <v>11</v>
      </c>
      <c r="E44" s="20" t="s">
        <v>31</v>
      </c>
      <c r="F44" s="20" t="s">
        <v>13</v>
      </c>
      <c r="G44" s="17"/>
    </row>
    <row r="45">
      <c r="A45" s="12" t="s">
        <v>38</v>
      </c>
      <c r="B45" s="13"/>
      <c r="C45" s="12">
        <v>3.0</v>
      </c>
      <c r="D45" s="14" t="s">
        <v>10</v>
      </c>
      <c r="E45" s="15"/>
      <c r="F45" s="16"/>
      <c r="G45" s="21"/>
    </row>
    <row r="46">
      <c r="A46" s="18"/>
      <c r="B46" s="18"/>
      <c r="C46" s="18"/>
      <c r="D46" s="19" t="s">
        <v>11</v>
      </c>
      <c r="E46" s="20" t="s">
        <v>31</v>
      </c>
      <c r="F46" s="20" t="s">
        <v>13</v>
      </c>
      <c r="G46" s="17"/>
    </row>
    <row r="47">
      <c r="A47" s="12" t="s">
        <v>39</v>
      </c>
      <c r="B47" s="13"/>
      <c r="C47" s="12">
        <v>3.0</v>
      </c>
      <c r="D47" s="14" t="s">
        <v>10</v>
      </c>
      <c r="E47" s="15"/>
      <c r="F47" s="16"/>
      <c r="G47" s="21"/>
    </row>
    <row r="48">
      <c r="A48" s="18"/>
      <c r="B48" s="18"/>
      <c r="C48" s="18"/>
      <c r="D48" s="19" t="s">
        <v>11</v>
      </c>
      <c r="E48" s="20" t="s">
        <v>31</v>
      </c>
      <c r="F48" s="20" t="s">
        <v>13</v>
      </c>
      <c r="G48" s="17"/>
    </row>
    <row r="49">
      <c r="A49" s="17"/>
      <c r="B49" s="22" t="s">
        <v>15</v>
      </c>
      <c r="C49" s="23">
        <f>SUM(C31,C33,C35,C37,C39,C41,C43,C45,C47)</f>
        <v>27</v>
      </c>
      <c r="D49" s="17"/>
      <c r="E49" s="17"/>
      <c r="F49" s="17"/>
      <c r="G49" s="17"/>
    </row>
    <row r="50">
      <c r="A50" s="9" t="s">
        <v>40</v>
      </c>
      <c r="B50" s="10"/>
      <c r="C50" s="11"/>
      <c r="D50" s="11"/>
      <c r="E50" s="11"/>
      <c r="F50" s="11"/>
      <c r="G50" s="11"/>
    </row>
    <row r="51">
      <c r="A51" s="12" t="s">
        <v>41</v>
      </c>
      <c r="B51" s="13"/>
      <c r="C51" s="12">
        <v>4.0</v>
      </c>
      <c r="D51" s="14" t="s">
        <v>10</v>
      </c>
      <c r="E51" s="15"/>
      <c r="F51" s="16"/>
      <c r="G51" s="21"/>
    </row>
    <row r="52">
      <c r="A52" s="18"/>
      <c r="B52" s="18"/>
      <c r="C52" s="18"/>
      <c r="D52" s="19" t="s">
        <v>11</v>
      </c>
      <c r="E52" s="20" t="s">
        <v>42</v>
      </c>
      <c r="F52" s="20" t="s">
        <v>13</v>
      </c>
      <c r="G52" s="17"/>
    </row>
    <row r="53">
      <c r="A53" s="12" t="s">
        <v>43</v>
      </c>
      <c r="B53" s="13"/>
      <c r="C53" s="12">
        <v>4.0</v>
      </c>
      <c r="D53" s="14" t="s">
        <v>10</v>
      </c>
      <c r="E53" s="15"/>
      <c r="F53" s="16"/>
      <c r="G53" s="21"/>
    </row>
    <row r="54">
      <c r="A54" s="18"/>
      <c r="B54" s="18"/>
      <c r="C54" s="18"/>
      <c r="D54" s="19" t="s">
        <v>11</v>
      </c>
      <c r="E54" s="20" t="s">
        <v>42</v>
      </c>
      <c r="F54" s="20" t="s">
        <v>13</v>
      </c>
      <c r="G54" s="17"/>
    </row>
    <row r="55">
      <c r="A55" s="12" t="s">
        <v>44</v>
      </c>
      <c r="B55" s="13"/>
      <c r="C55" s="12">
        <v>2.0</v>
      </c>
      <c r="D55" s="14" t="s">
        <v>10</v>
      </c>
      <c r="E55" s="15"/>
      <c r="F55" s="16"/>
      <c r="G55" s="21"/>
    </row>
    <row r="56">
      <c r="A56" s="18"/>
      <c r="B56" s="18"/>
      <c r="C56" s="18"/>
      <c r="D56" s="19" t="s">
        <v>11</v>
      </c>
      <c r="E56" s="20" t="s">
        <v>12</v>
      </c>
      <c r="F56" s="20" t="s">
        <v>13</v>
      </c>
      <c r="G56" s="17"/>
    </row>
    <row r="57">
      <c r="A57" s="17"/>
      <c r="B57" s="22" t="s">
        <v>15</v>
      </c>
      <c r="C57" s="23">
        <f>SUM(C51:C56)</f>
        <v>10</v>
      </c>
      <c r="D57" s="17"/>
      <c r="E57" s="17"/>
      <c r="F57" s="17"/>
      <c r="G57" s="17"/>
    </row>
    <row r="58">
      <c r="A58" s="9" t="s">
        <v>45</v>
      </c>
      <c r="B58" s="10"/>
      <c r="C58" s="11"/>
      <c r="D58" s="11"/>
      <c r="E58" s="11"/>
      <c r="F58" s="11"/>
      <c r="G58" s="11"/>
    </row>
    <row r="59">
      <c r="A59" s="12" t="s">
        <v>46</v>
      </c>
      <c r="B59" s="13"/>
      <c r="C59" s="12">
        <v>2.0</v>
      </c>
      <c r="D59" s="14" t="s">
        <v>10</v>
      </c>
      <c r="E59" s="15"/>
      <c r="F59" s="16"/>
      <c r="G59" s="21"/>
    </row>
    <row r="60">
      <c r="A60" s="18"/>
      <c r="B60" s="18"/>
      <c r="C60" s="18"/>
      <c r="D60" s="19" t="s">
        <v>11</v>
      </c>
      <c r="E60" s="20" t="s">
        <v>12</v>
      </c>
      <c r="F60" s="20" t="s">
        <v>13</v>
      </c>
      <c r="G60" s="17"/>
    </row>
    <row r="61">
      <c r="A61" s="12" t="s">
        <v>47</v>
      </c>
      <c r="B61" s="13"/>
      <c r="C61" s="12">
        <v>2.0</v>
      </c>
      <c r="D61" s="14" t="s">
        <v>10</v>
      </c>
      <c r="E61" s="15"/>
      <c r="F61" s="16"/>
      <c r="G61" s="21"/>
    </row>
    <row r="62">
      <c r="A62" s="18"/>
      <c r="B62" s="18"/>
      <c r="C62" s="18"/>
      <c r="D62" s="19" t="s">
        <v>11</v>
      </c>
      <c r="E62" s="20" t="s">
        <v>12</v>
      </c>
      <c r="F62" s="20" t="s">
        <v>13</v>
      </c>
      <c r="G62" s="17"/>
    </row>
    <row r="63">
      <c r="A63" s="17"/>
      <c r="B63" s="22" t="s">
        <v>15</v>
      </c>
      <c r="C63" s="23">
        <f>SUM(C59:C62)</f>
        <v>4</v>
      </c>
      <c r="D63" s="17"/>
      <c r="E63" s="17"/>
      <c r="F63" s="17"/>
      <c r="G63" s="17"/>
    </row>
    <row r="64">
      <c r="A64" s="9" t="s">
        <v>48</v>
      </c>
      <c r="B64" s="10" t="s">
        <v>49</v>
      </c>
      <c r="C64" s="11"/>
      <c r="D64" s="11"/>
      <c r="E64" s="11"/>
      <c r="F64" s="11"/>
      <c r="G64" s="11"/>
    </row>
    <row r="65">
      <c r="A65" s="12" t="s">
        <v>50</v>
      </c>
      <c r="B65" s="13"/>
      <c r="C65" s="12">
        <v>3.0</v>
      </c>
      <c r="D65" s="14" t="s">
        <v>10</v>
      </c>
      <c r="E65" s="15"/>
      <c r="F65" s="16"/>
      <c r="G65" s="21"/>
    </row>
    <row r="66">
      <c r="A66" s="18"/>
      <c r="B66" s="18"/>
      <c r="C66" s="18"/>
      <c r="D66" s="19" t="s">
        <v>11</v>
      </c>
      <c r="E66" s="20" t="s">
        <v>31</v>
      </c>
      <c r="F66" s="20" t="s">
        <v>13</v>
      </c>
      <c r="G66" s="17"/>
    </row>
    <row r="67">
      <c r="A67" s="12" t="s">
        <v>51</v>
      </c>
      <c r="B67" s="13"/>
      <c r="C67" s="12">
        <v>3.0</v>
      </c>
      <c r="D67" s="14" t="s">
        <v>10</v>
      </c>
      <c r="E67" s="15"/>
      <c r="F67" s="16"/>
      <c r="G67" s="21"/>
    </row>
    <row r="68">
      <c r="A68" s="18"/>
      <c r="B68" s="18"/>
      <c r="C68" s="18"/>
      <c r="D68" s="19" t="s">
        <v>11</v>
      </c>
      <c r="E68" s="20" t="s">
        <v>31</v>
      </c>
      <c r="F68" s="20" t="s">
        <v>13</v>
      </c>
      <c r="G68" s="17"/>
    </row>
    <row r="69">
      <c r="A69" s="12" t="s">
        <v>52</v>
      </c>
      <c r="B69" s="13"/>
      <c r="C69" s="12">
        <v>3.0</v>
      </c>
      <c r="D69" s="14" t="s">
        <v>10</v>
      </c>
      <c r="E69" s="15"/>
      <c r="F69" s="16"/>
      <c r="G69" s="21"/>
    </row>
    <row r="70">
      <c r="A70" s="18"/>
      <c r="B70" s="18"/>
      <c r="C70" s="18"/>
      <c r="D70" s="19" t="s">
        <v>11</v>
      </c>
      <c r="E70" s="20" t="s">
        <v>31</v>
      </c>
      <c r="F70" s="20" t="s">
        <v>13</v>
      </c>
      <c r="G70" s="17"/>
    </row>
    <row r="71">
      <c r="A71" s="17"/>
      <c r="B71" s="22" t="s">
        <v>15</v>
      </c>
      <c r="C71" s="23">
        <f>SUM(C65:C70)</f>
        <v>9</v>
      </c>
      <c r="D71" s="17"/>
      <c r="E71" s="17"/>
      <c r="F71" s="17"/>
      <c r="G71" s="17"/>
    </row>
    <row r="72">
      <c r="A72" s="9" t="s">
        <v>53</v>
      </c>
      <c r="B72" s="10" t="s">
        <v>54</v>
      </c>
      <c r="C72" s="11"/>
      <c r="D72" s="11"/>
      <c r="E72" s="11"/>
      <c r="F72" s="11"/>
      <c r="G72" s="11"/>
    </row>
    <row r="73">
      <c r="A73" s="12" t="s">
        <v>55</v>
      </c>
      <c r="B73" s="13"/>
      <c r="C73" s="12">
        <v>7.0</v>
      </c>
      <c r="D73" s="24" t="s">
        <v>10</v>
      </c>
      <c r="E73" s="15"/>
      <c r="F73" s="16"/>
      <c r="G73" s="21"/>
    </row>
    <row r="74">
      <c r="A74" s="18"/>
      <c r="B74" s="18"/>
      <c r="C74" s="18"/>
      <c r="D74" s="19" t="s">
        <v>11</v>
      </c>
      <c r="E74" s="20" t="s">
        <v>56</v>
      </c>
      <c r="F74" s="20" t="s">
        <v>57</v>
      </c>
      <c r="G74" s="17"/>
    </row>
    <row r="75">
      <c r="A75" s="17"/>
      <c r="B75" s="22" t="s">
        <v>15</v>
      </c>
      <c r="C75" s="23">
        <f>SUM(C73)</f>
        <v>7</v>
      </c>
      <c r="D75" s="17"/>
      <c r="E75" s="17"/>
      <c r="F75" s="17"/>
      <c r="G75" s="17"/>
    </row>
    <row r="76">
      <c r="A76" s="25" t="s">
        <v>58</v>
      </c>
      <c r="B76" s="8"/>
      <c r="C76" s="26">
        <f>SUM(C75,C71,C63,C57,C49,C29,C15,C9)</f>
        <v>70</v>
      </c>
      <c r="D76" s="27"/>
      <c r="E76" s="8"/>
      <c r="F76" s="27"/>
      <c r="G76" s="8"/>
    </row>
    <row r="77">
      <c r="A77" s="6" t="s">
        <v>59</v>
      </c>
      <c r="B77" s="7"/>
      <c r="C77" s="7"/>
      <c r="D77" s="7"/>
      <c r="E77" s="7"/>
      <c r="F77" s="7"/>
      <c r="G77" s="8"/>
    </row>
    <row r="78">
      <c r="A78" s="9" t="s">
        <v>60</v>
      </c>
      <c r="B78" s="10" t="s">
        <v>61</v>
      </c>
      <c r="C78" s="11"/>
      <c r="D78" s="11"/>
      <c r="E78" s="11"/>
      <c r="F78" s="11"/>
      <c r="G78" s="11"/>
    </row>
    <row r="79">
      <c r="A79" s="12" t="s">
        <v>62</v>
      </c>
      <c r="B79" s="12"/>
      <c r="C79" s="12">
        <v>10.0</v>
      </c>
      <c r="D79" s="24" t="s">
        <v>10</v>
      </c>
      <c r="E79" s="15"/>
      <c r="F79" s="16"/>
      <c r="G79" s="21"/>
    </row>
    <row r="80">
      <c r="A80" s="18"/>
      <c r="B80" s="18"/>
      <c r="C80" s="18"/>
      <c r="D80" s="19" t="s">
        <v>11</v>
      </c>
      <c r="E80" s="20" t="s">
        <v>63</v>
      </c>
      <c r="F80" s="20" t="s">
        <v>64</v>
      </c>
      <c r="G80" s="17"/>
    </row>
    <row r="81">
      <c r="A81" s="12" t="s">
        <v>65</v>
      </c>
      <c r="B81" s="12"/>
      <c r="C81" s="12">
        <v>10.0</v>
      </c>
      <c r="D81" s="24" t="s">
        <v>10</v>
      </c>
      <c r="E81" s="15"/>
      <c r="F81" s="16"/>
      <c r="G81" s="21"/>
    </row>
    <row r="82">
      <c r="A82" s="18"/>
      <c r="B82" s="18"/>
      <c r="C82" s="18"/>
      <c r="D82" s="19" t="s">
        <v>11</v>
      </c>
      <c r="E82" s="20" t="s">
        <v>63</v>
      </c>
      <c r="F82" s="20" t="s">
        <v>64</v>
      </c>
      <c r="G82" s="17"/>
    </row>
    <row r="83">
      <c r="A83" s="12" t="s">
        <v>66</v>
      </c>
      <c r="B83" s="12"/>
      <c r="C83" s="12">
        <v>10.0</v>
      </c>
      <c r="D83" s="24" t="s">
        <v>10</v>
      </c>
      <c r="E83" s="15"/>
      <c r="F83" s="16"/>
      <c r="G83" s="21"/>
    </row>
    <row r="84">
      <c r="A84" s="18"/>
      <c r="B84" s="18"/>
      <c r="C84" s="18"/>
      <c r="D84" s="19" t="s">
        <v>11</v>
      </c>
      <c r="E84" s="20" t="s">
        <v>63</v>
      </c>
      <c r="F84" s="20" t="s">
        <v>64</v>
      </c>
      <c r="G84" s="17"/>
    </row>
    <row r="85">
      <c r="A85" s="17"/>
      <c r="B85" s="22" t="s">
        <v>15</v>
      </c>
      <c r="C85" s="23">
        <f>SUM(C79:C84)</f>
        <v>30</v>
      </c>
      <c r="D85" s="17"/>
      <c r="E85" s="17"/>
      <c r="F85" s="17"/>
      <c r="G85" s="17"/>
    </row>
    <row r="86">
      <c r="A86" s="25" t="s">
        <v>58</v>
      </c>
      <c r="B86" s="8"/>
      <c r="C86" s="26">
        <f>SUM(C85)</f>
        <v>30</v>
      </c>
      <c r="D86" s="27"/>
      <c r="E86" s="8"/>
      <c r="F86" s="27"/>
      <c r="G86" s="8"/>
    </row>
    <row r="87">
      <c r="A87" s="28" t="s">
        <v>67</v>
      </c>
      <c r="B87" s="8"/>
      <c r="C87" s="29">
        <f>SUM(C86,C76)</f>
        <v>100</v>
      </c>
      <c r="D87" s="30"/>
      <c r="E87" s="7"/>
      <c r="F87" s="7"/>
      <c r="G87" s="8"/>
    </row>
  </sheetData>
  <mergeCells count="104">
    <mergeCell ref="A1:G1"/>
    <mergeCell ref="A3:G3"/>
    <mergeCell ref="A5:A6"/>
    <mergeCell ref="B5:B6"/>
    <mergeCell ref="C5:C6"/>
    <mergeCell ref="B7:B8"/>
    <mergeCell ref="C7:C8"/>
    <mergeCell ref="A7:A8"/>
    <mergeCell ref="A11:A12"/>
    <mergeCell ref="B11:B12"/>
    <mergeCell ref="C11:C12"/>
    <mergeCell ref="A13:A14"/>
    <mergeCell ref="B13:B14"/>
    <mergeCell ref="C13:C14"/>
    <mergeCell ref="B21:B22"/>
    <mergeCell ref="C21:C22"/>
    <mergeCell ref="A17:A18"/>
    <mergeCell ref="B17:B18"/>
    <mergeCell ref="C17:C18"/>
    <mergeCell ref="A19:A20"/>
    <mergeCell ref="B19:B20"/>
    <mergeCell ref="C19:C20"/>
    <mergeCell ref="A21:A22"/>
    <mergeCell ref="B27:B28"/>
    <mergeCell ref="C27:C28"/>
    <mergeCell ref="A23:A24"/>
    <mergeCell ref="B23:B24"/>
    <mergeCell ref="C23:C24"/>
    <mergeCell ref="A25:A26"/>
    <mergeCell ref="B25:B26"/>
    <mergeCell ref="C25:C26"/>
    <mergeCell ref="A27:A28"/>
    <mergeCell ref="A37:A38"/>
    <mergeCell ref="B37:B38"/>
    <mergeCell ref="C37:C38"/>
    <mergeCell ref="B59:B60"/>
    <mergeCell ref="C59:C60"/>
    <mergeCell ref="A53:A54"/>
    <mergeCell ref="B53:B54"/>
    <mergeCell ref="C53:C54"/>
    <mergeCell ref="A55:A56"/>
    <mergeCell ref="B55:B56"/>
    <mergeCell ref="C55:C56"/>
    <mergeCell ref="A59:A60"/>
    <mergeCell ref="B67:B68"/>
    <mergeCell ref="C67:C68"/>
    <mergeCell ref="D76:E76"/>
    <mergeCell ref="F76:G76"/>
    <mergeCell ref="A77:G77"/>
    <mergeCell ref="A61:A62"/>
    <mergeCell ref="B61:B62"/>
    <mergeCell ref="C61:C62"/>
    <mergeCell ref="A65:A66"/>
    <mergeCell ref="B65:B66"/>
    <mergeCell ref="C65:C66"/>
    <mergeCell ref="A67:A68"/>
    <mergeCell ref="B83:B84"/>
    <mergeCell ref="C83:C84"/>
    <mergeCell ref="D86:E86"/>
    <mergeCell ref="F86:G86"/>
    <mergeCell ref="D87:G87"/>
    <mergeCell ref="A86:B86"/>
    <mergeCell ref="A87:B87"/>
    <mergeCell ref="A79:A80"/>
    <mergeCell ref="B79:B80"/>
    <mergeCell ref="C79:C80"/>
    <mergeCell ref="A81:A82"/>
    <mergeCell ref="B81:B82"/>
    <mergeCell ref="C81:C82"/>
    <mergeCell ref="A83:A84"/>
    <mergeCell ref="B35:B36"/>
    <mergeCell ref="C35:C36"/>
    <mergeCell ref="A31:A32"/>
    <mergeCell ref="B31:B32"/>
    <mergeCell ref="C31:C32"/>
    <mergeCell ref="A33:A34"/>
    <mergeCell ref="B33:B34"/>
    <mergeCell ref="C33:C34"/>
    <mergeCell ref="A35:A36"/>
    <mergeCell ref="B43:B44"/>
    <mergeCell ref="C43:C44"/>
    <mergeCell ref="A39:A40"/>
    <mergeCell ref="B39:B40"/>
    <mergeCell ref="C39:C40"/>
    <mergeCell ref="A41:A42"/>
    <mergeCell ref="B41:B42"/>
    <mergeCell ref="C41:C42"/>
    <mergeCell ref="A43:A44"/>
    <mergeCell ref="B51:B52"/>
    <mergeCell ref="C51:C52"/>
    <mergeCell ref="A45:A46"/>
    <mergeCell ref="B45:B46"/>
    <mergeCell ref="C45:C46"/>
    <mergeCell ref="A47:A48"/>
    <mergeCell ref="B47:B48"/>
    <mergeCell ref="C47:C48"/>
    <mergeCell ref="A51:A52"/>
    <mergeCell ref="A69:A70"/>
    <mergeCell ref="B69:B70"/>
    <mergeCell ref="C69:C70"/>
    <mergeCell ref="A73:A74"/>
    <mergeCell ref="B73:B74"/>
    <mergeCell ref="C73:C74"/>
    <mergeCell ref="A76:B76"/>
  </mergeCells>
  <drawing r:id="rId1"/>
</worksheet>
</file>