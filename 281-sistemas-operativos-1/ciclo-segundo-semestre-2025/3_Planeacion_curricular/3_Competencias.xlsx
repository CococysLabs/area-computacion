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5"/>
    <sheet state="visible" name="Semana Diagnostico" sheetId="2" r:id="rId6"/>
    <sheet state="visible" name="S.2" sheetId="3" r:id="rId7"/>
    <sheet state="visible" name="S.3" sheetId="4" r:id="rId8"/>
    <sheet state="visible" name="S.4" sheetId="5" r:id="rId9"/>
    <sheet state="visible" name="S.5" sheetId="6" r:id="rId10"/>
    <sheet state="visible" name="S.6" sheetId="7" r:id="rId11"/>
    <sheet state="visible" name="S.7" sheetId="8" r:id="rId12"/>
    <sheet state="visible" name="S.8" sheetId="9" r:id="rId13"/>
    <sheet state="visible" name="S.9" sheetId="10" r:id="rId14"/>
    <sheet state="visible" name="S.10" sheetId="11" r:id="rId15"/>
    <sheet state="visible" name="S.11" sheetId="12" r:id="rId16"/>
    <sheet state="visible" name="Proyectos" sheetId="13" r:id="rId17"/>
    <sheet state="visible" name="Practicas" sheetId="14" r:id="rId18"/>
    <sheet state="visible" name="Tareas" sheetId="15" r:id="rId19"/>
    <sheet state="visible" name="Resumen" sheetId="16" r:id="rId20"/>
    <sheet state="hidden" name="METADATA"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<sst xmlns="http://schemas.openxmlformats.org/spreadsheetml/2006/main" count="1398" uniqueCount="262">
  <si>
    <t>Diseño de Contenido Curricular</t>
  </si>
  <si>
    <t>Curso</t>
  </si>
  <si>
    <t>281 - Sistemas Operativos 1</t>
  </si>
  <si>
    <t>Periodo al que aplica</t>
  </si>
  <si>
    <t>Primer Semestre 2026</t>
  </si>
  <si>
    <t>No.</t>
  </si>
  <si>
    <t>Competencia</t>
  </si>
  <si>
    <t>Nombre de la Unidad</t>
  </si>
  <si>
    <t>Tema</t>
  </si>
  <si>
    <t>Subtema</t>
  </si>
  <si>
    <t>Mes</t>
  </si>
  <si>
    <t>Semana</t>
  </si>
  <si>
    <t xml:space="preserve">Gestiona procesos y estructuras de memoria en sistemas operativos Linux mediante comandos de terminal y librerias de monitoreo de recursos para optimizar el rendimiento y administración eficiente de los sistemas computacionales </t>
  </si>
  <si>
    <t>Unidad 1: Fundamentos de Sistemas Operativos y Administración Avanzada</t>
  </si>
  <si>
    <t xml:space="preserve"> Introducción a los Sistemas Operativos y Linux (Parte 1)</t>
  </si>
  <si>
    <t>Conceptos básicos de sistemas operativos</t>
  </si>
  <si>
    <t>Enero</t>
  </si>
  <si>
    <t>Funciones principales de un sistema operativo</t>
  </si>
  <si>
    <t>Tipos de sistemas operativos</t>
  </si>
  <si>
    <t>Introducción a Linux</t>
  </si>
  <si>
    <t>Historia de Linux</t>
  </si>
  <si>
    <t>Arquitectura básica de Linux</t>
  </si>
  <si>
    <t>Distribuciones populares de Linux</t>
  </si>
  <si>
    <t>Febrero</t>
  </si>
  <si>
    <t xml:space="preserve"> Introducción a los Sistemas Operativos y Linux (Parte 2)
</t>
  </si>
  <si>
    <t>Interfaz de línea de comandos vs interfaz gráfica</t>
  </si>
  <si>
    <t>Comandos básicos de Linux</t>
  </si>
  <si>
    <t>Gestión de usuarios y permisos</t>
  </si>
  <si>
    <t>Procesos y servicios en Linux</t>
  </si>
  <si>
    <t>Gestión de paquetes en Linux</t>
  </si>
  <si>
    <t>Ventajas y desventajas de Linux</t>
  </si>
  <si>
    <t>Scripting en Bash y Administración del Sistema (Parte 1)</t>
  </si>
  <si>
    <t>Introducción a Bash scripting</t>
  </si>
  <si>
    <t>Estructura básica de scripts en Bash</t>
  </si>
  <si>
    <t>Funciones, arrays, manejo de argumentos en bash</t>
  </si>
  <si>
    <t>Entrada y salida en scripts Bash</t>
  </si>
  <si>
    <t>Operadores en Bash</t>
  </si>
  <si>
    <t>Control de flujos: if - else</t>
  </si>
  <si>
    <t>Virtualización y Contenedores (Parte 1)</t>
  </si>
  <si>
    <t>Conceptos de virtualización</t>
  </si>
  <si>
    <t>Hipervisores y Máquinas Virtuales</t>
  </si>
  <si>
    <t>Tipos de virtualización</t>
  </si>
  <si>
    <t>Hipervisores: Tipo 1 y Tipo 2</t>
  </si>
  <si>
    <t>MicroVMs</t>
  </si>
  <si>
    <t>Ventajas y desventajas de la virtualización</t>
  </si>
  <si>
    <t>Casos de uso de la virtualización</t>
  </si>
  <si>
    <t>Virtualización y Contenedores (Parte 2)</t>
  </si>
  <si>
    <t>Introducción a contenedores</t>
  </si>
  <si>
    <t>Docker: conceptos básicos</t>
  </si>
  <si>
    <t>Dockerfile y construcción de imágenes</t>
  </si>
  <si>
    <t>Gestión de contenedores Docker</t>
  </si>
  <si>
    <t xml:space="preserve">Construye contenedores a bajo nivel mediante el uso de Containerd y programación en Go con el fin de profundizar en el funcionamiento interno de los motores de contenedores </t>
  </si>
  <si>
    <t>Uso containerd</t>
  </si>
  <si>
    <t>Redes de contenedores</t>
  </si>
  <si>
    <t>Almacenamiento en contenedores</t>
  </si>
  <si>
    <t>Módulos del Kernel, System Calls  (Parte 1)</t>
  </si>
  <si>
    <t>Introducción al kernel de Linux</t>
  </si>
  <si>
    <t>Marzo</t>
  </si>
  <si>
    <t>Módulos del kernel: concepto y funcionalidad</t>
  </si>
  <si>
    <t>Comandos para administración de módulos del Kernel</t>
  </si>
  <si>
    <t>Creación de módulos simples en Linux usando C</t>
  </si>
  <si>
    <t>Compilación e inserción de módulos</t>
  </si>
  <si>
    <t xml:space="preserve">Analiza el consumo de recursos y rendimiento de pods en Kubernetes mediante herramientas como kubectl top, metricas autogeneradas y Grafana para detectar cuellos de botella y mejorar la eficiencia operativa </t>
  </si>
  <si>
    <t>Depuración de módulos del kernel</t>
  </si>
  <si>
    <t>Mejores prácticas en desarrollo de módulos</t>
  </si>
  <si>
    <t>Compilación para otras arquitecturas</t>
  </si>
  <si>
    <t>Introducción a System Calls</t>
  </si>
  <si>
    <t>Process Control Block (PCB)</t>
  </si>
  <si>
    <t>Procesos y Programación Concurrente (Parte 1)</t>
  </si>
  <si>
    <t>Conceptos de proceso en sistemas operativos</t>
  </si>
  <si>
    <t>Manejo de procesos en Linux</t>
  </si>
  <si>
    <t>Estados de los procesos</t>
  </si>
  <si>
    <t>Diagrama de transición de los procesos</t>
  </si>
  <si>
    <t>Creación y terminación de procesos</t>
  </si>
  <si>
    <t>Comandos para gestión de procesos en Linux</t>
  </si>
  <si>
    <t>Señales en Linux</t>
  </si>
  <si>
    <t>Procesos y Programación Concurrente (Parte 2)</t>
  </si>
  <si>
    <t>Introducción a la programación concurrente</t>
  </si>
  <si>
    <t>Concepto de hilo (thread) vs go rutina de Go</t>
  </si>
  <si>
    <t>Planificación de procesos</t>
  </si>
  <si>
    <t>Comunicación entre procesos</t>
  </si>
  <si>
    <t>Sincronización de procesos</t>
  </si>
  <si>
    <t xml:space="preserve">Problemas clásicos de concurrencia </t>
  </si>
  <si>
    <t>Unidad 2: Arquitectura de Microservicios, Cloud y Orquestación</t>
  </si>
  <si>
    <t>Sistemas Distribuidos y Tendencias Futuras</t>
  </si>
  <si>
    <t xml:space="preserve">Comunicación entre procesos con gRPC
</t>
  </si>
  <si>
    <t>Introducción a Kubernetes y Google Kubernetes Engine</t>
  </si>
  <si>
    <t>Conceptos básicos de Kubernetes</t>
  </si>
  <si>
    <t>Arquitectura de Kubernetes</t>
  </si>
  <si>
    <t>Objetos fundamentales de Kubernetes: Pods, Deployments, Namespace</t>
  </si>
  <si>
    <t xml:space="preserve">Implementa soluciones Cloud Native con contenedores y orquestadores modernos mediante Docker, Kubernetes, gRPC y herramientas nativas de la nube para construir sistemas distribuidos modernos que integren tecnologías emergentes </t>
  </si>
  <si>
    <t>Services en Kubernetes: ClusterIP, NodePort, LoadBalancer</t>
  </si>
  <si>
    <t>Introducción a Google Kubernetes Engine (GCP)</t>
  </si>
  <si>
    <t>Creación y gestión de clusters en GKE</t>
  </si>
  <si>
    <t>Despliegue de aplicaciones en GKE</t>
  </si>
  <si>
    <t>Cloud Computing y Google Cloud</t>
  </si>
  <si>
    <t>Google GKE, Instancias, Google Cloud Run</t>
  </si>
  <si>
    <t xml:space="preserve">Kubernetes Avanzado y Orquestación de Contenedores
</t>
  </si>
  <si>
    <t>Ingress y Ingress Controllers</t>
  </si>
  <si>
    <t>Helm: gestor de paquetes para Kubernetes</t>
  </si>
  <si>
    <t>Abril</t>
  </si>
  <si>
    <t>Monitoreo y logging en Kubernetes (Grafana)</t>
  </si>
  <si>
    <t>Autoscaling en Kubernetes: HPA y VPA</t>
  </si>
  <si>
    <t>Introducción a Cloud Native</t>
  </si>
  <si>
    <t>Tendencias sistemas operativos</t>
  </si>
  <si>
    <t>Herramientas más populares de Cloud Native</t>
  </si>
  <si>
    <t>Tiempo</t>
  </si>
  <si>
    <t xml:space="preserve">1. Bienvenida y Presentación                                   </t>
  </si>
  <si>
    <t>Tiempo Aproximado</t>
  </si>
  <si>
    <t>No puedes excederte mas de 15 minutos</t>
  </si>
  <si>
    <t xml:space="preserve">Nombre y Formacion Academica </t>
  </si>
  <si>
    <t>Mi nombre es (auxiliar en curso), estudiante de ingeneria en Ciencias  y Sistemas, este es mi # semestre de auxiliatura</t>
  </si>
  <si>
    <t xml:space="preserve">Experiencia docente y profecional </t>
  </si>
  <si>
    <t>1 mes de aux / primer semestre</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</si>
  <si>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</si>
  <si>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</si>
  <si>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Tutor Academico</t>
  </si>
  <si>
    <t>Expectativas sobre la dinámica del curso</t>
  </si>
  <si>
    <t>Que aprendan, comprendan y apliquen las tecnologias y conocimientos impartidos tanto en la clase magistral como en el laboratorio</t>
  </si>
  <si>
    <t xml:space="preserve">Tiempo que emplearas </t>
  </si>
  <si>
    <t xml:space="preserve">2. Evaluación de Conocimientos Previos                             </t>
  </si>
  <si>
    <t>No puedes excederte mas de 45 minutos</t>
  </si>
  <si>
    <t>Redactaras de 15 a 20 preguntas con sus respectivas respuestas , por lo que debes escoge los temas que evaluaras</t>
  </si>
  <si>
    <t>15 preguntas en base a los cursos previos y conocimientos generales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</si>
  <si>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</si>
  <si>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una parte practica</t>
  </si>
  <si>
    <t>Una serie de preguntas rapidas utilizando un google forms</t>
  </si>
  <si>
    <t xml:space="preserve">3. Presentación de los Estudiantes                                </t>
  </si>
  <si>
    <t xml:space="preserve">No puedes excederte mas de 30 minutos </t>
  </si>
  <si>
    <t>Seleccion al Azar de 5 Estudiantes</t>
  </si>
  <si>
    <t>Seleccionar al azar de los presentes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</si>
  <si>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</si>
  <si>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</si>
  <si>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Nombre.
Intereses y expectativas sobre el curso.
Experiencia previa relacionada con el curso</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</si>
  <si>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</si>
  <si>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</si>
  <si>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</si>
  <si>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</si>
  <si>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Un link de google forms y/</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</si>
  <si>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</si>
  <si>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</si>
  <si>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Viernes, Sabado u otro dia entre semana en el cual este disponible el auxiliar en curso</t>
  </si>
  <si>
    <t xml:space="preserve">4.  Mostrar Programa del Curso                 </t>
  </si>
  <si>
    <t>No puedes excederte mas de 30 minutos</t>
  </si>
  <si>
    <t xml:space="preserve">2. Evaluación de Conocimientos del Curso Actual                                  </t>
  </si>
  <si>
    <t xml:space="preserve">Redactaras 20 preguntas con sus respectivas respuestas </t>
  </si>
  <si>
    <t>20 preguntas para los alumnos segun sus conocimientos</t>
  </si>
  <si>
    <t>Diseño de la Sesión de Laboratorio</t>
  </si>
  <si>
    <t>Ponderación</t>
  </si>
  <si>
    <t>Validación de Tiempo</t>
  </si>
  <si>
    <t>1. Área Actitudinal (Saber Ser)</t>
  </si>
  <si>
    <t>Tiene que estar en un rango de 3 a 5 minutos</t>
  </si>
  <si>
    <t>Nombre del Valor</t>
  </si>
  <si>
    <t>Perseverancia</t>
  </si>
  <si>
    <t>Descripcion</t>
  </si>
  <si>
    <t>Aprender Linux puede ser desafiante; promover la práctica constante y no rendirse ante errores transmite este valor fundamental.</t>
  </si>
  <si>
    <t>Como se relaciona con los conocimientos de la sesion y se aplicaria</t>
  </si>
  <si>
    <t>Para mantenerse firme en la carrera</t>
  </si>
  <si>
    <t>2. Área Conocimiento (Saber)</t>
  </si>
  <si>
    <t>No puede exceder los 60 minutos</t>
  </si>
  <si>
    <t>Competencia a desarrollar</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</si>
  <si>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</si>
  <si>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</si>
  <si>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</si>
  <si>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</si>
  <si>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</si>
  <si>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</si>
  <si>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</si>
  <si>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</si>
  <si>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</si>
  <si>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</si>
  <si>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</si>
  <si>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</si>
  <si>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</si>
  <si>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</si>
  <si>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</si>
  <si>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</si>
  <si>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</si>
  <si>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</si>
  <si>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</si>
  <si>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Tipo de Actividad</t>
  </si>
  <si>
    <t>Analisis</t>
  </si>
  <si>
    <t>Coloca el tiempo que usar en la actividad, un tiempo sugerido 30 minutos</t>
  </si>
  <si>
    <t>Descripcion de la Actividad</t>
  </si>
  <si>
    <t>Analisis de los conocimientos</t>
  </si>
  <si>
    <t>Actividad 2 (Optativa puedes hacerla si lo consideras apropiado)</t>
  </si>
  <si>
    <t>Ejercicio practico</t>
  </si>
  <si>
    <t>Coloca el tiempo que usar en la actividad, un tiempo sugerido 20 minutos</t>
  </si>
  <si>
    <t>Enseñanza y ejemplos sobre como guiarse dentro de linux y como funciona el SO</t>
  </si>
  <si>
    <t>3. Cierre</t>
  </si>
  <si>
    <t>Tiene que estar en un rango de 10 a 15 minutos</t>
  </si>
  <si>
    <t>Asignacion de Actividades</t>
  </si>
  <si>
    <t>Cierre de clase y resolucion de dudas</t>
  </si>
  <si>
    <t>Resuelve alguna duda, asigna las actividades que deben realizar, dudas de proyectos, etc</t>
  </si>
  <si>
    <t>Ejemplos en clase sobre el uso de las Maquinas Virtuales en Linux</t>
  </si>
  <si>
    <t>Cierre de la clase y resolucion de dudas</t>
  </si>
  <si>
    <t>Perserverancia</t>
  </si>
  <si>
    <t>Ejemplo en clase sobre el uso de Modulos de Kernel y creacion de modulos de kernel personalizado</t>
  </si>
  <si>
    <t>Ejemplo de uso y carga de Modulos de kernel en el sistema Linux</t>
  </si>
  <si>
    <t>Conceptos de Hilos y Concurrencia en Golang</t>
  </si>
  <si>
    <t>Ejemplo de Creacion y uso de Kubernetes en GCP</t>
  </si>
  <si>
    <t>Carga y Uso de contenedores personalizados en Kubernetes, Grafana y Locust para carga masiva</t>
  </si>
  <si>
    <t>Ejemplo de Uso de Valkey y/o Redis en kubernetes junto con la tecnologia para su uso Golang yo Rust</t>
  </si>
  <si>
    <t>Responsabilidad</t>
  </si>
  <si>
    <t xml:space="preserve">Aprender Linux puede ser desafiante; promover la práctica constante y no rendirse ante errores transmite este valor fundamental asi como realizar las obligaciones pertienetes </t>
  </si>
  <si>
    <t>Ejemplo del uso de Grafana para el muestre de los datos en Kubernets y uso de RabbitMQ</t>
  </si>
  <si>
    <t>Cuestionario</t>
  </si>
  <si>
    <t>Examen Final</t>
  </si>
  <si>
    <t>Proyectos</t>
  </si>
  <si>
    <t>La sumatoria de los puntos de los proyectos debe superar el  70% del total de la nota, no puede ser un 100%</t>
  </si>
  <si>
    <t>1. Primer Proyecto</t>
  </si>
  <si>
    <t>Horas para realizarlo</t>
  </si>
  <si>
    <t>Titulo</t>
  </si>
  <si>
    <t xml:space="preserve">Proyecto 1 - Virtualizacion y comunicacion entre VM </t>
  </si>
  <si>
    <t>Qué tecnologías, lenguajes de programación, plataformas, hardware o software se utilizaran</t>
  </si>
  <si>
    <t>LINUX, GO, VMWARE, BASH</t>
  </si>
  <si>
    <t>Descripción de lo que se realizara</t>
  </si>
  <si>
    <t>Una comunciacion REST entre 2 APIS en diferentes Maquinas Virtuales</t>
  </si>
  <si>
    <t>2. Segundo Proyecto</t>
  </si>
  <si>
    <t>Proyecto 2 - Monitoreo de Contenedores con Modulos de Kernel</t>
  </si>
  <si>
    <t>LINUX, C, GO, GRAFANA, DOCKER, BASH</t>
  </si>
  <si>
    <t>Un Daemon de GO que monitoree los contenedores que se crean en el sistema para decidir cuales eliminar o mantener mientras se lleva un registro de los datos para mostrarlos en Grafana</t>
  </si>
  <si>
    <t>3. Tercer Proyecto</t>
  </si>
  <si>
    <t>Optativa</t>
  </si>
  <si>
    <t>Proyecto 3 - Microservicios en Kubernetes</t>
  </si>
  <si>
    <t>KUBERNETES, GO, DOCKER, LOCUST</t>
  </si>
  <si>
    <t>Una serie de microservicios comunicados entre si para su uso en GKE</t>
  </si>
  <si>
    <t>Practicas</t>
  </si>
  <si>
    <t>La sumatoria de los puntos de los practicas debe no debe super el  20%</t>
  </si>
  <si>
    <t>1. Primera Practica</t>
  </si>
  <si>
    <t>Obligatoria</t>
  </si>
  <si>
    <t>2. Segunda Practica</t>
  </si>
  <si>
    <t>3. Tercera Practica</t>
  </si>
  <si>
    <t>4. Cuarta Practica</t>
  </si>
  <si>
    <t>5. Quinta Practica</t>
  </si>
  <si>
    <t>6. Sexta Practica</t>
  </si>
  <si>
    <t>7. Septima Practica</t>
  </si>
  <si>
    <t>Tareas</t>
  </si>
  <si>
    <t>La sumatoria de los puntos de los practicas debe no debe super el  20% de la nota</t>
  </si>
  <si>
    <t>1. Primera Tarea</t>
  </si>
  <si>
    <t>Investigacion sobre procesos en Linux</t>
  </si>
  <si>
    <t>Navegador, Internet</t>
  </si>
  <si>
    <t>Investigacion sobre procesos en linux</t>
  </si>
  <si>
    <t>2. Segunda Tarea</t>
  </si>
  <si>
    <t>Investigacion uso de Kubernetes mediante gcloud</t>
  </si>
  <si>
    <t>Una investigacion sobre como usar kuberntes con gcloud</t>
  </si>
  <si>
    <t>3. Tercera Tarea</t>
  </si>
  <si>
    <t>4. Cuarta Tarea</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</si>
  <si>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</si>
  <si>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</si>
  <si>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</si>
  <si>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</si>
  <si>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</si>
  <si>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</si>
  <si>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</si>
  <si>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</si>
  <si>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</si>
  <si>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</si>
  <si>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</si>
  <si>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</si>
  <si>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</si>
  <si>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Total</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</si>
</sst>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sz val="10.0"/>
      <color theme="1"/>
      <name val="Arial"/>
    </font>
    <font>
      <b/>
      <sz val="11.0"/>
      <color theme="1"/>
      <name val="Arial"/>
    </font>
    <font>
      <b/>
      <sz val="10.0"/>
      <color theme="1"/>
      <name val="Arial"/>
    </font>
    <font>
      <sz val="10.0"/>
      <color rgb="FF1A1C1E"/>
      <name val="Arial"/>
    </font>
    <font>
      <sz val="10.0"/>
      <color rgb="FF1F1F1F"/>
      <name val="Arial"/>
    </font>
    <font/>
    <font>
      <b/>
      <sz val="13.0"/>
      <color theme="4"/>
      <name val="Arial"/>
    </font>
    <font>
      <b/>
      <sz val="12.0"/>
      <color theme="4"/>
      <name val="Arial"/>
    </font>
    <font>
      <color rgb="FF999999"/>
      <name val="Arial"/>
    </font>
    <font>
      <b/>
      <sz val="13.0"/>
      <color rgb="FF4285F4"/>
      <name val="Arial"/>
    </font>
    <font>
      <b/>
      <sz val="12.0"/>
      <color rgb="FF4285F4"/>
      <name val="Arial"/>
    </font>
    <font>
      <color rgb="FFCCCCCC"/>
      <name val="Arial"/>
    </font>
    <font>
      <b/>
      <sz val="12.0"/>
      <color rgb="FFFF6D01"/>
      <name val="Arial"/>
    </font>
    <font>
      <b/>
      <sz val="12.0"/>
      <color rgb="FFFFFFFF"/>
      <name val="Arial"/>
    </font>
    <font>
      <color theme="1"/>
      <name val="Arial"/>
      <scheme val="minor"/>
    </font>
    <font>
      <color rgb="FFD9D9D9"/>
      <name val="Arial"/>
    </font>
    <font>
      <color rgb="FFFFFFFF"/>
      <name val="Arial"/>
      <scheme val="minor"/>
    </font>
    <font>
      <b/>
      <sz val="12.0"/>
      <color theme="1"/>
      <name val="Arial"/>
    </font>
    <font>
      <sz val="12.0"/>
      <color rgb="FFFFFFFF"/>
      <name val="Arial"/>
    </font>
    <font>
      <sz val="12.0"/>
      <color theme="4"/>
      <name val="Arial"/>
    </font>
    <font>
      <sz val="12.0"/>
      <color theme="1"/>
      <name val="Arial"/>
    </font>
  </fonts>
  <fills count="9">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Font="1"/>
    <xf borderId="0" fillId="0" fontId="7" numFmtId="0" xfId="0" applyAlignment="1" applyFont="1">
      <alignment vertical="bottom"/>
    </xf>
    <xf borderId="1" fillId="0" fontId="8" numFmtId="0" xfId="0" applyAlignment="1" applyBorder="1" applyFont="1">
      <alignment shrinkToFit="0" vertical="center" wrapText="1"/>
    </xf>
    <xf borderId="1" fillId="0" fontId="7" numFmtId="0" xfId="0" applyAlignment="1" applyBorder="1" applyFont="1">
      <alignment shrinkToFit="0" vertical="center" wrapText="1"/>
    </xf>
    <xf borderId="1" fillId="0" fontId="6" numFmtId="0" xfId="0" applyAlignment="1" applyBorder="1" applyFont="1">
      <alignment readingOrder="0" shrinkToFit="0" vertical="center" wrapText="1"/>
    </xf>
    <xf borderId="1" fillId="3" fontId="9" numFmtId="0" xfId="0" applyAlignment="1" applyBorder="1" applyFill="1" applyFont="1">
      <alignment shrinkToFit="0" vertical="center" wrapText="1"/>
    </xf>
    <xf borderId="1" fillId="0" fontId="6" numFmtId="0" xfId="0" applyAlignment="1" applyBorder="1" applyFont="1">
      <alignment shrinkToFit="0" vertical="center" wrapText="1"/>
    </xf>
    <xf borderId="1" fillId="3" fontId="10" numFmtId="0" xfId="0" applyAlignment="1" applyBorder="1" applyFont="1">
      <alignment shrinkToFit="0" vertical="center" wrapText="1"/>
    </xf>
    <xf borderId="1" fillId="0" fontId="3" numFmtId="0" xfId="0" applyAlignment="1" applyBorder="1" applyFont="1">
      <alignment horizontal="center" readingOrder="0" shrinkToFit="0" wrapText="1"/>
    </xf>
    <xf borderId="1" fillId="0" fontId="4" numFmtId="0" xfId="0" applyAlignment="1" applyBorder="1" applyFont="1">
      <alignment readingOrder="0"/>
    </xf>
    <xf borderId="1" fillId="3" fontId="9" numFmtId="0" xfId="0" applyAlignment="1" applyBorder="1" applyFont="1">
      <alignment shrinkToFit="0" vertical="center" wrapText="1"/>
    </xf>
    <xf borderId="1" fillId="0" fontId="6" numFmtId="0" xfId="0" applyAlignment="1" applyBorder="1" applyFont="1">
      <alignment shrinkToFit="0" vertical="center" wrapText="1"/>
    </xf>
    <xf borderId="1" fillId="3" fontId="10" numFmtId="0" xfId="0" applyAlignment="1" applyBorder="1" applyFont="1">
      <alignment shrinkToFit="0" vertical="center" wrapText="1"/>
    </xf>
    <xf borderId="1" fillId="3" fontId="6" numFmtId="0" xfId="0" applyAlignment="1" applyBorder="1" applyFont="1">
      <alignment shrinkToFit="0" vertical="center" wrapText="1"/>
    </xf>
    <xf borderId="1" fillId="0" fontId="6" numFmtId="0" xfId="0" applyAlignment="1" applyBorder="1" applyFont="1">
      <alignment shrinkToFit="0" vertical="center" wrapText="1"/>
    </xf>
    <xf borderId="1" fillId="0" fontId="3" numFmtId="0" xfId="0" applyAlignment="1" applyBorder="1" applyFont="1">
      <alignment horizontal="center" shrinkToFit="0" wrapText="1"/>
    </xf>
    <xf borderId="0" fillId="0" fontId="6" numFmtId="0" xfId="0" applyAlignment="1" applyFont="1">
      <alignment shrinkToFit="0" wrapText="1"/>
    </xf>
    <xf borderId="0" fillId="0" fontId="3" numFmtId="0" xfId="0" applyAlignment="1" applyFont="1">
      <alignment horizontal="center" shrinkToFit="0" wrapText="1"/>
    </xf>
    <xf borderId="0" fillId="0" fontId="4" numFmtId="0" xfId="0" applyAlignment="1" applyFont="1">
      <alignment readingOrder="0"/>
    </xf>
    <xf borderId="0" fillId="0" fontId="4" numFmtId="0" xfId="0" applyAlignment="1" applyFont="1">
      <alignment shrinkToFit="0" wrapText="1"/>
    </xf>
    <xf borderId="1" fillId="0" fontId="3" numFmtId="0" xfId="0" applyBorder="1" applyFont="1"/>
    <xf borderId="2" fillId="0" fontId="4" numFmtId="0" xfId="0" applyBorder="1" applyFont="1"/>
    <xf borderId="3" fillId="0" fontId="11" numFmtId="0" xfId="0" applyBorder="1" applyFont="1"/>
    <xf borderId="4" fillId="0" fontId="11" numFmtId="0" xfId="0" applyBorder="1" applyFont="1"/>
    <xf borderId="1" fillId="0" fontId="4" numFmtId="0" xfId="0" applyBorder="1" applyFont="1"/>
    <xf borderId="0" fillId="0" fontId="12" numFmtId="0" xfId="0" applyFont="1"/>
    <xf borderId="0" fillId="0" fontId="13" numFmtId="0" xfId="0" applyAlignment="1" applyFont="1">
      <alignment shrinkToFit="0" wrapText="1"/>
    </xf>
    <xf borderId="0" fillId="4" fontId="1" numFmtId="0" xfId="0" applyAlignment="1" applyFill="1" applyFont="1">
      <alignment readingOrder="0"/>
    </xf>
    <xf borderId="0" fillId="0" fontId="14" numFmtId="0" xfId="0" applyFont="1"/>
    <xf borderId="1" fillId="5" fontId="4" numFmtId="0" xfId="0" applyAlignment="1" applyBorder="1" applyFill="1" applyFont="1">
      <alignment shrinkToFit="0" vertical="bottom" wrapText="1"/>
    </xf>
    <xf borderId="2" fillId="0" fontId="4" numFmtId="0" xfId="0" applyAlignment="1" applyBorder="1" applyFont="1">
      <alignment readingOrder="0" vertical="bottom"/>
    </xf>
    <xf borderId="0" fillId="0" fontId="4" numFmtId="0" xfId="0" applyAlignment="1" applyFont="1">
      <alignment horizontal="center" shrinkToFit="0" vertical="center" wrapText="1"/>
    </xf>
    <xf borderId="1" fillId="5" fontId="4" numFmtId="0" xfId="0" applyAlignment="1" applyBorder="1" applyFont="1">
      <alignment shrinkToFit="0" wrapText="1"/>
    </xf>
    <xf borderId="2" fillId="0" fontId="4" numFmtId="0" xfId="0" applyAlignment="1" applyBorder="1" applyFont="1">
      <alignment readingOrder="0"/>
    </xf>
    <xf borderId="1" fillId="5" fontId="4" numFmtId="0" xfId="0" applyBorder="1" applyFont="1"/>
    <xf borderId="0" fillId="0" fontId="15" numFmtId="0" xfId="0" applyFont="1"/>
    <xf borderId="0" fillId="0" fontId="16" numFmtId="0" xfId="0" applyAlignment="1" applyFont="1">
      <alignment shrinkToFit="0" wrapText="1"/>
    </xf>
    <xf borderId="0" fillId="4" fontId="1" numFmtId="0" xfId="0" applyFont="1"/>
    <xf borderId="0" fillId="0" fontId="4" numFmtId="0" xfId="0" applyAlignment="1" applyFont="1">
      <alignment horizontal="left" shrinkToFit="0" vertical="center" wrapText="1"/>
    </xf>
    <xf borderId="0" fillId="0" fontId="17" numFmtId="0" xfId="0" applyFont="1"/>
    <xf borderId="0" fillId="0" fontId="4" numFmtId="0" xfId="0" applyAlignment="1" applyFont="1">
      <alignment shrinkToFit="0" vertical="center" wrapText="1"/>
    </xf>
    <xf borderId="0" fillId="0" fontId="18" numFmtId="0" xfId="0" applyFont="1"/>
    <xf borderId="1" fillId="0" fontId="4" numFmtId="0" xfId="0" applyAlignment="1" applyBorder="1" applyFont="1">
      <alignment shrinkToFit="0" wrapText="1"/>
    </xf>
    <xf borderId="0" fillId="0" fontId="16" numFmtId="0" xfId="0" applyFont="1"/>
    <xf borderId="0" fillId="6" fontId="19" numFmtId="0" xfId="0" applyFill="1" applyFont="1"/>
    <xf borderId="2" fillId="5" fontId="4" numFmtId="0" xfId="0" applyBorder="1" applyFont="1"/>
    <xf borderId="5" fillId="0" fontId="4" numFmtId="0" xfId="0" applyAlignment="1" applyBorder="1" applyFont="1">
      <alignment readingOrder="0"/>
    </xf>
    <xf borderId="6" fillId="0" fontId="11" numFmtId="0" xfId="0" applyBorder="1" applyFont="1"/>
    <xf borderId="7" fillId="0" fontId="11" numFmtId="0" xfId="0" applyBorder="1" applyFont="1"/>
    <xf borderId="8" fillId="0" fontId="11" numFmtId="0" xfId="0" applyBorder="1" applyFont="1"/>
    <xf borderId="9" fillId="0" fontId="11" numFmtId="0" xfId="0" applyBorder="1" applyFont="1"/>
    <xf borderId="10" fillId="0" fontId="11" numFmtId="0" xfId="0" applyBorder="1" applyFont="1"/>
    <xf borderId="0" fillId="6" fontId="19" numFmtId="0" xfId="0" applyAlignment="1" applyFont="1">
      <alignment readingOrder="0"/>
    </xf>
    <xf borderId="0" fillId="0" fontId="13" numFmtId="0" xfId="0" applyFont="1"/>
    <xf borderId="1" fillId="7" fontId="4" numFmtId="0" xfId="0" applyBorder="1" applyFill="1" applyFont="1"/>
    <xf borderId="2" fillId="7" fontId="4" numFmtId="0" xfId="0" applyBorder="1" applyFont="1"/>
    <xf borderId="2" fillId="3" fontId="9" numFmtId="0" xfId="0" applyAlignment="1" applyBorder="1" applyFont="1">
      <alignment shrinkToFit="0" vertical="center" wrapText="1"/>
    </xf>
    <xf borderId="0" fillId="0" fontId="20" numFmtId="0" xfId="0" applyFont="1"/>
    <xf borderId="1" fillId="8" fontId="4" numFmtId="0" xfId="0" applyBorder="1" applyFill="1" applyFont="1"/>
    <xf borderId="2" fillId="8" fontId="4" numFmtId="0" xfId="0" applyBorder="1" applyFont="1"/>
    <xf borderId="2" fillId="0" fontId="17" numFmtId="0" xfId="0" applyBorder="1" applyFont="1"/>
    <xf borderId="11" fillId="0" fontId="11" numFmtId="0" xfId="0" applyBorder="1" applyFont="1"/>
    <xf borderId="12" fillId="0" fontId="11" numFmtId="0" xfId="0" applyBorder="1" applyFont="1"/>
    <xf borderId="2" fillId="0" fontId="17" numFmtId="0" xfId="0" applyAlignment="1" applyBorder="1" applyFont="1">
      <alignment readingOrder="0"/>
    </xf>
    <xf borderId="0" fillId="0" fontId="21" numFmtId="0" xfId="0" applyFont="1"/>
    <xf borderId="2" fillId="0" fontId="6" numFmtId="0" xfId="0" applyAlignment="1" applyBorder="1" applyFont="1">
      <alignment shrinkToFit="0" vertical="center" wrapText="1"/>
    </xf>
    <xf borderId="5" fillId="0" fontId="4" numFmtId="0" xfId="0" applyBorder="1" applyFont="1"/>
    <xf borderId="2" fillId="0" fontId="6" numFmtId="0" xfId="0" applyAlignment="1" applyBorder="1" applyFont="1">
      <alignment readingOrder="0" shrinkToFit="0" vertical="center" wrapText="1"/>
    </xf>
    <xf borderId="0" fillId="0" fontId="22" numFmtId="0" xfId="0" applyFont="1"/>
    <xf borderId="0" fillId="0" fontId="23" numFmtId="0" xfId="0" applyFont="1"/>
    <xf borderId="0" fillId="4" fontId="24" numFmtId="0" xfId="0" applyAlignment="1" applyFont="1">
      <alignment readingOrder="0"/>
    </xf>
    <xf borderId="0" fillId="0" fontId="25" numFmtId="0" xfId="0" applyFont="1"/>
    <xf borderId="0" fillId="0" fontId="5" numFmtId="0" xfId="0" applyAlignment="1" applyFont="1">
      <alignment shrinkToFit="0" wrapText="1"/>
    </xf>
    <xf borderId="0" fillId="0" fontId="26" numFmtId="0" xfId="0" applyAlignment="1" applyFont="1">
      <alignment shrinkToFit="0" wrapText="1"/>
    </xf>
    <xf borderId="0" fillId="0" fontId="26" numFmtId="0" xfId="0" applyFont="1"/>
    <xf borderId="1" fillId="7" fontId="26" numFmtId="0" xfId="0" applyAlignment="1" applyBorder="1" applyFont="1">
      <alignment shrinkToFit="0" wrapText="1"/>
    </xf>
    <xf borderId="1" fillId="7" fontId="26" numFmtId="0" xfId="0" applyBorder="1" applyFont="1"/>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5" max="5" width="35.5"/>
  </cols>
  <sheetData>
    <row r="1" ht="15.75" customHeight="1"/>
    <row r="2" ht="15.75" customHeight="1">
      <c r="A2" s="1">
        <f>VALUE(LEFT(C4,FIND(" - ",C4)-1))</f>
        <v>281</v>
      </c>
      <c r="B2" s="2" t="s">
        <v>0</v>
      </c>
    </row>
    <row r="3" ht="15.75" customHeight="1"/>
    <row r="4" ht="15.75" customHeight="1">
      <c r="B4" s="3" t="s">
        <v>1</v>
      </c>
      <c r="C4" s="4" t="s">
        <v>2</v>
      </c>
    </row>
    <row r="5" ht="15.75" customHeight="1">
      <c r="B5" s="5" t="s">
        <v>3</v>
      </c>
      <c r="C5" s="5" t="s">
        <v>4</v>
      </c>
    </row>
    <row r="6" ht="15.75" customHeight="1">
      <c r="H6" s="6"/>
    </row>
    <row r="7" ht="15.75" customHeight="1">
      <c r="B7" s="7"/>
      <c r="C7" s="7"/>
      <c r="D7" s="7"/>
      <c r="E7" s="7"/>
      <c r="F7" s="7"/>
      <c r="G7" s="7"/>
      <c r="H7" s="6"/>
    </row>
    <row r="8" ht="15.75" customHeight="1">
      <c r="A8" s="8"/>
      <c r="B8" s="9" t="s">
        <v>5</v>
      </c>
      <c r="C8" s="9" t="s">
        <v>6</v>
      </c>
      <c r="D8" s="9" t="s">
        <v>7</v>
      </c>
      <c r="E8" s="9" t="s">
        <v>8</v>
      </c>
      <c r="F8" s="9" t="s">
        <v>9</v>
      </c>
      <c r="G8" s="9" t="s">
        <v>10</v>
      </c>
      <c r="H8" s="10" t="s">
        <v>11</v>
      </c>
    </row>
    <row r="9" ht="61.5" customHeight="1">
      <c r="B9" s="11">
        <v>1.0</v>
      </c>
      <c r="C9" s="11" t="s">
        <v>12</v>
      </c>
      <c r="D9" s="12" t="s">
        <v>13</v>
      </c>
      <c r="E9" s="13" t="s">
        <v>14</v>
      </c>
      <c r="F9" s="14" t="s">
        <v>15</v>
      </c>
      <c r="G9" s="15" t="s">
        <v>16</v>
      </c>
      <c r="H9" s="16">
        <v>2.0</v>
      </c>
    </row>
    <row r="10" ht="50.25" customHeight="1">
      <c r="B10" s="11">
        <f t="shared" ref="B10:B81" si="1">B9+1</f>
        <v>2</v>
      </c>
      <c r="C10" s="11" t="s">
        <v>12</v>
      </c>
      <c r="D10" s="12" t="s">
        <v>13</v>
      </c>
      <c r="E10" s="13" t="s">
        <v>14</v>
      </c>
      <c r="F10" s="14" t="s">
        <v>17</v>
      </c>
      <c r="G10" s="15" t="s">
        <v>16</v>
      </c>
      <c r="H10" s="16">
        <v>2.0</v>
      </c>
    </row>
    <row r="11" ht="51.0" customHeight="1">
      <c r="B11" s="11">
        <f t="shared" si="1"/>
        <v>3</v>
      </c>
      <c r="C11" s="11" t="s">
        <v>12</v>
      </c>
      <c r="D11" s="12" t="s">
        <v>13</v>
      </c>
      <c r="E11" s="13" t="s">
        <v>14</v>
      </c>
      <c r="F11" s="13" t="s">
        <v>18</v>
      </c>
      <c r="G11" s="15" t="s">
        <v>16</v>
      </c>
      <c r="H11" s="16">
        <v>2.0</v>
      </c>
    </row>
    <row r="12" ht="15.75" customHeight="1">
      <c r="B12" s="11">
        <f t="shared" si="1"/>
        <v>4</v>
      </c>
      <c r="C12" s="11" t="s">
        <v>12</v>
      </c>
      <c r="D12" s="12" t="s">
        <v>13</v>
      </c>
      <c r="E12" s="13" t="s">
        <v>14</v>
      </c>
      <c r="F12" s="13" t="s">
        <v>19</v>
      </c>
      <c r="G12" s="15" t="s">
        <v>16</v>
      </c>
      <c r="H12" s="16">
        <v>2.0</v>
      </c>
    </row>
    <row r="13" ht="15.75" customHeight="1">
      <c r="B13" s="11">
        <f t="shared" si="1"/>
        <v>5</v>
      </c>
      <c r="C13" s="11" t="s">
        <v>12</v>
      </c>
      <c r="D13" s="17" t="s">
        <v>13</v>
      </c>
      <c r="E13" s="18" t="s">
        <v>14</v>
      </c>
      <c r="F13" s="13" t="s">
        <v>20</v>
      </c>
      <c r="G13" s="15" t="s">
        <v>16</v>
      </c>
      <c r="H13" s="16">
        <v>2.0</v>
      </c>
    </row>
    <row r="14" ht="15.75" customHeight="1">
      <c r="B14" s="11">
        <f t="shared" si="1"/>
        <v>6</v>
      </c>
      <c r="C14" s="11" t="s">
        <v>12</v>
      </c>
      <c r="D14" s="17" t="s">
        <v>13</v>
      </c>
      <c r="E14" s="18" t="s">
        <v>14</v>
      </c>
      <c r="F14" s="13" t="s">
        <v>21</v>
      </c>
      <c r="G14" s="15" t="s">
        <v>16</v>
      </c>
      <c r="H14" s="16">
        <v>2.0</v>
      </c>
    </row>
    <row r="15" ht="15.75" customHeight="1">
      <c r="B15" s="11">
        <f t="shared" si="1"/>
        <v>7</v>
      </c>
      <c r="C15" s="11" t="s">
        <v>12</v>
      </c>
      <c r="D15" s="17" t="s">
        <v>13</v>
      </c>
      <c r="E15" s="18" t="s">
        <v>14</v>
      </c>
      <c r="F15" s="18" t="s">
        <v>22</v>
      </c>
      <c r="G15" s="15" t="s">
        <v>23</v>
      </c>
      <c r="H15" s="16">
        <v>2.0</v>
      </c>
    </row>
    <row r="16" ht="15.75" customHeight="1">
      <c r="B16" s="11">
        <f t="shared" si="1"/>
        <v>8</v>
      </c>
      <c r="C16" s="11" t="s">
        <v>12</v>
      </c>
      <c r="D16" s="17" t="s">
        <v>13</v>
      </c>
      <c r="E16" s="18" t="s">
        <v>24</v>
      </c>
      <c r="F16" s="19" t="s">
        <v>25</v>
      </c>
      <c r="G16" s="15" t="s">
        <v>23</v>
      </c>
      <c r="H16" s="16">
        <v>2.0</v>
      </c>
    </row>
    <row r="17" ht="15.75" customHeight="1">
      <c r="B17" s="11">
        <f t="shared" si="1"/>
        <v>9</v>
      </c>
      <c r="C17" s="11" t="s">
        <v>12</v>
      </c>
      <c r="D17" s="17" t="s">
        <v>13</v>
      </c>
      <c r="E17" s="18" t="s">
        <v>24</v>
      </c>
      <c r="F17" s="19" t="s">
        <v>26</v>
      </c>
      <c r="G17" s="15" t="s">
        <v>23</v>
      </c>
      <c r="H17" s="16">
        <v>2.0</v>
      </c>
    </row>
    <row r="18" ht="15.75" customHeight="1">
      <c r="B18" s="11">
        <f t="shared" si="1"/>
        <v>10</v>
      </c>
      <c r="C18" s="11" t="s">
        <v>12</v>
      </c>
      <c r="D18" s="17" t="s">
        <v>13</v>
      </c>
      <c r="E18" s="18" t="s">
        <v>24</v>
      </c>
      <c r="F18" s="20" t="s">
        <v>27</v>
      </c>
      <c r="G18" s="15" t="s">
        <v>23</v>
      </c>
      <c r="H18" s="16">
        <v>2.0</v>
      </c>
    </row>
    <row r="19" ht="15.75" customHeight="1">
      <c r="B19" s="11">
        <f t="shared" si="1"/>
        <v>11</v>
      </c>
      <c r="C19" s="11" t="s">
        <v>12</v>
      </c>
      <c r="D19" s="17" t="s">
        <v>13</v>
      </c>
      <c r="E19" s="18" t="s">
        <v>24</v>
      </c>
      <c r="F19" s="18" t="s">
        <v>28</v>
      </c>
      <c r="G19" s="15" t="s">
        <v>23</v>
      </c>
      <c r="H19" s="16">
        <v>2.0</v>
      </c>
    </row>
    <row r="20" ht="15.75" customHeight="1">
      <c r="B20" s="11">
        <f t="shared" si="1"/>
        <v>12</v>
      </c>
      <c r="C20" s="11" t="s">
        <v>12</v>
      </c>
      <c r="D20" s="17" t="s">
        <v>13</v>
      </c>
      <c r="E20" s="18" t="s">
        <v>24</v>
      </c>
      <c r="F20" s="18" t="s">
        <v>29</v>
      </c>
      <c r="G20" s="15" t="s">
        <v>23</v>
      </c>
      <c r="H20" s="16">
        <v>2.0</v>
      </c>
    </row>
    <row r="21" ht="15.75" customHeight="1">
      <c r="B21" s="11">
        <f t="shared" si="1"/>
        <v>13</v>
      </c>
      <c r="C21" s="11" t="s">
        <v>12</v>
      </c>
      <c r="D21" s="17" t="s">
        <v>13</v>
      </c>
      <c r="E21" s="18" t="s">
        <v>24</v>
      </c>
      <c r="F21" s="18" t="s">
        <v>30</v>
      </c>
      <c r="G21" s="15" t="s">
        <v>23</v>
      </c>
      <c r="H21" s="16">
        <v>2.0</v>
      </c>
    </row>
    <row r="22" ht="15.75" customHeight="1">
      <c r="B22" s="11">
        <f t="shared" si="1"/>
        <v>14</v>
      </c>
      <c r="C22" s="11" t="s">
        <v>12</v>
      </c>
      <c r="D22" s="17" t="s">
        <v>13</v>
      </c>
      <c r="E22" s="18" t="s">
        <v>31</v>
      </c>
      <c r="F22" s="19" t="s">
        <v>32</v>
      </c>
      <c r="G22" s="15" t="s">
        <v>23</v>
      </c>
      <c r="H22" s="16">
        <v>2.0</v>
      </c>
    </row>
    <row r="23" ht="15.75" customHeight="1">
      <c r="B23" s="11">
        <f t="shared" si="1"/>
        <v>15</v>
      </c>
      <c r="C23" s="11" t="s">
        <v>12</v>
      </c>
      <c r="D23" s="17" t="s">
        <v>13</v>
      </c>
      <c r="E23" s="18" t="s">
        <v>31</v>
      </c>
      <c r="F23" s="19" t="s">
        <v>33</v>
      </c>
      <c r="G23" s="15" t="s">
        <v>23</v>
      </c>
      <c r="H23" s="16">
        <v>2.0</v>
      </c>
    </row>
    <row r="24" ht="15.75" customHeight="1">
      <c r="B24" s="11">
        <f t="shared" si="1"/>
        <v>16</v>
      </c>
      <c r="C24" s="11" t="s">
        <v>12</v>
      </c>
      <c r="D24" s="17" t="s">
        <v>13</v>
      </c>
      <c r="E24" s="18" t="s">
        <v>31</v>
      </c>
      <c r="F24" s="19" t="s">
        <v>34</v>
      </c>
      <c r="G24" s="15" t="s">
        <v>23</v>
      </c>
      <c r="H24" s="16">
        <v>2.0</v>
      </c>
    </row>
    <row r="25" ht="15.75" customHeight="1">
      <c r="B25" s="11">
        <f t="shared" si="1"/>
        <v>17</v>
      </c>
      <c r="C25" s="11" t="s">
        <v>12</v>
      </c>
      <c r="D25" s="17" t="s">
        <v>13</v>
      </c>
      <c r="E25" s="18" t="s">
        <v>31</v>
      </c>
      <c r="F25" s="18" t="s">
        <v>35</v>
      </c>
      <c r="G25" s="15" t="s">
        <v>23</v>
      </c>
      <c r="H25" s="16">
        <v>2.0</v>
      </c>
    </row>
    <row r="26" ht="15.75" customHeight="1">
      <c r="B26" s="11">
        <f t="shared" si="1"/>
        <v>18</v>
      </c>
      <c r="C26" s="11" t="s">
        <v>12</v>
      </c>
      <c r="D26" s="17" t="s">
        <v>13</v>
      </c>
      <c r="E26" s="18" t="s">
        <v>31</v>
      </c>
      <c r="F26" s="18" t="s">
        <v>36</v>
      </c>
      <c r="G26" s="15" t="s">
        <v>23</v>
      </c>
      <c r="H26" s="16">
        <v>2.0</v>
      </c>
    </row>
    <row r="27" ht="15.75" customHeight="1">
      <c r="B27" s="11">
        <f t="shared" si="1"/>
        <v>19</v>
      </c>
      <c r="C27" s="11" t="s">
        <v>12</v>
      </c>
      <c r="D27" s="17" t="s">
        <v>13</v>
      </c>
      <c r="E27" s="18" t="s">
        <v>31</v>
      </c>
      <c r="F27" s="18" t="s">
        <v>37</v>
      </c>
      <c r="G27" s="15" t="s">
        <v>23</v>
      </c>
      <c r="H27" s="16">
        <v>2.0</v>
      </c>
    </row>
    <row r="28" ht="15.75" customHeight="1">
      <c r="B28" s="11">
        <f t="shared" si="1"/>
        <v>20</v>
      </c>
      <c r="C28" s="11" t="s">
        <v>12</v>
      </c>
      <c r="D28" s="17" t="s">
        <v>13</v>
      </c>
      <c r="E28" s="18" t="s">
        <v>38</v>
      </c>
      <c r="F28" s="18" t="s">
        <v>39</v>
      </c>
      <c r="G28" s="15" t="s">
        <v>23</v>
      </c>
      <c r="H28" s="16">
        <v>3.0</v>
      </c>
    </row>
    <row r="29" ht="15.75" customHeight="1">
      <c r="B29" s="11">
        <f t="shared" si="1"/>
        <v>21</v>
      </c>
      <c r="C29" s="11" t="s">
        <v>12</v>
      </c>
      <c r="D29" s="17" t="s">
        <v>13</v>
      </c>
      <c r="E29" s="18" t="s">
        <v>38</v>
      </c>
      <c r="F29" s="18" t="s">
        <v>40</v>
      </c>
      <c r="G29" s="15" t="s">
        <v>23</v>
      </c>
      <c r="H29" s="16">
        <v>3.0</v>
      </c>
    </row>
    <row r="30" ht="15.75" customHeight="1">
      <c r="B30" s="11">
        <f t="shared" si="1"/>
        <v>22</v>
      </c>
      <c r="C30" s="11" t="s">
        <v>12</v>
      </c>
      <c r="D30" s="17" t="s">
        <v>13</v>
      </c>
      <c r="E30" s="18" t="s">
        <v>38</v>
      </c>
      <c r="F30" s="18" t="s">
        <v>41</v>
      </c>
      <c r="G30" s="15" t="s">
        <v>23</v>
      </c>
      <c r="H30" s="16">
        <v>3.0</v>
      </c>
    </row>
    <row r="31" ht="15.75" customHeight="1">
      <c r="B31" s="11">
        <f t="shared" si="1"/>
        <v>23</v>
      </c>
      <c r="C31" s="11" t="s">
        <v>12</v>
      </c>
      <c r="D31" s="17" t="s">
        <v>13</v>
      </c>
      <c r="E31" s="18" t="s">
        <v>38</v>
      </c>
      <c r="F31" s="18" t="s">
        <v>42</v>
      </c>
      <c r="G31" s="15" t="s">
        <v>23</v>
      </c>
      <c r="H31" s="16">
        <v>3.0</v>
      </c>
    </row>
    <row r="32" ht="15.75" customHeight="1">
      <c r="B32" s="11">
        <f t="shared" si="1"/>
        <v>24</v>
      </c>
      <c r="C32" s="11" t="s">
        <v>12</v>
      </c>
      <c r="D32" s="17" t="s">
        <v>13</v>
      </c>
      <c r="E32" s="18" t="s">
        <v>38</v>
      </c>
      <c r="F32" s="18" t="s">
        <v>43</v>
      </c>
      <c r="G32" s="15" t="s">
        <v>23</v>
      </c>
      <c r="H32" s="16">
        <v>3.0</v>
      </c>
    </row>
    <row r="33" ht="15.75" customHeight="1">
      <c r="B33" s="11">
        <f t="shared" si="1"/>
        <v>25</v>
      </c>
      <c r="C33" s="11" t="s">
        <v>12</v>
      </c>
      <c r="D33" s="17" t="s">
        <v>13</v>
      </c>
      <c r="E33" s="18" t="s">
        <v>38</v>
      </c>
      <c r="F33" s="18" t="s">
        <v>44</v>
      </c>
      <c r="G33" s="15" t="s">
        <v>23</v>
      </c>
      <c r="H33" s="16">
        <v>3.0</v>
      </c>
    </row>
    <row r="34" ht="15.75" customHeight="1">
      <c r="B34" s="11">
        <f t="shared" si="1"/>
        <v>26</v>
      </c>
      <c r="C34" s="11" t="s">
        <v>12</v>
      </c>
      <c r="D34" s="17" t="s">
        <v>13</v>
      </c>
      <c r="E34" s="18" t="s">
        <v>38</v>
      </c>
      <c r="F34" s="18" t="s">
        <v>45</v>
      </c>
      <c r="G34" s="15" t="s">
        <v>23</v>
      </c>
      <c r="H34" s="16">
        <v>3.0</v>
      </c>
    </row>
    <row r="35" ht="15.75" customHeight="1">
      <c r="B35" s="11">
        <f t="shared" si="1"/>
        <v>27</v>
      </c>
      <c r="C35" s="11" t="s">
        <v>12</v>
      </c>
      <c r="D35" s="17" t="s">
        <v>13</v>
      </c>
      <c r="E35" s="18" t="s">
        <v>46</v>
      </c>
      <c r="F35" s="18" t="s">
        <v>47</v>
      </c>
      <c r="G35" s="15" t="s">
        <v>23</v>
      </c>
      <c r="H35" s="16">
        <v>3.0</v>
      </c>
    </row>
    <row r="36" ht="15.75" customHeight="1">
      <c r="B36" s="11">
        <f t="shared" si="1"/>
        <v>28</v>
      </c>
      <c r="C36" s="11" t="s">
        <v>12</v>
      </c>
      <c r="D36" s="17" t="s">
        <v>13</v>
      </c>
      <c r="E36" s="18" t="s">
        <v>46</v>
      </c>
      <c r="F36" s="18" t="s">
        <v>48</v>
      </c>
      <c r="G36" s="15" t="s">
        <v>23</v>
      </c>
      <c r="H36" s="16">
        <v>3.0</v>
      </c>
    </row>
    <row r="37" ht="15.75" customHeight="1">
      <c r="B37" s="11">
        <f t="shared" si="1"/>
        <v>29</v>
      </c>
      <c r="C37" s="11" t="s">
        <v>12</v>
      </c>
      <c r="D37" s="17" t="s">
        <v>13</v>
      </c>
      <c r="E37" s="18" t="s">
        <v>46</v>
      </c>
      <c r="F37" s="18" t="s">
        <v>49</v>
      </c>
      <c r="G37" s="15" t="s">
        <v>23</v>
      </c>
      <c r="H37" s="16">
        <v>3.0</v>
      </c>
    </row>
    <row r="38" ht="15.75" customHeight="1">
      <c r="B38" s="11">
        <f t="shared" si="1"/>
        <v>30</v>
      </c>
      <c r="C38" s="11" t="s">
        <v>12</v>
      </c>
      <c r="D38" s="17" t="s">
        <v>13</v>
      </c>
      <c r="E38" s="18" t="s">
        <v>46</v>
      </c>
      <c r="F38" s="18" t="s">
        <v>50</v>
      </c>
      <c r="G38" s="15" t="s">
        <v>23</v>
      </c>
      <c r="H38" s="16">
        <v>3.0</v>
      </c>
    </row>
    <row r="39" ht="15.75" customHeight="1">
      <c r="B39" s="11">
        <f t="shared" si="1"/>
        <v>31</v>
      </c>
      <c r="C39" s="11" t="s">
        <v>51</v>
      </c>
      <c r="D39" s="17" t="s">
        <v>13</v>
      </c>
      <c r="E39" s="18" t="s">
        <v>46</v>
      </c>
      <c r="F39" s="18" t="s">
        <v>52</v>
      </c>
      <c r="G39" s="15" t="s">
        <v>23</v>
      </c>
      <c r="H39" s="16">
        <v>3.0</v>
      </c>
    </row>
    <row r="40" ht="15.75" customHeight="1">
      <c r="B40" s="11">
        <f t="shared" si="1"/>
        <v>32</v>
      </c>
      <c r="C40" s="11" t="s">
        <v>51</v>
      </c>
      <c r="D40" s="17" t="s">
        <v>13</v>
      </c>
      <c r="E40" s="18" t="s">
        <v>46</v>
      </c>
      <c r="F40" s="18" t="s">
        <v>53</v>
      </c>
      <c r="G40" s="15" t="s">
        <v>23</v>
      </c>
      <c r="H40" s="16">
        <v>3.0</v>
      </c>
    </row>
    <row r="41" ht="15.75" customHeight="1">
      <c r="B41" s="11">
        <f t="shared" si="1"/>
        <v>33</v>
      </c>
      <c r="C41" s="11" t="s">
        <v>51</v>
      </c>
      <c r="D41" s="17" t="s">
        <v>13</v>
      </c>
      <c r="E41" s="18" t="s">
        <v>46</v>
      </c>
      <c r="F41" s="18" t="s">
        <v>54</v>
      </c>
      <c r="G41" s="15" t="s">
        <v>23</v>
      </c>
      <c r="H41" s="16">
        <v>3.0</v>
      </c>
    </row>
    <row r="42" ht="15.75" customHeight="1">
      <c r="B42" s="11">
        <f t="shared" si="1"/>
        <v>34</v>
      </c>
      <c r="C42" s="11" t="s">
        <v>51</v>
      </c>
      <c r="D42" s="17" t="s">
        <v>13</v>
      </c>
      <c r="E42" s="11" t="s">
        <v>55</v>
      </c>
      <c r="F42" s="19" t="s">
        <v>56</v>
      </c>
      <c r="G42" s="15" t="s">
        <v>57</v>
      </c>
      <c r="H42" s="16">
        <v>4.0</v>
      </c>
    </row>
    <row r="43" ht="15.75" customHeight="1">
      <c r="B43" s="11">
        <f t="shared" si="1"/>
        <v>35</v>
      </c>
      <c r="C43" s="11" t="s">
        <v>51</v>
      </c>
      <c r="D43" s="17" t="s">
        <v>13</v>
      </c>
      <c r="E43" s="11" t="s">
        <v>55</v>
      </c>
      <c r="F43" s="19" t="s">
        <v>58</v>
      </c>
      <c r="G43" s="15" t="s">
        <v>57</v>
      </c>
      <c r="H43" s="16">
        <v>4.0</v>
      </c>
    </row>
    <row r="44" ht="15.75" customHeight="1">
      <c r="B44" s="11">
        <f t="shared" si="1"/>
        <v>36</v>
      </c>
      <c r="C44" s="11" t="s">
        <v>51</v>
      </c>
      <c r="D44" s="17" t="s">
        <v>13</v>
      </c>
      <c r="E44" s="11" t="s">
        <v>55</v>
      </c>
      <c r="F44" s="19" t="s">
        <v>59</v>
      </c>
      <c r="G44" s="15" t="s">
        <v>57</v>
      </c>
      <c r="H44" s="16">
        <v>4.0</v>
      </c>
    </row>
    <row r="45" ht="15.75" customHeight="1">
      <c r="B45" s="11">
        <f t="shared" si="1"/>
        <v>37</v>
      </c>
      <c r="C45" s="11" t="s">
        <v>51</v>
      </c>
      <c r="D45" s="17" t="s">
        <v>13</v>
      </c>
      <c r="E45" s="11" t="s">
        <v>55</v>
      </c>
      <c r="F45" s="18" t="s">
        <v>60</v>
      </c>
      <c r="G45" s="15" t="s">
        <v>57</v>
      </c>
      <c r="H45" s="16">
        <v>4.0</v>
      </c>
    </row>
    <row r="46" ht="15.75" customHeight="1">
      <c r="B46" s="11">
        <f t="shared" si="1"/>
        <v>38</v>
      </c>
      <c r="C46" s="11" t="s">
        <v>51</v>
      </c>
      <c r="D46" s="17" t="s">
        <v>13</v>
      </c>
      <c r="E46" s="11" t="s">
        <v>55</v>
      </c>
      <c r="F46" s="18" t="s">
        <v>61</v>
      </c>
      <c r="G46" s="15" t="s">
        <v>57</v>
      </c>
      <c r="H46" s="16">
        <v>4.0</v>
      </c>
    </row>
    <row r="47" ht="15.75" customHeight="1">
      <c r="B47" s="11">
        <f t="shared" si="1"/>
        <v>39</v>
      </c>
      <c r="C47" s="11" t="s">
        <v>62</v>
      </c>
      <c r="D47" s="17" t="s">
        <v>13</v>
      </c>
      <c r="E47" s="11" t="s">
        <v>55</v>
      </c>
      <c r="F47" s="18" t="s">
        <v>63</v>
      </c>
      <c r="G47" s="15" t="s">
        <v>57</v>
      </c>
      <c r="H47" s="16">
        <v>4.0</v>
      </c>
    </row>
    <row r="48" ht="15.75" customHeight="1">
      <c r="B48" s="11">
        <f t="shared" si="1"/>
        <v>40</v>
      </c>
      <c r="C48" s="11" t="s">
        <v>51</v>
      </c>
      <c r="D48" s="17" t="s">
        <v>13</v>
      </c>
      <c r="E48" s="11" t="s">
        <v>55</v>
      </c>
      <c r="F48" s="18" t="s">
        <v>64</v>
      </c>
      <c r="G48" s="15" t="s">
        <v>57</v>
      </c>
      <c r="H48" s="16">
        <v>4.0</v>
      </c>
    </row>
    <row r="49" ht="15.75" customHeight="1">
      <c r="B49" s="11">
        <f t="shared" si="1"/>
        <v>41</v>
      </c>
      <c r="C49" s="11" t="s">
        <v>51</v>
      </c>
      <c r="D49" s="17" t="s">
        <v>13</v>
      </c>
      <c r="E49" s="11" t="s">
        <v>55</v>
      </c>
      <c r="F49" s="18" t="s">
        <v>65</v>
      </c>
      <c r="G49" s="15" t="s">
        <v>57</v>
      </c>
      <c r="H49" s="16">
        <v>4.0</v>
      </c>
    </row>
    <row r="50" ht="15.75" customHeight="1">
      <c r="B50" s="11">
        <f t="shared" si="1"/>
        <v>42</v>
      </c>
      <c r="C50" s="11" t="s">
        <v>51</v>
      </c>
      <c r="D50" s="17" t="s">
        <v>13</v>
      </c>
      <c r="E50" s="11" t="s">
        <v>55</v>
      </c>
      <c r="F50" s="18" t="s">
        <v>66</v>
      </c>
      <c r="G50" s="15" t="s">
        <v>57</v>
      </c>
      <c r="H50" s="16">
        <v>4.0</v>
      </c>
    </row>
    <row r="51" ht="15.75" customHeight="1">
      <c r="B51" s="11">
        <f t="shared" si="1"/>
        <v>43</v>
      </c>
      <c r="C51" s="11" t="s">
        <v>51</v>
      </c>
      <c r="D51" s="17" t="s">
        <v>13</v>
      </c>
      <c r="E51" s="11" t="s">
        <v>55</v>
      </c>
      <c r="F51" s="18" t="s">
        <v>67</v>
      </c>
      <c r="G51" s="15" t="s">
        <v>57</v>
      </c>
      <c r="H51" s="16">
        <v>4.0</v>
      </c>
    </row>
    <row r="52" ht="15.75" customHeight="1">
      <c r="B52" s="11">
        <f t="shared" si="1"/>
        <v>44</v>
      </c>
      <c r="C52" s="11" t="s">
        <v>51</v>
      </c>
      <c r="D52" s="17" t="s">
        <v>13</v>
      </c>
      <c r="E52" s="18" t="s">
        <v>68</v>
      </c>
      <c r="F52" s="19" t="s">
        <v>69</v>
      </c>
      <c r="G52" s="15" t="s">
        <v>57</v>
      </c>
      <c r="H52" s="16">
        <v>4.0</v>
      </c>
    </row>
    <row r="53" ht="15.75" customHeight="1">
      <c r="B53" s="11">
        <f t="shared" si="1"/>
        <v>45</v>
      </c>
      <c r="C53" s="11" t="s">
        <v>51</v>
      </c>
      <c r="D53" s="17" t="s">
        <v>13</v>
      </c>
      <c r="E53" s="18" t="s">
        <v>68</v>
      </c>
      <c r="F53" s="18" t="s">
        <v>70</v>
      </c>
      <c r="G53" s="15" t="s">
        <v>57</v>
      </c>
      <c r="H53" s="16">
        <v>5.0</v>
      </c>
    </row>
    <row r="54" ht="15.75" customHeight="1">
      <c r="B54" s="11">
        <f t="shared" si="1"/>
        <v>46</v>
      </c>
      <c r="C54" s="11" t="s">
        <v>51</v>
      </c>
      <c r="D54" s="17" t="s">
        <v>13</v>
      </c>
      <c r="E54" s="18" t="s">
        <v>68</v>
      </c>
      <c r="F54" s="19" t="s">
        <v>71</v>
      </c>
      <c r="G54" s="15" t="s">
        <v>57</v>
      </c>
      <c r="H54" s="16">
        <v>5.0</v>
      </c>
    </row>
    <row r="55" ht="15.75" customHeight="1">
      <c r="B55" s="11">
        <f t="shared" si="1"/>
        <v>47</v>
      </c>
      <c r="C55" s="11" t="s">
        <v>51</v>
      </c>
      <c r="D55" s="17" t="s">
        <v>13</v>
      </c>
      <c r="E55" s="18" t="s">
        <v>68</v>
      </c>
      <c r="F55" s="19" t="s">
        <v>72</v>
      </c>
      <c r="G55" s="15" t="s">
        <v>57</v>
      </c>
      <c r="H55" s="16">
        <v>5.0</v>
      </c>
    </row>
    <row r="56" ht="15.75" customHeight="1">
      <c r="B56" s="11">
        <f t="shared" si="1"/>
        <v>48</v>
      </c>
      <c r="C56" s="11" t="s">
        <v>51</v>
      </c>
      <c r="D56" s="17" t="s">
        <v>13</v>
      </c>
      <c r="E56" s="18" t="s">
        <v>68</v>
      </c>
      <c r="F56" s="18" t="s">
        <v>73</v>
      </c>
      <c r="G56" s="15" t="s">
        <v>57</v>
      </c>
      <c r="H56" s="16">
        <v>5.0</v>
      </c>
    </row>
    <row r="57" ht="15.75" customHeight="1">
      <c r="B57" s="11">
        <f t="shared" si="1"/>
        <v>49</v>
      </c>
      <c r="C57" s="11" t="s">
        <v>51</v>
      </c>
      <c r="D57" s="17" t="s">
        <v>13</v>
      </c>
      <c r="E57" s="18" t="s">
        <v>68</v>
      </c>
      <c r="F57" s="18" t="s">
        <v>74</v>
      </c>
      <c r="G57" s="15" t="s">
        <v>57</v>
      </c>
      <c r="H57" s="16">
        <v>5.0</v>
      </c>
    </row>
    <row r="58" ht="15.75" customHeight="1">
      <c r="B58" s="11">
        <f t="shared" si="1"/>
        <v>50</v>
      </c>
      <c r="C58" s="11" t="s">
        <v>62</v>
      </c>
      <c r="D58" s="17" t="s">
        <v>13</v>
      </c>
      <c r="E58" s="18" t="s">
        <v>68</v>
      </c>
      <c r="F58" s="18" t="s">
        <v>75</v>
      </c>
      <c r="G58" s="15" t="s">
        <v>57</v>
      </c>
      <c r="H58" s="16">
        <v>5.0</v>
      </c>
    </row>
    <row r="59" ht="15.75" customHeight="1">
      <c r="B59" s="11">
        <f t="shared" si="1"/>
        <v>51</v>
      </c>
      <c r="C59" s="11" t="s">
        <v>12</v>
      </c>
      <c r="D59" s="17" t="s">
        <v>13</v>
      </c>
      <c r="E59" s="18" t="s">
        <v>76</v>
      </c>
      <c r="F59" s="18" t="s">
        <v>77</v>
      </c>
      <c r="G59" s="15" t="s">
        <v>57</v>
      </c>
      <c r="H59" s="16">
        <v>5.0</v>
      </c>
    </row>
    <row r="60" ht="15.75" customHeight="1">
      <c r="B60" s="11">
        <f t="shared" si="1"/>
        <v>52</v>
      </c>
      <c r="C60" s="11" t="s">
        <v>12</v>
      </c>
      <c r="D60" s="17" t="s">
        <v>13</v>
      </c>
      <c r="E60" s="18" t="s">
        <v>76</v>
      </c>
      <c r="F60" s="19" t="s">
        <v>78</v>
      </c>
      <c r="G60" s="15" t="s">
        <v>57</v>
      </c>
      <c r="H60" s="16">
        <v>6.0</v>
      </c>
    </row>
    <row r="61" ht="15.75" customHeight="1">
      <c r="B61" s="11">
        <f t="shared" si="1"/>
        <v>53</v>
      </c>
      <c r="C61" s="11" t="s">
        <v>12</v>
      </c>
      <c r="D61" s="17" t="s">
        <v>13</v>
      </c>
      <c r="E61" s="18" t="s">
        <v>76</v>
      </c>
      <c r="F61" s="19" t="s">
        <v>79</v>
      </c>
      <c r="G61" s="15" t="s">
        <v>57</v>
      </c>
      <c r="H61" s="16">
        <v>6.0</v>
      </c>
    </row>
    <row r="62" ht="15.75" customHeight="1">
      <c r="B62" s="11">
        <f t="shared" si="1"/>
        <v>54</v>
      </c>
      <c r="C62" s="11" t="s">
        <v>12</v>
      </c>
      <c r="D62" s="17" t="s">
        <v>13</v>
      </c>
      <c r="E62" s="18" t="s">
        <v>76</v>
      </c>
      <c r="F62" s="18" t="s">
        <v>80</v>
      </c>
      <c r="G62" s="15" t="s">
        <v>57</v>
      </c>
      <c r="H62" s="16">
        <v>6.0</v>
      </c>
    </row>
    <row r="63" ht="15.75" customHeight="1">
      <c r="B63" s="11">
        <f t="shared" si="1"/>
        <v>55</v>
      </c>
      <c r="C63" s="11" t="s">
        <v>12</v>
      </c>
      <c r="D63" s="17" t="s">
        <v>13</v>
      </c>
      <c r="E63" s="18" t="s">
        <v>76</v>
      </c>
      <c r="F63" s="18" t="s">
        <v>81</v>
      </c>
      <c r="G63" s="15" t="s">
        <v>57</v>
      </c>
      <c r="H63" s="16">
        <v>6.0</v>
      </c>
    </row>
    <row r="64" ht="15.75" customHeight="1">
      <c r="B64" s="11">
        <f t="shared" si="1"/>
        <v>56</v>
      </c>
      <c r="C64" s="11" t="s">
        <v>12</v>
      </c>
      <c r="D64" s="17" t="s">
        <v>13</v>
      </c>
      <c r="E64" s="18" t="s">
        <v>76</v>
      </c>
      <c r="F64" s="18" t="s">
        <v>82</v>
      </c>
      <c r="G64" s="15" t="s">
        <v>57</v>
      </c>
      <c r="H64" s="16">
        <v>6.0</v>
      </c>
    </row>
    <row r="65" ht="15.75" customHeight="1">
      <c r="B65" s="11">
        <f t="shared" si="1"/>
        <v>57</v>
      </c>
      <c r="C65" s="11" t="s">
        <v>12</v>
      </c>
      <c r="D65" s="17" t="s">
        <v>83</v>
      </c>
      <c r="E65" s="18" t="s">
        <v>84</v>
      </c>
      <c r="F65" s="18" t="s">
        <v>85</v>
      </c>
      <c r="G65" s="15" t="s">
        <v>57</v>
      </c>
      <c r="H65" s="16">
        <v>7.0</v>
      </c>
    </row>
    <row r="66" ht="42.75" customHeight="1">
      <c r="B66" s="11">
        <f t="shared" si="1"/>
        <v>58</v>
      </c>
      <c r="C66" s="11" t="s">
        <v>12</v>
      </c>
      <c r="D66" s="17" t="s">
        <v>83</v>
      </c>
      <c r="E66" s="18" t="s">
        <v>86</v>
      </c>
      <c r="F66" s="18" t="s">
        <v>87</v>
      </c>
      <c r="G66" s="15" t="s">
        <v>57</v>
      </c>
      <c r="H66" s="16">
        <v>7.0</v>
      </c>
    </row>
    <row r="67" ht="15.75" customHeight="1">
      <c r="B67" s="11">
        <f t="shared" si="1"/>
        <v>59</v>
      </c>
      <c r="C67" s="11" t="s">
        <v>12</v>
      </c>
      <c r="D67" s="17" t="s">
        <v>83</v>
      </c>
      <c r="E67" s="18" t="s">
        <v>86</v>
      </c>
      <c r="F67" s="18" t="s">
        <v>88</v>
      </c>
      <c r="G67" s="15" t="s">
        <v>57</v>
      </c>
      <c r="H67" s="16">
        <v>7.0</v>
      </c>
    </row>
    <row r="68" ht="15.75" customHeight="1">
      <c r="B68" s="11">
        <f t="shared" si="1"/>
        <v>60</v>
      </c>
      <c r="C68" s="11" t="s">
        <v>12</v>
      </c>
      <c r="D68" s="17" t="s">
        <v>83</v>
      </c>
      <c r="E68" s="18" t="s">
        <v>86</v>
      </c>
      <c r="F68" s="18" t="s">
        <v>89</v>
      </c>
      <c r="G68" s="15" t="s">
        <v>57</v>
      </c>
      <c r="H68" s="16">
        <v>7.0</v>
      </c>
    </row>
    <row r="69" ht="15.75" customHeight="1">
      <c r="B69" s="11">
        <f t="shared" si="1"/>
        <v>61</v>
      </c>
      <c r="C69" s="11" t="s">
        <v>90</v>
      </c>
      <c r="D69" s="17" t="s">
        <v>83</v>
      </c>
      <c r="E69" s="18" t="s">
        <v>86</v>
      </c>
      <c r="F69" s="18" t="s">
        <v>91</v>
      </c>
      <c r="G69" s="15" t="s">
        <v>57</v>
      </c>
      <c r="H69" s="16">
        <v>7.0</v>
      </c>
    </row>
    <row r="70" ht="15.75" customHeight="1">
      <c r="B70" s="11">
        <f t="shared" si="1"/>
        <v>62</v>
      </c>
      <c r="C70" s="11" t="s">
        <v>90</v>
      </c>
      <c r="D70" s="17" t="s">
        <v>83</v>
      </c>
      <c r="E70" s="18" t="s">
        <v>86</v>
      </c>
      <c r="F70" s="18" t="s">
        <v>92</v>
      </c>
      <c r="G70" s="15" t="s">
        <v>57</v>
      </c>
      <c r="H70" s="16">
        <v>7.0</v>
      </c>
    </row>
    <row r="71" ht="15.75" customHeight="1">
      <c r="B71" s="11">
        <f t="shared" si="1"/>
        <v>63</v>
      </c>
      <c r="C71" s="11" t="s">
        <v>90</v>
      </c>
      <c r="D71" s="17" t="s">
        <v>83</v>
      </c>
      <c r="E71" s="18" t="s">
        <v>86</v>
      </c>
      <c r="F71" s="18" t="s">
        <v>93</v>
      </c>
      <c r="G71" s="15" t="s">
        <v>57</v>
      </c>
      <c r="H71" s="16">
        <v>7.0</v>
      </c>
    </row>
    <row r="72" ht="15.75" customHeight="1">
      <c r="B72" s="11">
        <f t="shared" si="1"/>
        <v>64</v>
      </c>
      <c r="C72" s="11" t="s">
        <v>90</v>
      </c>
      <c r="D72" s="17" t="s">
        <v>83</v>
      </c>
      <c r="E72" s="18" t="s">
        <v>86</v>
      </c>
      <c r="F72" s="18" t="s">
        <v>94</v>
      </c>
      <c r="G72" s="15" t="s">
        <v>57</v>
      </c>
      <c r="H72" s="16">
        <v>7.0</v>
      </c>
    </row>
    <row r="73" ht="15.75" customHeight="1">
      <c r="B73" s="11">
        <f t="shared" si="1"/>
        <v>65</v>
      </c>
      <c r="C73" s="11" t="s">
        <v>90</v>
      </c>
      <c r="D73" s="17" t="s">
        <v>83</v>
      </c>
      <c r="E73" s="18" t="s">
        <v>95</v>
      </c>
      <c r="F73" s="18" t="s">
        <v>96</v>
      </c>
      <c r="G73" s="15" t="s">
        <v>57</v>
      </c>
      <c r="H73" s="16">
        <v>8.0</v>
      </c>
    </row>
    <row r="74" ht="15.75" customHeight="1">
      <c r="B74" s="11">
        <f t="shared" si="1"/>
        <v>66</v>
      </c>
      <c r="C74" s="11" t="s">
        <v>90</v>
      </c>
      <c r="D74" s="17" t="s">
        <v>83</v>
      </c>
      <c r="E74" s="18" t="s">
        <v>97</v>
      </c>
      <c r="F74" s="18" t="s">
        <v>98</v>
      </c>
      <c r="G74" s="15" t="s">
        <v>57</v>
      </c>
      <c r="H74" s="16">
        <v>8.0</v>
      </c>
    </row>
    <row r="75" ht="15.75" customHeight="1">
      <c r="B75" s="11">
        <f t="shared" si="1"/>
        <v>67</v>
      </c>
      <c r="C75" s="11" t="s">
        <v>90</v>
      </c>
      <c r="D75" s="17" t="s">
        <v>83</v>
      </c>
      <c r="E75" s="18" t="s">
        <v>97</v>
      </c>
      <c r="F75" s="18" t="s">
        <v>99</v>
      </c>
      <c r="G75" s="15" t="s">
        <v>100</v>
      </c>
      <c r="H75" s="16">
        <v>9.0</v>
      </c>
    </row>
    <row r="76" ht="15.75" customHeight="1">
      <c r="B76" s="11">
        <f t="shared" si="1"/>
        <v>68</v>
      </c>
      <c r="C76" s="11" t="s">
        <v>62</v>
      </c>
      <c r="D76" s="17" t="s">
        <v>83</v>
      </c>
      <c r="E76" s="18" t="s">
        <v>97</v>
      </c>
      <c r="F76" s="18" t="s">
        <v>101</v>
      </c>
      <c r="G76" s="15" t="s">
        <v>100</v>
      </c>
      <c r="H76" s="16">
        <v>9.0</v>
      </c>
    </row>
    <row r="77" ht="15.75" customHeight="1">
      <c r="B77" s="11">
        <f t="shared" si="1"/>
        <v>69</v>
      </c>
      <c r="C77" s="11" t="s">
        <v>90</v>
      </c>
      <c r="D77" s="17" t="s">
        <v>83</v>
      </c>
      <c r="E77" s="18" t="s">
        <v>97</v>
      </c>
      <c r="F77" s="18" t="s">
        <v>102</v>
      </c>
      <c r="G77" s="15" t="s">
        <v>100</v>
      </c>
      <c r="H77" s="16">
        <v>10.0</v>
      </c>
    </row>
    <row r="78" ht="15.75" customHeight="1">
      <c r="B78" s="11">
        <f t="shared" si="1"/>
        <v>70</v>
      </c>
      <c r="C78" s="11" t="s">
        <v>62</v>
      </c>
      <c r="D78" s="17" t="s">
        <v>83</v>
      </c>
      <c r="E78" s="18" t="s">
        <v>84</v>
      </c>
      <c r="F78" s="18" t="s">
        <v>103</v>
      </c>
      <c r="G78" s="15" t="s">
        <v>100</v>
      </c>
      <c r="H78" s="16">
        <v>10.0</v>
      </c>
    </row>
    <row r="79" ht="15.75" customHeight="1">
      <c r="B79" s="11">
        <f t="shared" si="1"/>
        <v>71</v>
      </c>
      <c r="C79" s="11" t="s">
        <v>62</v>
      </c>
      <c r="D79" s="17" t="s">
        <v>83</v>
      </c>
      <c r="E79" s="18" t="s">
        <v>84</v>
      </c>
      <c r="F79" s="18" t="s">
        <v>104</v>
      </c>
      <c r="G79" s="15" t="s">
        <v>100</v>
      </c>
      <c r="H79" s="16">
        <v>10.0</v>
      </c>
    </row>
    <row r="80" ht="15.75" customHeight="1">
      <c r="B80" s="11">
        <f t="shared" si="1"/>
        <v>72</v>
      </c>
      <c r="C80" s="11" t="s">
        <v>62</v>
      </c>
      <c r="D80" s="17" t="s">
        <v>83</v>
      </c>
      <c r="E80" s="18" t="s">
        <v>84</v>
      </c>
      <c r="F80" s="18" t="s">
        <v>103</v>
      </c>
      <c r="G80" s="15" t="s">
        <v>100</v>
      </c>
      <c r="H80" s="16">
        <v>11.0</v>
      </c>
    </row>
    <row r="81" ht="15.75" customHeight="1">
      <c r="B81" s="11">
        <f t="shared" si="1"/>
        <v>73</v>
      </c>
      <c r="C81" s="11" t="s">
        <v>62</v>
      </c>
      <c r="D81" s="17" t="s">
        <v>83</v>
      </c>
      <c r="E81" s="18" t="s">
        <v>84</v>
      </c>
      <c r="F81" s="18" t="s">
        <v>105</v>
      </c>
      <c r="G81" s="15" t="s">
        <v>100</v>
      </c>
      <c r="H81" s="16">
        <v>11.0</v>
      </c>
    </row>
    <row r="82" ht="15.75" customHeight="1">
      <c r="B82" s="18"/>
      <c r="C82" s="21"/>
      <c r="D82" s="17"/>
      <c r="E82" s="18"/>
      <c r="F82" s="18"/>
      <c r="G82" s="22"/>
      <c r="H82" s="16"/>
    </row>
    <row r="83" ht="15.75" customHeight="1">
      <c r="B83" s="18"/>
      <c r="C83" s="21"/>
      <c r="D83" s="17"/>
      <c r="E83" s="18"/>
      <c r="F83" s="18"/>
      <c r="G83" s="22"/>
      <c r="H83" s="16"/>
    </row>
    <row r="84" ht="15.75" customHeight="1">
      <c r="B84" s="7"/>
      <c r="C84" s="23"/>
      <c r="D84" s="7"/>
      <c r="E84" s="7"/>
      <c r="F84" s="7"/>
      <c r="G84" s="24"/>
      <c r="H84" s="25"/>
    </row>
    <row r="85" ht="15.75" customHeight="1">
      <c r="B85" s="7"/>
      <c r="C85" s="23"/>
      <c r="D85" s="7"/>
      <c r="E85" s="7"/>
      <c r="F85" s="7"/>
      <c r="G85" s="24"/>
      <c r="H85" s="25"/>
    </row>
    <row r="86" ht="15.75" customHeight="1">
      <c r="B86" s="7"/>
      <c r="C86" s="23"/>
      <c r="D86" s="7"/>
      <c r="E86" s="7"/>
      <c r="F86" s="7"/>
      <c r="G86" s="24"/>
      <c r="H86" s="25"/>
    </row>
    <row r="87" ht="15.75" customHeight="1">
      <c r="B87" s="7"/>
      <c r="C87" s="23"/>
      <c r="D87" s="7"/>
      <c r="E87" s="7"/>
      <c r="F87" s="7"/>
      <c r="G87" s="24"/>
      <c r="H87" s="25"/>
    </row>
    <row r="88" ht="15.75" customHeight="1">
      <c r="B88" s="7"/>
      <c r="C88" s="23"/>
      <c r="D88" s="7"/>
      <c r="E88" s="7"/>
      <c r="F88" s="7"/>
      <c r="G88" s="24"/>
      <c r="H88" s="25"/>
    </row>
    <row r="89" ht="15.75" customHeight="1">
      <c r="B89" s="7"/>
      <c r="C89" s="23"/>
      <c r="D89" s="7"/>
      <c r="E89" s="7"/>
      <c r="F89" s="7"/>
      <c r="G89" s="24"/>
      <c r="H89" s="25"/>
    </row>
    <row r="90" ht="15.75" customHeight="1">
      <c r="B90" s="7"/>
      <c r="C90" s="23"/>
      <c r="D90" s="7"/>
      <c r="E90" s="7"/>
      <c r="F90" s="7"/>
      <c r="G90" s="24"/>
      <c r="H90" s="25"/>
    </row>
    <row r="91" ht="15.75" customHeight="1">
      <c r="B91" s="7"/>
      <c r="C91" s="23"/>
      <c r="D91" s="7"/>
      <c r="E91" s="7"/>
      <c r="F91" s="7"/>
      <c r="G91" s="24"/>
      <c r="H91" s="25"/>
    </row>
    <row r="92" ht="15.75" customHeight="1">
      <c r="B92" s="7"/>
      <c r="C92" s="23"/>
      <c r="D92" s="7"/>
      <c r="E92" s="7"/>
      <c r="F92" s="7"/>
      <c r="G92" s="24"/>
      <c r="H92" s="25"/>
    </row>
    <row r="93" ht="15.75" customHeight="1">
      <c r="B93" s="7"/>
      <c r="C93" s="23"/>
      <c r="D93" s="7"/>
      <c r="E93" s="7"/>
      <c r="F93" s="7"/>
      <c r="G93" s="24"/>
      <c r="H93" s="25"/>
    </row>
    <row r="94" ht="15.75" customHeight="1">
      <c r="C94" s="26"/>
      <c r="G94" s="24"/>
      <c r="H94" s="25"/>
    </row>
    <row r="95" ht="15.75" customHeight="1">
      <c r="C95" s="26"/>
      <c r="G95" s="24"/>
      <c r="H95" s="25"/>
    </row>
    <row r="96" ht="15.75" customHeight="1">
      <c r="C96" s="26"/>
      <c r="G96" s="24"/>
      <c r="H96" s="25"/>
    </row>
    <row r="97" ht="15.75" customHeight="1">
      <c r="C97" s="26"/>
      <c r="G97" s="24"/>
      <c r="H97" s="25"/>
    </row>
    <row r="98" ht="15.75" customHeight="1">
      <c r="C98" s="26"/>
      <c r="G98" s="24"/>
      <c r="H98" s="25"/>
    </row>
    <row r="99" ht="15.75" customHeight="1">
      <c r="C99" s="26"/>
      <c r="G99" s="24"/>
      <c r="H99" s="25"/>
    </row>
    <row r="100" ht="15.75" customHeight="1">
      <c r="C100" s="26"/>
      <c r="G100" s="24"/>
      <c r="H100" s="25"/>
    </row>
    <row r="101" ht="15.75" customHeight="1">
      <c r="C101" s="26"/>
      <c r="H101" s="25"/>
    </row>
    <row r="102" ht="15.75" customHeight="1">
      <c r="C102" s="26"/>
      <c r="H102" s="25"/>
    </row>
    <row r="103" ht="15.75" customHeight="1">
      <c r="C103" s="26"/>
      <c r="H103" s="25"/>
    </row>
    <row r="104" ht="15.75" customHeight="1">
      <c r="C104" s="26"/>
      <c r="H104" s="25"/>
    </row>
    <row r="105" ht="15.75" customHeight="1">
      <c r="C105" s="26"/>
    </row>
    <row r="106" ht="15.75" customHeight="1">
      <c r="C106" s="26"/>
    </row>
    <row r="107" ht="15.75" customHeight="1">
      <c r="C107" s="26"/>
    </row>
    <row r="108" ht="15.75" customHeight="1">
      <c r="C108" s="26"/>
    </row>
    <row r="109" ht="15.75" customHeight="1">
      <c r="C109" s="26"/>
    </row>
    <row r="110" ht="15.75" customHeight="1">
      <c r="C110" s="26"/>
    </row>
    <row r="111" ht="15.75" customHeight="1">
      <c r="C111" s="26"/>
    </row>
    <row r="112" ht="15.75" customHeight="1">
      <c r="C112" s="26"/>
    </row>
    <row r="113" ht="15.75" customHeight="1">
      <c r="C113" s="26"/>
    </row>
    <row r="114" ht="15.75" customHeight="1">
      <c r="C114" s="26"/>
    </row>
    <row r="115" ht="15.75" customHeight="1">
      <c r="C115" s="26"/>
    </row>
    <row r="116" ht="15.75" customHeight="1">
      <c r="C116" s="26"/>
    </row>
    <row r="117" ht="15.75" customHeight="1">
      <c r="C117" s="26"/>
    </row>
    <row r="118" ht="15.75" customHeight="1">
      <c r="C118" s="26"/>
    </row>
    <row r="119" ht="15.75" customHeight="1">
      <c r="C119" s="26"/>
    </row>
    <row r="120" ht="15.75" customHeight="1">
      <c r="C120" s="26"/>
    </row>
    <row r="121" ht="15.75" customHeight="1">
      <c r="C121" s="26"/>
    </row>
    <row r="122" ht="15.75" customHeight="1">
      <c r="C122" s="26"/>
    </row>
    <row r="123" ht="15.75" customHeight="1">
      <c r="C123" s="26"/>
    </row>
    <row r="124" ht="15.75" customHeight="1">
      <c r="C124" s="26"/>
    </row>
    <row r="125" ht="15.75" customHeight="1">
      <c r="C125" s="26"/>
    </row>
    <row r="126" ht="15.75" customHeight="1">
      <c r="C126" s="26"/>
    </row>
    <row r="127" ht="15.75" customHeight="1">
      <c r="C127" s="26"/>
    </row>
    <row r="128" ht="15.75" customHeight="1">
      <c r="C128" s="26"/>
    </row>
    <row r="129" ht="15.75" customHeight="1">
      <c r="C129" s="26"/>
    </row>
    <row r="130" ht="15.75" customHeight="1">
      <c r="C130" s="26"/>
    </row>
    <row r="131" ht="15.75" customHeight="1">
      <c r="C131" s="26"/>
    </row>
    <row r="132" ht="15.75" customHeight="1">
      <c r="C132" s="26"/>
    </row>
    <row r="133" ht="15.75" customHeight="1">
      <c r="C133" s="26"/>
    </row>
    <row r="134" ht="15.75" customHeight="1">
      <c r="C134" s="26"/>
    </row>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C4:H4"/>
    <mergeCell ref="C5:H5"/>
  </mergeCells>
  <dataValidations>
    <dataValidation type="list" allowBlank="1" showErrorMessage="1" sqref="C9:C100">
      <formula1>METADATA!$I$17:$I$37</formula1>
    </dataValidation>
    <dataValidation type="list" allowBlank="1" showErrorMessage="1" sqref="C4">
      <formula1>METADATA!$A$2:$A$80</formula1>
    </dataValidation>
    <dataValidation type="list" allowBlank="1" showErrorMessage="1" sqref="G9:G100">
      <formula1>"Enero,Febrero,Marzo,Abril,Mayo"</formula1>
    </dataValidation>
    <dataValidation type="list" allowBlank="1" showErrorMessage="1" sqref="H9:H100">
      <formula1>"2,3,4,5,6,7,8,9,10,11"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2" t="s">
        <v>0</v>
      </c>
    </row>
    <row r="3" ht="15.75" customHeight="1"/>
    <row r="4" ht="15.75" customHeight="1">
      <c r="B4" s="27" t="s">
        <v>1</v>
      </c>
      <c r="C4" s="28" t="str">
        <f>'Diseño'!C4</f>
        <v>281 - Sistemas Operativos 1</v>
      </c>
      <c r="D4" s="29"/>
      <c r="E4" s="29"/>
      <c r="F4" s="29"/>
      <c r="G4" s="30"/>
    </row>
    <row r="5" ht="15.75" customHeight="1">
      <c r="B5" s="31" t="s">
        <v>11</v>
      </c>
      <c r="C5" s="28">
        <v>1.0</v>
      </c>
      <c r="D5" s="29"/>
      <c r="E5" s="29"/>
      <c r="F5" s="29"/>
      <c r="G5" s="30"/>
    </row>
    <row r="6" ht="15.75" customHeight="1">
      <c r="B6" s="31" t="s">
        <v>106</v>
      </c>
      <c r="C6" s="28">
        <f>B15+B22+B29+B41+B47+C48</f>
        <v>80</v>
      </c>
      <c r="D6" s="29"/>
      <c r="E6" s="29"/>
      <c r="F6" s="29"/>
      <c r="G6" s="30"/>
    </row>
    <row r="7" ht="15.75" customHeight="1"/>
    <row r="8" ht="15.75" customHeight="1"/>
    <row r="9" ht="15.75" customHeight="1">
      <c r="A9" s="32" t="s">
        <v>107</v>
      </c>
      <c r="G9" s="33" t="s">
        <v>108</v>
      </c>
      <c r="H9" s="34">
        <v>15.0</v>
      </c>
    </row>
    <row r="10" ht="15.75" customHeight="1">
      <c r="G10" s="35" t="s">
        <v>109</v>
      </c>
    </row>
    <row r="11" ht="15.75" customHeight="1">
      <c r="A11" s="36" t="s">
        <v>110</v>
      </c>
      <c r="B11" s="37" t="s">
        <v>111</v>
      </c>
      <c r="C11" s="29"/>
      <c r="D11" s="29"/>
      <c r="E11" s="29"/>
      <c r="F11" s="29"/>
      <c r="G11" s="29"/>
      <c r="H11" s="30"/>
    </row>
    <row r="12" ht="15.75" customHeight="1">
      <c r="A12" s="36" t="s">
        <v>112</v>
      </c>
      <c r="B12" s="37" t="s">
        <v>113</v>
      </c>
      <c r="C12" s="29"/>
      <c r="D12" s="29"/>
      <c r="E12" s="29"/>
      <c r="F12" s="29"/>
      <c r="G12" s="29"/>
      <c r="H12" s="30"/>
      <c r="K12" s="38" t="s">
        <v>114</v>
      </c>
    </row>
    <row r="13" ht="15.75" customHeight="1">
      <c r="A13" s="39" t="s">
        <v>115</v>
      </c>
      <c r="B13" s="40" t="s">
        <v>116</v>
      </c>
      <c r="C13" s="29"/>
      <c r="D13" s="29"/>
      <c r="E13" s="29"/>
      <c r="F13" s="29"/>
      <c r="G13" s="29"/>
      <c r="H13" s="30"/>
    </row>
    <row r="14" ht="15.75" customHeight="1">
      <c r="A14" s="39" t="s">
        <v>117</v>
      </c>
      <c r="B14" s="40" t="s">
        <v>118</v>
      </c>
      <c r="C14" s="29"/>
      <c r="D14" s="29"/>
      <c r="E14" s="29"/>
      <c r="F14" s="29"/>
      <c r="G14" s="29"/>
      <c r="H14" s="30"/>
    </row>
    <row r="15" ht="15.75" customHeight="1">
      <c r="A15" s="41" t="s">
        <v>119</v>
      </c>
      <c r="B15" s="40">
        <v>15.0</v>
      </c>
      <c r="C15" s="29"/>
      <c r="D15" s="29"/>
      <c r="E15" s="29"/>
      <c r="F15" s="29"/>
      <c r="G15" s="29"/>
      <c r="H15" s="30"/>
    </row>
    <row r="16" ht="15.75" customHeight="1"/>
    <row r="17" ht="15.75" customHeight="1"/>
    <row r="18" ht="15.75" customHeight="1">
      <c r="A18" s="42" t="s">
        <v>120</v>
      </c>
      <c r="G18" s="33" t="s">
        <v>108</v>
      </c>
      <c r="H18" s="34">
        <v>30.0</v>
      </c>
    </row>
    <row r="19" ht="15.75" customHeight="1">
      <c r="G19" s="35" t="s">
        <v>121</v>
      </c>
    </row>
    <row r="20" ht="15.75" customHeight="1">
      <c r="A20" s="36" t="s">
        <v>122</v>
      </c>
      <c r="B20" s="37" t="s">
        <v>123</v>
      </c>
      <c r="C20" s="29"/>
      <c r="D20" s="29"/>
      <c r="E20" s="29"/>
      <c r="F20" s="29"/>
      <c r="G20" s="29"/>
      <c r="H20" s="30"/>
      <c r="K20" s="38" t="s">
        <v>124</v>
      </c>
    </row>
    <row r="21" ht="15.75" customHeight="1">
      <c r="A21" s="36" t="s">
        <v>125</v>
      </c>
      <c r="B21" s="37" t="s">
        <v>126</v>
      </c>
      <c r="C21" s="29"/>
      <c r="D21" s="29"/>
      <c r="E21" s="29"/>
      <c r="F21" s="29"/>
      <c r="G21" s="29"/>
      <c r="H21" s="30"/>
    </row>
    <row r="22" ht="15.75" customHeight="1">
      <c r="A22" s="41" t="s">
        <v>119</v>
      </c>
      <c r="B22" s="40">
        <v>30.0</v>
      </c>
      <c r="C22" s="29"/>
      <c r="D22" s="29"/>
      <c r="E22" s="29"/>
      <c r="F22" s="29"/>
      <c r="G22" s="29"/>
      <c r="H22" s="30"/>
    </row>
    <row r="23" ht="15.75" customHeight="1"/>
    <row r="24" ht="15.75" customHeight="1"/>
    <row r="25" ht="15.75" customHeight="1">
      <c r="A25" s="42" t="s">
        <v>127</v>
      </c>
      <c r="G25" s="43" t="s">
        <v>108</v>
      </c>
      <c r="H25" s="44">
        <f>B29</f>
        <v>15</v>
      </c>
    </row>
    <row r="26" ht="15.75" customHeight="1">
      <c r="G26" s="35" t="s">
        <v>128</v>
      </c>
      <c r="H26" s="35"/>
      <c r="I26" s="35"/>
      <c r="J26" s="35"/>
    </row>
    <row r="27" ht="39.75" customHeight="1">
      <c r="A27" s="36" t="s">
        <v>129</v>
      </c>
      <c r="B27" s="37" t="s">
        <v>130</v>
      </c>
      <c r="C27" s="29"/>
      <c r="D27" s="29"/>
      <c r="E27" s="29"/>
      <c r="F27" s="29"/>
      <c r="G27" s="29"/>
      <c r="H27" s="30"/>
      <c r="K27" s="45" t="s">
        <v>131</v>
      </c>
    </row>
    <row r="28" ht="69.75" customHeight="1">
      <c r="A28" s="36" t="s">
        <v>132</v>
      </c>
      <c r="B28" s="37" t="s">
        <v>133</v>
      </c>
      <c r="C28" s="29"/>
      <c r="D28" s="29"/>
      <c r="E28" s="29"/>
      <c r="F28" s="29"/>
      <c r="G28" s="29"/>
      <c r="H28" s="30"/>
    </row>
    <row r="29" ht="15.75" customHeight="1">
      <c r="A29" s="41" t="s">
        <v>119</v>
      </c>
      <c r="B29" s="40">
        <v>15.0</v>
      </c>
      <c r="C29" s="29"/>
      <c r="D29" s="29"/>
      <c r="E29" s="29"/>
      <c r="F29" s="29"/>
      <c r="G29" s="29"/>
      <c r="H29" s="30"/>
    </row>
    <row r="30" ht="15.75" customHeight="1"/>
    <row r="31" ht="15.75" customHeight="1"/>
    <row r="32" ht="15.75" customHeight="1">
      <c r="A32" s="42" t="s">
        <v>134</v>
      </c>
      <c r="G32" s="43" t="s">
        <v>108</v>
      </c>
      <c r="H32" s="34">
        <v>10.0</v>
      </c>
    </row>
    <row r="33" ht="15.75" customHeight="1">
      <c r="A33" s="6" t="s">
        <v>135</v>
      </c>
      <c r="G33" s="6" t="s">
        <v>136</v>
      </c>
      <c r="H33" s="46"/>
      <c r="I33" s="46"/>
    </row>
    <row r="34" ht="15.75" customHeight="1">
      <c r="A34" s="36" t="s">
        <v>137</v>
      </c>
      <c r="B34" s="37" t="s">
        <v>138</v>
      </c>
      <c r="C34" s="29"/>
      <c r="D34" s="29"/>
      <c r="E34" s="29"/>
      <c r="F34" s="29"/>
      <c r="G34" s="29"/>
      <c r="H34" s="30"/>
      <c r="K34" s="47" t="s">
        <v>139</v>
      </c>
    </row>
    <row r="35" ht="15.75" customHeight="1">
      <c r="A35" s="36" t="s">
        <v>140</v>
      </c>
      <c r="B35" s="37" t="s">
        <v>141</v>
      </c>
      <c r="C35" s="29"/>
      <c r="D35" s="29"/>
      <c r="E35" s="29"/>
      <c r="F35" s="29"/>
      <c r="G35" s="29"/>
      <c r="H35" s="30"/>
    </row>
    <row r="36" ht="15.75" customHeight="1">
      <c r="A36" s="41" t="s">
        <v>119</v>
      </c>
      <c r="B36" s="40">
        <v>10.0</v>
      </c>
      <c r="C36" s="29"/>
      <c r="D36" s="29"/>
      <c r="E36" s="29"/>
      <c r="F36" s="29"/>
      <c r="G36" s="29"/>
      <c r="H36" s="30"/>
    </row>
    <row r="37" ht="15.75" customHeight="1"/>
    <row r="38" ht="15.75" customHeight="1"/>
    <row r="39" ht="15.75" customHeight="1">
      <c r="A39" s="42" t="s">
        <v>142</v>
      </c>
      <c r="G39" s="43" t="s">
        <v>108</v>
      </c>
      <c r="H39" s="44">
        <f>B41</f>
        <v>10</v>
      </c>
    </row>
    <row r="40" ht="15.75" customHeight="1">
      <c r="G40" s="35" t="s">
        <v>143</v>
      </c>
    </row>
    <row r="41" ht="15.75" customHeight="1">
      <c r="A41" s="41" t="s">
        <v>119</v>
      </c>
      <c r="B41" s="40">
        <v>10.0</v>
      </c>
      <c r="C41" s="29"/>
      <c r="D41" s="29"/>
      <c r="E41" s="29"/>
      <c r="F41" s="29"/>
      <c r="G41" s="29"/>
      <c r="H41" s="30"/>
    </row>
    <row r="42" ht="15.75" customHeight="1"/>
    <row r="43" ht="15.75" customHeight="1"/>
    <row r="44" ht="15.75" customHeight="1">
      <c r="A44" s="42" t="s">
        <v>144</v>
      </c>
      <c r="G44" s="43" t="s">
        <v>108</v>
      </c>
      <c r="H44" s="44">
        <f>B47</f>
        <v>10</v>
      </c>
    </row>
    <row r="45" ht="15.75" customHeight="1">
      <c r="G45" s="35" t="s">
        <v>109</v>
      </c>
    </row>
    <row r="46" ht="15.75" customHeight="1">
      <c r="A46" s="36" t="s">
        <v>145</v>
      </c>
      <c r="B46" s="37" t="s">
        <v>146</v>
      </c>
      <c r="C46" s="29"/>
      <c r="D46" s="29"/>
      <c r="E46" s="29"/>
      <c r="F46" s="29"/>
      <c r="G46" s="29"/>
      <c r="H46" s="30"/>
    </row>
    <row r="47" ht="15.75" customHeight="1">
      <c r="A47" s="41" t="s">
        <v>119</v>
      </c>
      <c r="B47" s="40">
        <v>10.0</v>
      </c>
      <c r="C47" s="29"/>
      <c r="D47" s="29"/>
      <c r="E47" s="29"/>
      <c r="F47" s="29"/>
      <c r="G47" s="29"/>
      <c r="H47" s="30"/>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A6"/>
    <mergeCell ref="C4:G4"/>
    <mergeCell ref="C5:G5"/>
    <mergeCell ref="C6:G6"/>
    <mergeCell ref="A9:F9"/>
    <mergeCell ref="G10:I10"/>
    <mergeCell ref="B11:H11"/>
    <mergeCell ref="B12:H12"/>
    <mergeCell ref="K12:M13"/>
    <mergeCell ref="B13:H13"/>
    <mergeCell ref="B14:H14"/>
    <mergeCell ref="B15:H15"/>
    <mergeCell ref="A18:F18"/>
    <mergeCell ref="G19:I19"/>
    <mergeCell ref="B20:H20"/>
    <mergeCell ref="K20:M21"/>
    <mergeCell ref="B21:H21"/>
    <mergeCell ref="B22:H22"/>
    <mergeCell ref="A25:F25"/>
    <mergeCell ref="B27:H27"/>
    <mergeCell ref="K27:M29"/>
    <mergeCell ref="B36:H36"/>
    <mergeCell ref="A39:F39"/>
    <mergeCell ref="G40:I40"/>
    <mergeCell ref="B41:H41"/>
    <mergeCell ref="A44:F44"/>
    <mergeCell ref="G45:I45"/>
    <mergeCell ref="B46:H46"/>
    <mergeCell ref="B47:H47"/>
    <mergeCell ref="B28:H28"/>
    <mergeCell ref="B29:H29"/>
    <mergeCell ref="A32:F32"/>
    <mergeCell ref="A33:F33"/>
    <mergeCell ref="B34:H34"/>
    <mergeCell ref="K34:M36"/>
    <mergeCell ref="B35:H35"/>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2.0</v>
      </c>
      <c r="D5" s="29"/>
      <c r="E5" s="29"/>
      <c r="F5" s="29"/>
      <c r="G5" s="30"/>
    </row>
    <row r="6" ht="15.75" customHeight="1">
      <c r="B6" s="49" t="s">
        <v>106</v>
      </c>
      <c r="C6" s="28">
        <f>H10+H21+H44+H68</f>
        <v>105</v>
      </c>
      <c r="D6" s="29"/>
      <c r="E6" s="29"/>
      <c r="F6" s="29"/>
      <c r="G6" s="30"/>
      <c r="I6" s="5"/>
    </row>
    <row r="7" ht="15.75" customHeight="1">
      <c r="B7" s="49" t="s">
        <v>148</v>
      </c>
      <c r="C7" s="28">
        <f>B49+B60</f>
        <v>0</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1">
        <f>B13</f>
        <v>5</v>
      </c>
    </row>
    <row r="11" ht="15.75" customHeight="1">
      <c r="G11" s="35" t="s">
        <v>151</v>
      </c>
    </row>
    <row r="12" ht="15.75" customHeight="1">
      <c r="A12" s="39" t="s">
        <v>152</v>
      </c>
      <c r="B12" s="40" t="s">
        <v>153</v>
      </c>
      <c r="C12" s="29"/>
      <c r="D12" s="29"/>
      <c r="E12" s="29"/>
      <c r="F12" s="29"/>
      <c r="G12" s="29"/>
      <c r="H12" s="30"/>
    </row>
    <row r="13" ht="15.75" customHeight="1">
      <c r="A13" s="41" t="s">
        <v>108</v>
      </c>
      <c r="B13" s="40">
        <v>5.0</v>
      </c>
      <c r="C13" s="29"/>
      <c r="D13" s="29"/>
      <c r="E13" s="29"/>
      <c r="F13" s="29"/>
      <c r="G13" s="29"/>
      <c r="H13" s="30"/>
    </row>
    <row r="14" ht="15.75" customHeight="1">
      <c r="A14" s="52" t="s">
        <v>154</v>
      </c>
      <c r="B14" s="29"/>
      <c r="C14" s="29"/>
      <c r="D14" s="29"/>
      <c r="E14" s="29"/>
      <c r="F14" s="29"/>
      <c r="G14" s="29"/>
      <c r="H14" s="30"/>
    </row>
    <row r="15" ht="15.75" customHeight="1">
      <c r="A15" s="53" t="s">
        <v>155</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50.0</v>
      </c>
      <c r="I21" s="5"/>
    </row>
    <row r="22" ht="15.75" customHeight="1">
      <c r="G22" s="35" t="s">
        <v>159</v>
      </c>
    </row>
    <row r="23" ht="15.75" customHeight="1">
      <c r="A23" s="39" t="s">
        <v>160</v>
      </c>
      <c r="B23" s="40" t="s">
        <v>12</v>
      </c>
      <c r="C23" s="29"/>
      <c r="D23" s="29"/>
      <c r="E23" s="29"/>
      <c r="F23" s="29"/>
      <c r="G23" s="29"/>
      <c r="H23" s="30"/>
    </row>
    <row r="24" ht="15.75" customHeight="1">
      <c r="A24" s="39" t="s">
        <v>160</v>
      </c>
      <c r="B24" s="40" t="s">
        <v>12</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63" t="s">
        <v>13</v>
      </c>
      <c r="C28" s="30"/>
      <c r="D28" s="40" t="s">
        <v>14</v>
      </c>
      <c r="E28" s="30"/>
      <c r="F28" s="28" t="str">
        <f>IFERROR(__xludf.DUMMYFUNCTION("FILTER('Diseño'!F:F,'Diseño'!H:H=$C$5)"),"Conceptos básicos de sistemas operativos")</f>
        <v>Conceptos básicos de sistemas operativos</v>
      </c>
      <c r="G28" s="29"/>
      <c r="H28" s="30"/>
    </row>
    <row r="29" ht="15.75" customHeight="1">
      <c r="A29" s="31">
        <v>2.0</v>
      </c>
      <c r="B29" s="63" t="s">
        <v>13</v>
      </c>
      <c r="C29" s="30"/>
      <c r="D29" s="40" t="s">
        <v>14</v>
      </c>
      <c r="E29" s="30"/>
      <c r="F29" s="28" t="str">
        <f>IFERROR(__xludf.DUMMYFUNCTION("""COMPUTED_VALUE"""),"Funciones principales de un sistema operativo")</f>
        <v>Funciones principales de un sistema operativo</v>
      </c>
      <c r="G29" s="29"/>
      <c r="H29" s="30"/>
    </row>
    <row r="30" ht="15.75" customHeight="1">
      <c r="A30" s="31">
        <v>3.0</v>
      </c>
      <c r="B30" s="63" t="s">
        <v>13</v>
      </c>
      <c r="C30" s="30"/>
      <c r="D30" s="40" t="s">
        <v>14</v>
      </c>
      <c r="E30" s="30"/>
      <c r="F30" s="28" t="str">
        <f>IFERROR(__xludf.DUMMYFUNCTION("""COMPUTED_VALUE"""),"Tipos de sistemas operativos")</f>
        <v>Tipos de sistemas operativos</v>
      </c>
      <c r="G30" s="29"/>
      <c r="H30" s="30"/>
    </row>
    <row r="31" ht="15.75" customHeight="1">
      <c r="A31" s="31">
        <v>4.0</v>
      </c>
      <c r="B31" s="63" t="s">
        <v>13</v>
      </c>
      <c r="C31" s="30"/>
      <c r="D31" s="40" t="s">
        <v>14</v>
      </c>
      <c r="E31" s="30"/>
      <c r="F31" s="28" t="str">
        <f>IFERROR(__xludf.DUMMYFUNCTION("""COMPUTED_VALUE"""),"Introducción a Linux")</f>
        <v>Introducción a Linux</v>
      </c>
      <c r="G31" s="29"/>
      <c r="H31" s="30"/>
    </row>
    <row r="32" ht="15.75" customHeight="1">
      <c r="A32" s="31">
        <v>5.0</v>
      </c>
      <c r="B32" s="63" t="s">
        <v>13</v>
      </c>
      <c r="C32" s="30"/>
      <c r="D32" s="40" t="s">
        <v>14</v>
      </c>
      <c r="E32" s="30"/>
      <c r="F32" s="28" t="str">
        <f>IFERROR(__xludf.DUMMYFUNCTION("""COMPUTED_VALUE"""),"Historia de Linux")</f>
        <v>Historia de Linux</v>
      </c>
      <c r="G32" s="29"/>
      <c r="H32" s="30"/>
    </row>
    <row r="33" ht="15.75" customHeight="1">
      <c r="A33" s="31">
        <v>6.0</v>
      </c>
      <c r="B33" s="63" t="s">
        <v>13</v>
      </c>
      <c r="C33" s="30"/>
      <c r="D33" s="40" t="s">
        <v>14</v>
      </c>
      <c r="E33" s="30"/>
      <c r="F33" s="28" t="str">
        <f>IFERROR(__xludf.DUMMYFUNCTION("""COMPUTED_VALUE"""),"Arquitectura básica de Linux")</f>
        <v>Arquitectura básica de Linux</v>
      </c>
      <c r="G33" s="29"/>
      <c r="H33" s="30"/>
    </row>
    <row r="34" ht="15.75" customHeight="1">
      <c r="A34" s="31">
        <v>7.0</v>
      </c>
      <c r="B34" s="63" t="s">
        <v>13</v>
      </c>
      <c r="C34" s="30"/>
      <c r="D34" s="40" t="s">
        <v>14</v>
      </c>
      <c r="E34" s="30"/>
      <c r="F34" s="28" t="str">
        <f>IFERROR(__xludf.DUMMYFUNCTION("""COMPUTED_VALUE"""),"Distribuciones populares de Linux")</f>
        <v>Distribuciones populares de Linux</v>
      </c>
      <c r="G34" s="29"/>
      <c r="H34" s="30"/>
    </row>
    <row r="35" ht="15.75" customHeight="1">
      <c r="F35" s="64" t="str">
        <f>IFERROR(__xludf.DUMMYFUNCTION("""COMPUTED_VALUE"""),"Interfaz de línea de comandos vs interfaz gráfica")</f>
        <v>Interfaz de línea de comandos vs interfaz gráfica</v>
      </c>
    </row>
    <row r="36" ht="15.75" customHeight="1">
      <c r="A36" s="60" t="s">
        <v>165</v>
      </c>
      <c r="F36" s="64" t="str">
        <f>IFERROR(__xludf.DUMMYFUNCTION("""COMPUTED_VALUE"""),"Comandos básicos de Linux")</f>
        <v>Comandos básicos de Linux</v>
      </c>
    </row>
    <row r="37" ht="15.75" customHeight="1">
      <c r="A37" s="5"/>
      <c r="B37" s="5"/>
      <c r="C37" s="5"/>
      <c r="D37" s="5"/>
      <c r="E37" s="5"/>
      <c r="F37" s="5" t="str">
        <f>IFERROR(__xludf.DUMMYFUNCTION("""COMPUTED_VALUE"""),"Gestión de usuarios y permisos")</f>
        <v>Gestión de usuarios y permisos</v>
      </c>
      <c r="G37" s="5"/>
      <c r="H37" s="5"/>
    </row>
    <row r="38" ht="15.75" customHeight="1">
      <c r="A38" s="61" t="s">
        <v>166</v>
      </c>
      <c r="B38" s="61" t="s">
        <v>167</v>
      </c>
      <c r="C38" s="65" t="s">
        <v>168</v>
      </c>
      <c r="D38" s="66" t="s">
        <v>108</v>
      </c>
      <c r="E38" s="29"/>
      <c r="F38" s="29"/>
      <c r="G38" s="29"/>
      <c r="H38" s="30"/>
    </row>
    <row r="39" ht="15.75" customHeight="1">
      <c r="A39" s="31" t="s">
        <v>169</v>
      </c>
      <c r="B39" s="31" t="s">
        <v>170</v>
      </c>
      <c r="C39" s="31"/>
      <c r="D39" s="40">
        <v>35.0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16">
        <v>15.0</v>
      </c>
      <c r="D41" s="28"/>
      <c r="E41" s="29"/>
      <c r="F41" s="29"/>
      <c r="G41" s="29"/>
      <c r="H41" s="30"/>
    </row>
    <row r="42" ht="15.75" customHeight="1">
      <c r="A42" s="31" t="s">
        <v>175</v>
      </c>
      <c r="B42" s="31" t="s">
        <v>170</v>
      </c>
      <c r="C42" s="16">
        <v>60.0</v>
      </c>
      <c r="D42" s="40">
        <v>60.0</v>
      </c>
      <c r="E42" s="29"/>
      <c r="F42" s="29"/>
      <c r="G42" s="29"/>
      <c r="H42" s="30"/>
    </row>
    <row r="43" ht="15.75" customHeight="1">
      <c r="F43" s="64" t="str">
        <f>IFERROR(__xludf.DUMMYFUNCTION("""COMPUTED_VALUE"""),"Funciones, arrays, manejo de argumentos en bash")</f>
        <v>Funciones, arrays, manejo de argumentos en bash</v>
      </c>
    </row>
    <row r="44" ht="15.75" customHeight="1">
      <c r="A44" s="50" t="s">
        <v>176</v>
      </c>
      <c r="G44" s="43" t="s">
        <v>108</v>
      </c>
      <c r="H44" s="59">
        <v>45.0</v>
      </c>
    </row>
    <row r="45" ht="15.75" customHeight="1">
      <c r="F45" s="64" t="str">
        <f>IFERROR(__xludf.DUMMYFUNCTION("""COMPUTED_VALUE"""),"Operadores en Bash")</f>
        <v>Operadores en Bash</v>
      </c>
      <c r="G45" s="35" t="s">
        <v>177</v>
      </c>
    </row>
    <row r="46" ht="15.75" customHeight="1">
      <c r="A46" s="35" t="s">
        <v>178</v>
      </c>
      <c r="F46" s="64" t="str">
        <f>IFERROR(__xludf.DUMMYFUNCTION("""COMPUTED_VALUE"""),"Control de flujos: if - else")</f>
        <v>Control de flujos: if - else</v>
      </c>
    </row>
    <row r="47" ht="15.75" customHeight="1">
      <c r="A47" s="39" t="s">
        <v>179</v>
      </c>
      <c r="B47" s="40" t="s">
        <v>12</v>
      </c>
      <c r="C47" s="29"/>
      <c r="D47" s="29"/>
      <c r="E47" s="29"/>
      <c r="F47" s="29"/>
      <c r="G47" s="29"/>
      <c r="H47" s="30"/>
    </row>
    <row r="48" ht="15.75" customHeight="1">
      <c r="A48" s="39" t="s">
        <v>180</v>
      </c>
      <c r="B48" s="40" t="s">
        <v>181</v>
      </c>
      <c r="C48" s="29"/>
      <c r="D48" s="29"/>
      <c r="E48" s="29"/>
      <c r="F48" s="29"/>
      <c r="G48" s="29"/>
      <c r="H48" s="30"/>
    </row>
    <row r="49" ht="15.75" customHeight="1">
      <c r="A49" s="39" t="s">
        <v>148</v>
      </c>
      <c r="B49" s="67">
        <v>0.0</v>
      </c>
      <c r="C49" s="29"/>
      <c r="D49" s="29"/>
      <c r="E49" s="29"/>
      <c r="F49" s="29"/>
      <c r="G49" s="29"/>
      <c r="H49" s="30"/>
    </row>
    <row r="50" ht="15.75" customHeight="1">
      <c r="A50" s="39" t="s">
        <v>108</v>
      </c>
      <c r="B50" s="40">
        <v>50.0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184</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40" t="s">
        <v>12</v>
      </c>
      <c r="C58" s="29"/>
      <c r="D58" s="29"/>
      <c r="E58" s="29"/>
      <c r="F58" s="29"/>
      <c r="G58" s="29"/>
      <c r="H58" s="30"/>
    </row>
    <row r="59" ht="15.75" customHeight="1">
      <c r="A59" s="39" t="s">
        <v>180</v>
      </c>
      <c r="B59" s="40" t="s">
        <v>186</v>
      </c>
      <c r="C59" s="29"/>
      <c r="D59" s="29"/>
      <c r="E59" s="29"/>
      <c r="F59" s="29"/>
      <c r="G59" s="29"/>
      <c r="H59" s="30"/>
    </row>
    <row r="60" ht="15.75" customHeight="1">
      <c r="A60" s="39" t="s">
        <v>148</v>
      </c>
      <c r="B60" s="67"/>
      <c r="C60" s="29"/>
      <c r="D60" s="29"/>
      <c r="E60" s="29"/>
      <c r="F60" s="29"/>
      <c r="G60" s="29"/>
      <c r="H60" s="30"/>
    </row>
    <row r="61" ht="15.75" customHeight="1">
      <c r="A61" s="39" t="s">
        <v>108</v>
      </c>
      <c r="B61" s="70">
        <v>45.0</v>
      </c>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53" t="s">
        <v>188</v>
      </c>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row r="68" ht="15.75" customHeight="1">
      <c r="A68" s="50" t="s">
        <v>189</v>
      </c>
      <c r="G68" s="43" t="s">
        <v>108</v>
      </c>
      <c r="H68" s="59">
        <v>5.0</v>
      </c>
    </row>
    <row r="69" ht="15.75" customHeight="1">
      <c r="G69" s="35" t="s">
        <v>190</v>
      </c>
    </row>
    <row r="70" ht="15.75" customHeight="1">
      <c r="A70" s="39" t="s">
        <v>108</v>
      </c>
      <c r="B70" s="70">
        <v>5.0</v>
      </c>
      <c r="C70" s="29"/>
      <c r="D70" s="29"/>
      <c r="E70" s="29"/>
      <c r="F70" s="29"/>
      <c r="G70" s="29"/>
      <c r="H70" s="30"/>
    </row>
    <row r="71" ht="15.75" customHeight="1">
      <c r="A71" s="66" t="s">
        <v>191</v>
      </c>
      <c r="B71" s="29"/>
      <c r="C71" s="29"/>
      <c r="D71" s="29"/>
      <c r="E71" s="29"/>
      <c r="F71" s="29"/>
      <c r="G71" s="29"/>
      <c r="H71" s="30"/>
    </row>
    <row r="72" ht="15.75" customHeight="1">
      <c r="A72" s="53" t="s">
        <v>192</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B59">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3.0</v>
      </c>
      <c r="D5" s="29"/>
      <c r="E5" s="29"/>
      <c r="F5" s="29"/>
      <c r="G5" s="30"/>
    </row>
    <row r="6" ht="15.75" customHeight="1">
      <c r="B6" s="49" t="s">
        <v>106</v>
      </c>
      <c r="C6" s="28">
        <f>H10+H21+H44+H68</f>
        <v>105</v>
      </c>
      <c r="D6" s="29"/>
      <c r="E6" s="29"/>
      <c r="F6" s="29"/>
      <c r="G6" s="30"/>
      <c r="I6" s="5"/>
    </row>
    <row r="7" ht="15.75" customHeight="1">
      <c r="B7" s="49" t="s">
        <v>148</v>
      </c>
      <c r="C7" s="28">
        <f>B49+B60</f>
        <v>0</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1">
        <f>B13</f>
        <v>5</v>
      </c>
    </row>
    <row r="11" ht="15.75" customHeight="1">
      <c r="G11" s="35" t="s">
        <v>151</v>
      </c>
    </row>
    <row r="12" ht="15.75" customHeight="1">
      <c r="A12" s="39" t="s">
        <v>152</v>
      </c>
      <c r="B12" s="40" t="s">
        <v>153</v>
      </c>
      <c r="C12" s="29"/>
      <c r="D12" s="29"/>
      <c r="E12" s="29"/>
      <c r="F12" s="29"/>
      <c r="G12" s="29"/>
      <c r="H12" s="30"/>
    </row>
    <row r="13" ht="15.75" customHeight="1">
      <c r="A13" s="41" t="s">
        <v>108</v>
      </c>
      <c r="B13" s="40">
        <v>5.0</v>
      </c>
      <c r="C13" s="29"/>
      <c r="D13" s="29"/>
      <c r="E13" s="29"/>
      <c r="F13" s="29"/>
      <c r="G13" s="29"/>
      <c r="H13" s="30"/>
    </row>
    <row r="14" ht="15.75" customHeight="1">
      <c r="A14" s="52" t="s">
        <v>154</v>
      </c>
      <c r="B14" s="29"/>
      <c r="C14" s="29"/>
      <c r="D14" s="29"/>
      <c r="E14" s="29"/>
      <c r="F14" s="29"/>
      <c r="G14" s="29"/>
      <c r="H14" s="30"/>
    </row>
    <row r="15" ht="15.75" customHeight="1">
      <c r="A15" s="53" t="s">
        <v>155</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50.0</v>
      </c>
      <c r="I21" s="5"/>
    </row>
    <row r="22" ht="15.75" customHeight="1">
      <c r="G22" s="35" t="s">
        <v>159</v>
      </c>
    </row>
    <row r="23" ht="15.75" customHeight="1">
      <c r="A23" s="39" t="s">
        <v>160</v>
      </c>
      <c r="B23" s="40" t="s">
        <v>12</v>
      </c>
      <c r="C23" s="29"/>
      <c r="D23" s="29"/>
      <c r="E23" s="29"/>
      <c r="F23" s="29"/>
      <c r="G23" s="29"/>
      <c r="H23" s="30"/>
    </row>
    <row r="24" ht="15.75" customHeight="1">
      <c r="A24" s="39" t="s">
        <v>160</v>
      </c>
      <c r="B24" s="40" t="s">
        <v>51</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63" t="s">
        <v>13</v>
      </c>
      <c r="C28" s="30"/>
      <c r="D28" s="40" t="s">
        <v>14</v>
      </c>
      <c r="E28" s="30"/>
      <c r="F28" s="28" t="str">
        <f>IFERROR(__xludf.DUMMYFUNCTION("FILTER('Diseño'!F:F,'Diseño'!H:H=$C$5)"),"Conceptos de virtualización")</f>
        <v>Conceptos de virtualización</v>
      </c>
      <c r="G28" s="29"/>
      <c r="H28" s="30"/>
    </row>
    <row r="29" ht="15.75" customHeight="1">
      <c r="A29" s="31">
        <v>2.0</v>
      </c>
      <c r="B29" s="63" t="s">
        <v>13</v>
      </c>
      <c r="C29" s="30"/>
      <c r="D29" s="40" t="s">
        <v>14</v>
      </c>
      <c r="E29" s="30"/>
      <c r="F29" s="28" t="str">
        <f>IFERROR(__xludf.DUMMYFUNCTION("""COMPUTED_VALUE"""),"Hipervisores y Máquinas Virtuales")</f>
        <v>Hipervisores y Máquinas Virtuales</v>
      </c>
      <c r="G29" s="29"/>
      <c r="H29" s="30"/>
    </row>
    <row r="30" ht="15.75" customHeight="1">
      <c r="A30" s="31">
        <v>3.0</v>
      </c>
      <c r="B30" s="63" t="s">
        <v>13</v>
      </c>
      <c r="C30" s="30"/>
      <c r="D30" s="72" t="s">
        <v>46</v>
      </c>
      <c r="E30" s="30"/>
      <c r="F30" s="28" t="str">
        <f>IFERROR(__xludf.DUMMYFUNCTION("""COMPUTED_VALUE"""),"Tipos de virtualización")</f>
        <v>Tipos de virtualización</v>
      </c>
      <c r="G30" s="29"/>
      <c r="H30" s="30"/>
    </row>
    <row r="31" ht="15.75" customHeight="1">
      <c r="A31" s="31">
        <v>4.0</v>
      </c>
      <c r="B31" s="63" t="s">
        <v>13</v>
      </c>
      <c r="C31" s="30"/>
      <c r="D31" s="72" t="s">
        <v>46</v>
      </c>
      <c r="E31" s="30"/>
      <c r="F31" s="28" t="str">
        <f>IFERROR(__xludf.DUMMYFUNCTION("""COMPUTED_VALUE"""),"Hipervisores: Tipo 1 y Tipo 2")</f>
        <v>Hipervisores: Tipo 1 y Tipo 2</v>
      </c>
      <c r="G31" s="29"/>
      <c r="H31" s="30"/>
    </row>
    <row r="32" ht="15.75" customHeight="1">
      <c r="A32" s="31">
        <v>5.0</v>
      </c>
      <c r="B32" s="63" t="s">
        <v>13</v>
      </c>
      <c r="C32" s="30"/>
      <c r="D32" s="72" t="s">
        <v>46</v>
      </c>
      <c r="E32" s="30"/>
      <c r="F32" s="28" t="str">
        <f>IFERROR(__xludf.DUMMYFUNCTION("""COMPUTED_VALUE"""),"MicroVMs")</f>
        <v>MicroVMs</v>
      </c>
      <c r="G32" s="29"/>
      <c r="H32" s="30"/>
    </row>
    <row r="33" ht="15.75" customHeight="1">
      <c r="A33" s="31">
        <v>6.0</v>
      </c>
      <c r="B33" s="63" t="s">
        <v>13</v>
      </c>
      <c r="C33" s="30"/>
      <c r="D33" s="72" t="s">
        <v>46</v>
      </c>
      <c r="E33" s="30"/>
      <c r="F33" s="28" t="str">
        <f>IFERROR(__xludf.DUMMYFUNCTION("""COMPUTED_VALUE"""),"Ventajas y desventajas de la virtualización")</f>
        <v>Ventajas y desventajas de la virtualización</v>
      </c>
      <c r="G33" s="29"/>
      <c r="H33" s="30"/>
    </row>
    <row r="34" ht="15.75" customHeight="1">
      <c r="A34" s="31">
        <v>7.0</v>
      </c>
      <c r="B34" s="63" t="s">
        <v>13</v>
      </c>
      <c r="C34" s="30"/>
      <c r="D34" s="72" t="s">
        <v>46</v>
      </c>
      <c r="E34" s="30"/>
      <c r="F34" s="28" t="str">
        <f>IFERROR(__xludf.DUMMYFUNCTION("""COMPUTED_VALUE"""),"Casos de uso de la virtualización")</f>
        <v>Casos de uso de la virtualización</v>
      </c>
      <c r="G34" s="29"/>
      <c r="H34" s="30"/>
    </row>
    <row r="35" ht="15.75" customHeight="1">
      <c r="F35" s="64" t="str">
        <f>IFERROR(__xludf.DUMMYFUNCTION("""COMPUTED_VALUE"""),"Introducción a contenedores")</f>
        <v>Introducción a contenedores</v>
      </c>
    </row>
    <row r="36" ht="15.75" customHeight="1">
      <c r="A36" s="60" t="s">
        <v>165</v>
      </c>
      <c r="F36" s="64" t="str">
        <f>IFERROR(__xludf.DUMMYFUNCTION("""COMPUTED_VALUE"""),"Docker: conceptos básicos")</f>
        <v>Docker: conceptos básicos</v>
      </c>
    </row>
    <row r="37" ht="15.75" customHeight="1">
      <c r="A37" s="5"/>
      <c r="B37" s="5"/>
      <c r="C37" s="5"/>
      <c r="D37" s="5"/>
      <c r="E37" s="5"/>
      <c r="F37" s="5" t="str">
        <f>IFERROR(__xludf.DUMMYFUNCTION("""COMPUTED_VALUE"""),"Dockerfile y construcción de imágenes")</f>
        <v>Dockerfile y construcción de imágenes</v>
      </c>
      <c r="G37" s="5"/>
      <c r="H37" s="5"/>
    </row>
    <row r="38" ht="15.75" customHeight="1">
      <c r="A38" s="61" t="s">
        <v>166</v>
      </c>
      <c r="B38" s="61" t="s">
        <v>167</v>
      </c>
      <c r="C38" s="65" t="s">
        <v>168</v>
      </c>
      <c r="D38" s="66" t="s">
        <v>108</v>
      </c>
      <c r="E38" s="29"/>
      <c r="F38" s="29"/>
      <c r="G38" s="29"/>
      <c r="H38" s="30"/>
    </row>
    <row r="39" ht="15.75" customHeight="1">
      <c r="A39" s="31" t="s">
        <v>169</v>
      </c>
      <c r="B39" s="31" t="s">
        <v>170</v>
      </c>
      <c r="C39" s="16">
        <v>35.0</v>
      </c>
      <c r="D39" s="40">
        <v>35.0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16">
        <v>30.0</v>
      </c>
      <c r="D41" s="28"/>
      <c r="E41" s="29"/>
      <c r="F41" s="29"/>
      <c r="G41" s="29"/>
      <c r="H41" s="30"/>
    </row>
    <row r="42" ht="15.75" customHeight="1">
      <c r="A42" s="31" t="s">
        <v>175</v>
      </c>
      <c r="B42" s="31" t="s">
        <v>170</v>
      </c>
      <c r="C42" s="16">
        <v>60.0</v>
      </c>
      <c r="D42" s="40">
        <v>60.0</v>
      </c>
      <c r="E42" s="29"/>
      <c r="F42" s="29"/>
      <c r="G42" s="29"/>
      <c r="H42" s="30"/>
    </row>
    <row r="43" ht="15.75" customHeight="1"/>
    <row r="44" ht="15.75" customHeight="1">
      <c r="A44" s="50" t="s">
        <v>176</v>
      </c>
      <c r="G44" s="43" t="s">
        <v>108</v>
      </c>
      <c r="H44" s="59">
        <v>45.0</v>
      </c>
    </row>
    <row r="45" ht="15.75" customHeight="1">
      <c r="G45" s="35" t="s">
        <v>177</v>
      </c>
    </row>
    <row r="46" ht="15.75" customHeight="1">
      <c r="A46" s="35" t="s">
        <v>178</v>
      </c>
    </row>
    <row r="47" ht="15.75" customHeight="1">
      <c r="A47" s="39" t="s">
        <v>179</v>
      </c>
      <c r="B47" s="40" t="s">
        <v>12</v>
      </c>
      <c r="C47" s="29"/>
      <c r="D47" s="29"/>
      <c r="E47" s="29"/>
      <c r="F47" s="29"/>
      <c r="G47" s="29"/>
      <c r="H47" s="30"/>
    </row>
    <row r="48" ht="15.75" customHeight="1">
      <c r="A48" s="39" t="s">
        <v>180</v>
      </c>
      <c r="B48" s="40" t="s">
        <v>186</v>
      </c>
      <c r="C48" s="29"/>
      <c r="D48" s="29"/>
      <c r="E48" s="29"/>
      <c r="F48" s="29"/>
      <c r="G48" s="29"/>
      <c r="H48" s="30"/>
    </row>
    <row r="49" ht="15.75" customHeight="1">
      <c r="A49" s="39" t="s">
        <v>148</v>
      </c>
      <c r="B49" s="67">
        <v>0.0</v>
      </c>
      <c r="C49" s="29"/>
      <c r="D49" s="29"/>
      <c r="E49" s="29"/>
      <c r="F49" s="29"/>
      <c r="G49" s="29"/>
      <c r="H49" s="30"/>
    </row>
    <row r="50" ht="15.75" customHeight="1">
      <c r="A50" s="39" t="s">
        <v>108</v>
      </c>
      <c r="B50" s="40">
        <v>50.0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194</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28"/>
      <c r="C58" s="29"/>
      <c r="D58" s="29"/>
      <c r="E58" s="29"/>
      <c r="F58" s="29"/>
      <c r="G58" s="29"/>
      <c r="H58" s="30"/>
    </row>
    <row r="59" ht="15.75" customHeight="1">
      <c r="A59" s="39" t="s">
        <v>180</v>
      </c>
      <c r="B59" s="28"/>
      <c r="C59" s="29"/>
      <c r="D59" s="29"/>
      <c r="E59" s="29"/>
      <c r="F59" s="29"/>
      <c r="G59" s="29"/>
      <c r="H59" s="30"/>
    </row>
    <row r="60" ht="15.75" customHeight="1">
      <c r="A60" s="39" t="s">
        <v>148</v>
      </c>
      <c r="B60" s="67"/>
      <c r="C60" s="29"/>
      <c r="D60" s="29"/>
      <c r="E60" s="29"/>
      <c r="F60" s="29"/>
      <c r="G60" s="29"/>
      <c r="H60" s="30"/>
    </row>
    <row r="61" ht="15.75" customHeight="1">
      <c r="A61" s="39" t="s">
        <v>108</v>
      </c>
      <c r="B61" s="67"/>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73"/>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row r="68" ht="15.75" customHeight="1">
      <c r="A68" s="50" t="s">
        <v>189</v>
      </c>
      <c r="G68" s="43" t="s">
        <v>108</v>
      </c>
      <c r="H68" s="59">
        <v>5.0</v>
      </c>
    </row>
    <row r="69" ht="15.75" customHeight="1">
      <c r="G69" s="35" t="s">
        <v>190</v>
      </c>
    </row>
    <row r="70" ht="15.75" customHeight="1">
      <c r="A70" s="39" t="s">
        <v>108</v>
      </c>
      <c r="B70" s="70">
        <v>5.0</v>
      </c>
      <c r="C70" s="29"/>
      <c r="D70" s="29"/>
      <c r="E70" s="29"/>
      <c r="F70" s="29"/>
      <c r="G70" s="29"/>
      <c r="H70" s="30"/>
    </row>
    <row r="71" ht="15.75" customHeight="1">
      <c r="A71" s="66" t="s">
        <v>191</v>
      </c>
      <c r="B71" s="29"/>
      <c r="C71" s="29"/>
      <c r="D71" s="29"/>
      <c r="E71" s="29"/>
      <c r="F71" s="29"/>
      <c r="G71" s="29"/>
      <c r="H71" s="30"/>
    </row>
    <row r="72" ht="15.75" customHeight="1">
      <c r="A72" s="53" t="s">
        <v>195</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4.0</v>
      </c>
      <c r="D5" s="29"/>
      <c r="E5" s="29"/>
      <c r="F5" s="29"/>
      <c r="G5" s="30"/>
    </row>
    <row r="6" ht="15.75" customHeight="1">
      <c r="B6" s="49" t="s">
        <v>106</v>
      </c>
      <c r="C6" s="28">
        <f>H10+H21+H44+H68</f>
        <v>105</v>
      </c>
      <c r="D6" s="29"/>
      <c r="E6" s="29"/>
      <c r="F6" s="29"/>
      <c r="G6" s="30"/>
      <c r="I6" s="5"/>
    </row>
    <row r="7" ht="15.75" customHeight="1">
      <c r="B7" s="49" t="s">
        <v>148</v>
      </c>
      <c r="C7" s="28">
        <f>B49+B60</f>
        <v>0</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9">
        <v>5.0</v>
      </c>
    </row>
    <row r="11" ht="15.75" customHeight="1">
      <c r="G11" s="35" t="s">
        <v>151</v>
      </c>
    </row>
    <row r="12" ht="15.75" customHeight="1">
      <c r="A12" s="39" t="s">
        <v>152</v>
      </c>
      <c r="B12" s="40" t="s">
        <v>196</v>
      </c>
      <c r="C12" s="29"/>
      <c r="D12" s="29"/>
      <c r="E12" s="29"/>
      <c r="F12" s="29"/>
      <c r="G12" s="29"/>
      <c r="H12" s="30"/>
    </row>
    <row r="13" ht="15.75" customHeight="1">
      <c r="A13" s="41" t="s">
        <v>108</v>
      </c>
      <c r="B13" s="40">
        <v>5.0</v>
      </c>
      <c r="C13" s="29"/>
      <c r="D13" s="29"/>
      <c r="E13" s="29"/>
      <c r="F13" s="29"/>
      <c r="G13" s="29"/>
      <c r="H13" s="30"/>
    </row>
    <row r="14" ht="15.75" customHeight="1">
      <c r="A14" s="52" t="s">
        <v>154</v>
      </c>
      <c r="B14" s="29"/>
      <c r="C14" s="29"/>
      <c r="D14" s="29"/>
      <c r="E14" s="29"/>
      <c r="F14" s="29"/>
      <c r="G14" s="29"/>
      <c r="H14" s="30"/>
    </row>
    <row r="15" ht="15.75" customHeight="1">
      <c r="A15" s="53" t="s">
        <v>155</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50.0</v>
      </c>
      <c r="I21" s="5"/>
    </row>
    <row r="22" ht="15.75" customHeight="1">
      <c r="G22" s="35" t="s">
        <v>159</v>
      </c>
    </row>
    <row r="23" ht="15.75" customHeight="1">
      <c r="A23" s="39" t="s">
        <v>160</v>
      </c>
      <c r="B23" s="40" t="s">
        <v>12</v>
      </c>
      <c r="C23" s="29"/>
      <c r="D23" s="29"/>
      <c r="E23" s="29"/>
      <c r="F23" s="29"/>
      <c r="G23" s="29"/>
      <c r="H23" s="30"/>
    </row>
    <row r="24" ht="15.75" customHeight="1">
      <c r="A24" s="39" t="s">
        <v>160</v>
      </c>
      <c r="B24" s="40" t="s">
        <v>51</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63" t="s">
        <v>13</v>
      </c>
      <c r="C28" s="30"/>
      <c r="D28" s="40" t="s">
        <v>14</v>
      </c>
      <c r="E28" s="30"/>
      <c r="F28" s="28" t="str">
        <f>IFERROR(__xludf.DUMMYFUNCTION("FILTER('Diseño'!F:F,'Diseño'!H:H=$C$5)"),"Introducción al kernel de Linux")</f>
        <v>Introducción al kernel de Linux</v>
      </c>
      <c r="G28" s="29"/>
      <c r="H28" s="30"/>
    </row>
    <row r="29" ht="15.75" customHeight="1">
      <c r="A29" s="31">
        <v>2.0</v>
      </c>
      <c r="B29" s="63" t="s">
        <v>13</v>
      </c>
      <c r="C29" s="30"/>
      <c r="D29" s="40" t="s">
        <v>14</v>
      </c>
      <c r="E29" s="30"/>
      <c r="F29" s="28" t="str">
        <f>IFERROR(__xludf.DUMMYFUNCTION("""COMPUTED_VALUE"""),"Módulos del kernel: concepto y funcionalidad")</f>
        <v>Módulos del kernel: concepto y funcionalidad</v>
      </c>
      <c r="G29" s="29"/>
      <c r="H29" s="30"/>
    </row>
    <row r="30" ht="15.75" customHeight="1">
      <c r="A30" s="31">
        <v>3.0</v>
      </c>
      <c r="B30" s="63" t="s">
        <v>13</v>
      </c>
      <c r="C30" s="30"/>
      <c r="D30" s="40" t="s">
        <v>14</v>
      </c>
      <c r="E30" s="30"/>
      <c r="F30" s="28" t="str">
        <f>IFERROR(__xludf.DUMMYFUNCTION("""COMPUTED_VALUE"""),"Comandos para administración de módulos del Kernel")</f>
        <v>Comandos para administración de módulos del Kernel</v>
      </c>
      <c r="G30" s="29"/>
      <c r="H30" s="30"/>
    </row>
    <row r="31" ht="15.75" customHeight="1">
      <c r="A31" s="31">
        <v>4.0</v>
      </c>
      <c r="B31" s="63" t="s">
        <v>13</v>
      </c>
      <c r="C31" s="30"/>
      <c r="D31" s="74" t="s">
        <v>55</v>
      </c>
      <c r="E31" s="30"/>
      <c r="F31" s="28" t="str">
        <f>IFERROR(__xludf.DUMMYFUNCTION("""COMPUTED_VALUE"""),"Creación de módulos simples en Linux usando C")</f>
        <v>Creación de módulos simples en Linux usando C</v>
      </c>
      <c r="G31" s="29"/>
      <c r="H31" s="30"/>
    </row>
    <row r="32" ht="15.75" customHeight="1">
      <c r="A32" s="31">
        <v>5.0</v>
      </c>
      <c r="B32" s="63" t="s">
        <v>13</v>
      </c>
      <c r="C32" s="30"/>
      <c r="D32" s="74" t="s">
        <v>55</v>
      </c>
      <c r="E32" s="30"/>
      <c r="F32" s="28" t="str">
        <f>IFERROR(__xludf.DUMMYFUNCTION("""COMPUTED_VALUE"""),"Compilación e inserción de módulos")</f>
        <v>Compilación e inserción de módulos</v>
      </c>
      <c r="G32" s="29"/>
      <c r="H32" s="30"/>
    </row>
    <row r="33" ht="15.75" customHeight="1">
      <c r="A33" s="31">
        <v>6.0</v>
      </c>
      <c r="B33" s="63" t="s">
        <v>13</v>
      </c>
      <c r="C33" s="30"/>
      <c r="D33" s="74" t="s">
        <v>55</v>
      </c>
      <c r="E33" s="30"/>
      <c r="F33" s="28" t="str">
        <f>IFERROR(__xludf.DUMMYFUNCTION("""COMPUTED_VALUE"""),"Depuración de módulos del kernel")</f>
        <v>Depuración de módulos del kernel</v>
      </c>
      <c r="G33" s="29"/>
      <c r="H33" s="30"/>
    </row>
    <row r="34" ht="15.75" customHeight="1">
      <c r="A34" s="31">
        <v>7.0</v>
      </c>
      <c r="B34" s="63" t="s">
        <v>13</v>
      </c>
      <c r="C34" s="30"/>
      <c r="D34" s="74" t="s">
        <v>55</v>
      </c>
      <c r="E34" s="30"/>
      <c r="F34" s="28" t="str">
        <f>IFERROR(__xludf.DUMMYFUNCTION("""COMPUTED_VALUE"""),"Mejores prácticas en desarrollo de módulos")</f>
        <v>Mejores prácticas en desarrollo de módulos</v>
      </c>
      <c r="G34" s="29"/>
      <c r="H34" s="30"/>
    </row>
    <row r="35" ht="15.75" customHeight="1">
      <c r="F35" s="64" t="str">
        <f>IFERROR(__xludf.DUMMYFUNCTION("""COMPUTED_VALUE"""),"Compilación para otras arquitecturas")</f>
        <v>Compilación para otras arquitecturas</v>
      </c>
    </row>
    <row r="36" ht="15.75" customHeight="1">
      <c r="A36" s="60" t="s">
        <v>165</v>
      </c>
      <c r="F36" s="64" t="str">
        <f>IFERROR(__xludf.DUMMYFUNCTION("""COMPUTED_VALUE"""),"Introducción a System Calls")</f>
        <v>Introducción a System Calls</v>
      </c>
    </row>
    <row r="37" ht="15.75" customHeight="1">
      <c r="A37" s="5"/>
      <c r="B37" s="5"/>
      <c r="C37" s="5"/>
      <c r="D37" s="5"/>
      <c r="E37" s="5"/>
      <c r="F37" s="5" t="str">
        <f>IFERROR(__xludf.DUMMYFUNCTION("""COMPUTED_VALUE"""),"Process Control Block (PCB)")</f>
        <v>Process Control Block (PCB)</v>
      </c>
      <c r="G37" s="5"/>
      <c r="H37" s="5"/>
    </row>
    <row r="38" ht="15.75" customHeight="1">
      <c r="A38" s="61" t="s">
        <v>166</v>
      </c>
      <c r="B38" s="61" t="s">
        <v>167</v>
      </c>
      <c r="C38" s="65" t="s">
        <v>168</v>
      </c>
      <c r="D38" s="66" t="s">
        <v>108</v>
      </c>
      <c r="E38" s="29"/>
      <c r="F38" s="29"/>
      <c r="G38" s="29"/>
      <c r="H38" s="30"/>
    </row>
    <row r="39" ht="15.75" customHeight="1">
      <c r="A39" s="31" t="s">
        <v>169</v>
      </c>
      <c r="B39" s="31" t="s">
        <v>170</v>
      </c>
      <c r="C39" s="31"/>
      <c r="D39" s="40">
        <v>35.0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31"/>
      <c r="D41" s="28"/>
      <c r="E41" s="29"/>
      <c r="F41" s="29"/>
      <c r="G41" s="29"/>
      <c r="H41" s="30"/>
    </row>
    <row r="42" ht="15.75" customHeight="1">
      <c r="A42" s="31" t="s">
        <v>175</v>
      </c>
      <c r="B42" s="31" t="s">
        <v>170</v>
      </c>
      <c r="C42" s="31"/>
      <c r="D42" s="40">
        <v>60.0</v>
      </c>
      <c r="E42" s="29"/>
      <c r="F42" s="29"/>
      <c r="G42" s="29"/>
      <c r="H42" s="30"/>
    </row>
    <row r="43" ht="15.75" customHeight="1"/>
    <row r="44" ht="15.75" customHeight="1">
      <c r="A44" s="50" t="s">
        <v>176</v>
      </c>
      <c r="G44" s="43" t="s">
        <v>108</v>
      </c>
      <c r="H44" s="59">
        <v>45.0</v>
      </c>
    </row>
    <row r="45" ht="15.75" customHeight="1">
      <c r="G45" s="35" t="s">
        <v>177</v>
      </c>
    </row>
    <row r="46" ht="15.75" customHeight="1">
      <c r="A46" s="35" t="s">
        <v>178</v>
      </c>
    </row>
    <row r="47" ht="15.75" customHeight="1">
      <c r="A47" s="39" t="s">
        <v>179</v>
      </c>
      <c r="B47" s="40" t="s">
        <v>12</v>
      </c>
      <c r="C47" s="29"/>
      <c r="D47" s="29"/>
      <c r="E47" s="29"/>
      <c r="F47" s="29"/>
      <c r="G47" s="29"/>
      <c r="H47" s="30"/>
    </row>
    <row r="48" ht="15.75" customHeight="1">
      <c r="A48" s="39" t="s">
        <v>180</v>
      </c>
      <c r="B48" s="40" t="s">
        <v>186</v>
      </c>
      <c r="C48" s="29"/>
      <c r="D48" s="29"/>
      <c r="E48" s="29"/>
      <c r="F48" s="29"/>
      <c r="G48" s="29"/>
      <c r="H48" s="30"/>
    </row>
    <row r="49" ht="15.75" customHeight="1">
      <c r="A49" s="39" t="s">
        <v>148</v>
      </c>
      <c r="B49" s="67">
        <v>0.0</v>
      </c>
      <c r="C49" s="29"/>
      <c r="D49" s="29"/>
      <c r="E49" s="29"/>
      <c r="F49" s="29"/>
      <c r="G49" s="29"/>
      <c r="H49" s="30"/>
    </row>
    <row r="50" ht="15.75" customHeight="1">
      <c r="A50" s="39" t="s">
        <v>108</v>
      </c>
      <c r="B50" s="28">
        <v>0.0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197</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28"/>
      <c r="C58" s="29"/>
      <c r="D58" s="29"/>
      <c r="E58" s="29"/>
      <c r="F58" s="29"/>
      <c r="G58" s="29"/>
      <c r="H58" s="30"/>
    </row>
    <row r="59" ht="15.75" customHeight="1">
      <c r="A59" s="39" t="s">
        <v>180</v>
      </c>
      <c r="B59" s="28"/>
      <c r="C59" s="29"/>
      <c r="D59" s="29"/>
      <c r="E59" s="29"/>
      <c r="F59" s="29"/>
      <c r="G59" s="29"/>
      <c r="H59" s="30"/>
    </row>
    <row r="60" ht="15.75" customHeight="1">
      <c r="A60" s="39" t="s">
        <v>148</v>
      </c>
      <c r="B60" s="67"/>
      <c r="C60" s="29"/>
      <c r="D60" s="29"/>
      <c r="E60" s="29"/>
      <c r="F60" s="29"/>
      <c r="G60" s="29"/>
      <c r="H60" s="30"/>
    </row>
    <row r="61" ht="15.75" customHeight="1">
      <c r="A61" s="39" t="s">
        <v>108</v>
      </c>
      <c r="B61" s="67"/>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73"/>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row r="68" ht="15.75" customHeight="1">
      <c r="A68" s="50" t="s">
        <v>189</v>
      </c>
      <c r="G68" s="43" t="s">
        <v>108</v>
      </c>
      <c r="H68" s="59">
        <v>5.0</v>
      </c>
    </row>
    <row r="69" ht="15.75" customHeight="1">
      <c r="G69" s="35" t="s">
        <v>190</v>
      </c>
    </row>
    <row r="70" ht="15.75" customHeight="1">
      <c r="A70" s="39" t="s">
        <v>108</v>
      </c>
      <c r="B70" s="70">
        <v>5.0</v>
      </c>
      <c r="C70" s="29"/>
      <c r="D70" s="29"/>
      <c r="E70" s="29"/>
      <c r="F70" s="29"/>
      <c r="G70" s="29"/>
      <c r="H70" s="30"/>
    </row>
    <row r="71" ht="15.75" customHeight="1">
      <c r="A71" s="66" t="s">
        <v>191</v>
      </c>
      <c r="B71" s="29"/>
      <c r="C71" s="29"/>
      <c r="D71" s="29"/>
      <c r="E71" s="29"/>
      <c r="F71" s="29"/>
      <c r="G71" s="29"/>
      <c r="H71" s="30"/>
    </row>
    <row r="72" ht="15.75" customHeight="1">
      <c r="A72" s="53" t="s">
        <v>195</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5.0</v>
      </c>
      <c r="D5" s="29"/>
      <c r="E5" s="29"/>
      <c r="F5" s="29"/>
      <c r="G5" s="30"/>
    </row>
    <row r="6" ht="15.75" customHeight="1">
      <c r="B6" s="49" t="s">
        <v>106</v>
      </c>
      <c r="C6" s="28">
        <f>H10+H21+H44+H68</f>
        <v>105</v>
      </c>
      <c r="D6" s="29"/>
      <c r="E6" s="29"/>
      <c r="F6" s="29"/>
      <c r="G6" s="30"/>
      <c r="I6" s="5"/>
    </row>
    <row r="7" ht="15.75" customHeight="1">
      <c r="B7" s="49" t="s">
        <v>148</v>
      </c>
      <c r="C7" s="28">
        <f>B49+B60</f>
        <v>0</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9">
        <v>5.0</v>
      </c>
    </row>
    <row r="11" ht="15.75" customHeight="1">
      <c r="G11" s="35" t="s">
        <v>151</v>
      </c>
    </row>
    <row r="12" ht="15.75" customHeight="1">
      <c r="A12" s="39" t="s">
        <v>152</v>
      </c>
      <c r="B12" s="40" t="s">
        <v>196</v>
      </c>
      <c r="C12" s="29"/>
      <c r="D12" s="29"/>
      <c r="E12" s="29"/>
      <c r="F12" s="29"/>
      <c r="G12" s="29"/>
      <c r="H12" s="30"/>
    </row>
    <row r="13" ht="15.75" customHeight="1">
      <c r="A13" s="41" t="s">
        <v>108</v>
      </c>
      <c r="B13" s="40">
        <v>5.0</v>
      </c>
      <c r="C13" s="29"/>
      <c r="D13" s="29"/>
      <c r="E13" s="29"/>
      <c r="F13" s="29"/>
      <c r="G13" s="29"/>
      <c r="H13" s="30"/>
    </row>
    <row r="14" ht="15.75" customHeight="1">
      <c r="A14" s="52" t="s">
        <v>154</v>
      </c>
      <c r="B14" s="29"/>
      <c r="C14" s="29"/>
      <c r="D14" s="29"/>
      <c r="E14" s="29"/>
      <c r="F14" s="29"/>
      <c r="G14" s="29"/>
      <c r="H14" s="30"/>
    </row>
    <row r="15" ht="15.75" customHeight="1">
      <c r="A15" s="53" t="s">
        <v>155</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50.0</v>
      </c>
      <c r="I21" s="5"/>
    </row>
    <row r="22" ht="15.75" customHeight="1">
      <c r="G22" s="35" t="s">
        <v>159</v>
      </c>
    </row>
    <row r="23" ht="15.75" customHeight="1">
      <c r="A23" s="39" t="s">
        <v>160</v>
      </c>
      <c r="B23" s="40" t="s">
        <v>12</v>
      </c>
      <c r="C23" s="29"/>
      <c r="D23" s="29"/>
      <c r="E23" s="29"/>
      <c r="F23" s="29"/>
      <c r="G23" s="29"/>
      <c r="H23" s="30"/>
    </row>
    <row r="24" ht="15.75" customHeight="1">
      <c r="A24" s="39" t="s">
        <v>160</v>
      </c>
      <c r="B24" s="40" t="s">
        <v>51</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28" t="str">
        <f>IFERROR(__xludf.DUMMYFUNCTION("FILTER('Diseño'!D:D,'Diseño'!H:H=$C$5)"),"Unidad 1: Fundamentos de Sistemas Operativos y Administración Avanzada")</f>
        <v>Unidad 1: Fundamentos de Sistemas Operativos y Administración Avanzada</v>
      </c>
      <c r="C28" s="30"/>
      <c r="D28" s="28" t="str">
        <f>IFERROR(__xludf.DUMMYFUNCTION("FILTER('Diseño'!E:E,'Diseño'!H:H=$C$5)"),"Procesos y Programación Concurrente (Parte 1)")</f>
        <v>Procesos y Programación Concurrente (Parte 1)</v>
      </c>
      <c r="E28" s="30"/>
      <c r="F28" s="28" t="str">
        <f>IFERROR(__xludf.DUMMYFUNCTION("FILTER('Diseño'!F:F,'Diseño'!H:H=$C$5)"),"Manejo de procesos en Linux")</f>
        <v>Manejo de procesos en Linux</v>
      </c>
      <c r="G28" s="29"/>
      <c r="H28" s="30"/>
    </row>
    <row r="29" ht="15.75" customHeight="1">
      <c r="A29" s="31">
        <v>2.0</v>
      </c>
      <c r="B29" s="28" t="str">
        <f>IFERROR(__xludf.DUMMYFUNCTION("""COMPUTED_VALUE"""),"Unidad 1: Fundamentos de Sistemas Operativos y Administración Avanzada")</f>
        <v>Unidad 1: Fundamentos de Sistemas Operativos y Administración Avanzada</v>
      </c>
      <c r="C29" s="30"/>
      <c r="D29" s="28" t="str">
        <f>IFERROR(__xludf.DUMMYFUNCTION("""COMPUTED_VALUE"""),"Procesos y Programación Concurrente (Parte 1)")</f>
        <v>Procesos y Programación Concurrente (Parte 1)</v>
      </c>
      <c r="E29" s="30"/>
      <c r="F29" s="28" t="str">
        <f>IFERROR(__xludf.DUMMYFUNCTION("""COMPUTED_VALUE"""),"Estados de los procesos")</f>
        <v>Estados de los procesos</v>
      </c>
      <c r="G29" s="29"/>
      <c r="H29" s="30"/>
    </row>
    <row r="30" ht="15.75" customHeight="1">
      <c r="A30" s="31">
        <v>3.0</v>
      </c>
      <c r="B30" s="28" t="str">
        <f>IFERROR(__xludf.DUMMYFUNCTION("""COMPUTED_VALUE"""),"Unidad 1: Fundamentos de Sistemas Operativos y Administración Avanzada")</f>
        <v>Unidad 1: Fundamentos de Sistemas Operativos y Administración Avanzada</v>
      </c>
      <c r="C30" s="30"/>
      <c r="D30" s="28" t="str">
        <f>IFERROR(__xludf.DUMMYFUNCTION("""COMPUTED_VALUE"""),"Procesos y Programación Concurrente (Parte 1)")</f>
        <v>Procesos y Programación Concurrente (Parte 1)</v>
      </c>
      <c r="E30" s="30"/>
      <c r="F30" s="28" t="str">
        <f>IFERROR(__xludf.DUMMYFUNCTION("""COMPUTED_VALUE"""),"Diagrama de transición de los procesos")</f>
        <v>Diagrama de transición de los procesos</v>
      </c>
      <c r="G30" s="29"/>
      <c r="H30" s="30"/>
    </row>
    <row r="31" ht="15.75" customHeight="1">
      <c r="A31" s="31">
        <v>4.0</v>
      </c>
      <c r="B31" s="28" t="str">
        <f>IFERROR(__xludf.DUMMYFUNCTION("""COMPUTED_VALUE"""),"Unidad 1: Fundamentos de Sistemas Operativos y Administración Avanzada")</f>
        <v>Unidad 1: Fundamentos de Sistemas Operativos y Administración Avanzada</v>
      </c>
      <c r="C31" s="30"/>
      <c r="D31" s="28" t="str">
        <f>IFERROR(__xludf.DUMMYFUNCTION("""COMPUTED_VALUE"""),"Procesos y Programación Concurrente (Parte 1)")</f>
        <v>Procesos y Programación Concurrente (Parte 1)</v>
      </c>
      <c r="E31" s="30"/>
      <c r="F31" s="28" t="str">
        <f>IFERROR(__xludf.DUMMYFUNCTION("""COMPUTED_VALUE"""),"Creación y terminación de procesos")</f>
        <v>Creación y terminación de procesos</v>
      </c>
      <c r="G31" s="29"/>
      <c r="H31" s="30"/>
    </row>
    <row r="32" ht="15.75" customHeight="1">
      <c r="A32" s="31">
        <v>5.0</v>
      </c>
      <c r="B32" s="28" t="str">
        <f>IFERROR(__xludf.DUMMYFUNCTION("""COMPUTED_VALUE"""),"Unidad 1: Fundamentos de Sistemas Operativos y Administración Avanzada")</f>
        <v>Unidad 1: Fundamentos de Sistemas Operativos y Administración Avanzada</v>
      </c>
      <c r="C32" s="30"/>
      <c r="D32" s="28" t="str">
        <f>IFERROR(__xludf.DUMMYFUNCTION("""COMPUTED_VALUE"""),"Procesos y Programación Concurrente (Parte 1)")</f>
        <v>Procesos y Programación Concurrente (Parte 1)</v>
      </c>
      <c r="E32" s="30"/>
      <c r="F32" s="28" t="str">
        <f>IFERROR(__xludf.DUMMYFUNCTION("""COMPUTED_VALUE"""),"Comandos para gestión de procesos en Linux")</f>
        <v>Comandos para gestión de procesos en Linux</v>
      </c>
      <c r="G32" s="29"/>
      <c r="H32" s="30"/>
    </row>
    <row r="33" ht="15.75" customHeight="1">
      <c r="A33" s="31">
        <v>6.0</v>
      </c>
      <c r="B33" s="28" t="str">
        <f>IFERROR(__xludf.DUMMYFUNCTION("""COMPUTED_VALUE"""),"Unidad 1: Fundamentos de Sistemas Operativos y Administración Avanzada")</f>
        <v>Unidad 1: Fundamentos de Sistemas Operativos y Administración Avanzada</v>
      </c>
      <c r="C33" s="30"/>
      <c r="D33" s="28" t="str">
        <f>IFERROR(__xludf.DUMMYFUNCTION("""COMPUTED_VALUE"""),"Procesos y Programación Concurrente (Parte 1)")</f>
        <v>Procesos y Programación Concurrente (Parte 1)</v>
      </c>
      <c r="E33" s="30"/>
      <c r="F33" s="28" t="str">
        <f>IFERROR(__xludf.DUMMYFUNCTION("""COMPUTED_VALUE"""),"Señales en Linux")</f>
        <v>Señales en Linux</v>
      </c>
      <c r="G33" s="29"/>
      <c r="H33" s="30"/>
    </row>
    <row r="34" ht="15.75" customHeight="1">
      <c r="A34" s="31">
        <v>7.0</v>
      </c>
      <c r="B34" s="28" t="str">
        <f>IFERROR(__xludf.DUMMYFUNCTION("""COMPUTED_VALUE"""),"Unidad 1: Fundamentos de Sistemas Operativos y Administración Avanzada")</f>
        <v>Unidad 1: Fundamentos de Sistemas Operativos y Administración Avanzada</v>
      </c>
      <c r="C34" s="30"/>
      <c r="D34" s="28" t="str">
        <f>IFERROR(__xludf.DUMMYFUNCTION("""COMPUTED_VALUE"""),"Procesos y Programación Concurrente (Parte 2)")</f>
        <v>Procesos y Programación Concurrente (Parte 2)</v>
      </c>
      <c r="E34" s="30"/>
      <c r="F34" s="28" t="str">
        <f>IFERROR(__xludf.DUMMYFUNCTION("""COMPUTED_VALUE"""),"Introducción a la programación concurrente")</f>
        <v>Introducción a la programación concurrente</v>
      </c>
      <c r="G34" s="29"/>
      <c r="H34" s="30"/>
    </row>
    <row r="35" ht="15.75" customHeight="1"/>
    <row r="36" ht="15.75" customHeight="1">
      <c r="A36" s="60" t="s">
        <v>165</v>
      </c>
    </row>
    <row r="37" ht="15.75" customHeight="1">
      <c r="A37" s="5"/>
      <c r="B37" s="5"/>
      <c r="C37" s="5"/>
      <c r="D37" s="5"/>
      <c r="E37" s="5"/>
      <c r="F37" s="5"/>
      <c r="G37" s="5"/>
      <c r="H37" s="5"/>
    </row>
    <row r="38" ht="15.75" customHeight="1">
      <c r="A38" s="61" t="s">
        <v>166</v>
      </c>
      <c r="B38" s="61" t="s">
        <v>167</v>
      </c>
      <c r="C38" s="65" t="s">
        <v>168</v>
      </c>
      <c r="D38" s="66" t="s">
        <v>108</v>
      </c>
      <c r="E38" s="29"/>
      <c r="F38" s="29"/>
      <c r="G38" s="29"/>
      <c r="H38" s="30"/>
    </row>
    <row r="39" ht="15.75" customHeight="1">
      <c r="A39" s="31" t="s">
        <v>169</v>
      </c>
      <c r="B39" s="31" t="s">
        <v>170</v>
      </c>
      <c r="C39" s="31"/>
      <c r="D39" s="40">
        <v>30.0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31"/>
      <c r="D41" s="28"/>
      <c r="E41" s="29"/>
      <c r="F41" s="29"/>
      <c r="G41" s="29"/>
      <c r="H41" s="30"/>
    </row>
    <row r="42" ht="15.75" customHeight="1">
      <c r="A42" s="31" t="s">
        <v>175</v>
      </c>
      <c r="B42" s="31" t="s">
        <v>170</v>
      </c>
      <c r="C42" s="31"/>
      <c r="D42" s="40">
        <v>60.0</v>
      </c>
      <c r="E42" s="29"/>
      <c r="F42" s="29"/>
      <c r="G42" s="29"/>
      <c r="H42" s="30"/>
    </row>
    <row r="43" ht="15.75" customHeight="1"/>
    <row r="44" ht="15.75" customHeight="1">
      <c r="A44" s="50" t="s">
        <v>176</v>
      </c>
      <c r="G44" s="43" t="s">
        <v>108</v>
      </c>
      <c r="H44" s="59">
        <v>45.0</v>
      </c>
    </row>
    <row r="45" ht="15.75" customHeight="1">
      <c r="G45" s="35" t="s">
        <v>177</v>
      </c>
    </row>
    <row r="46" ht="15.75" customHeight="1">
      <c r="A46" s="35" t="s">
        <v>178</v>
      </c>
    </row>
    <row r="47" ht="15.75" customHeight="1">
      <c r="A47" s="39" t="s">
        <v>179</v>
      </c>
      <c r="B47" s="40" t="s">
        <v>51</v>
      </c>
      <c r="C47" s="29"/>
      <c r="D47" s="29"/>
      <c r="E47" s="29"/>
      <c r="F47" s="29"/>
      <c r="G47" s="29"/>
      <c r="H47" s="30"/>
    </row>
    <row r="48" ht="15.75" customHeight="1">
      <c r="A48" s="39" t="s">
        <v>180</v>
      </c>
      <c r="B48" s="40" t="s">
        <v>186</v>
      </c>
      <c r="C48" s="29"/>
      <c r="D48" s="29"/>
      <c r="E48" s="29"/>
      <c r="F48" s="29"/>
      <c r="G48" s="29"/>
      <c r="H48" s="30"/>
    </row>
    <row r="49" ht="15.75" customHeight="1">
      <c r="A49" s="39" t="s">
        <v>148</v>
      </c>
      <c r="B49" s="67">
        <v>0.0</v>
      </c>
      <c r="C49" s="29"/>
      <c r="D49" s="29"/>
      <c r="E49" s="29"/>
      <c r="F49" s="29"/>
      <c r="G49" s="29"/>
      <c r="H49" s="30"/>
    </row>
    <row r="50" ht="15.75" customHeight="1">
      <c r="A50" s="39" t="s">
        <v>108</v>
      </c>
      <c r="B50" s="28">
        <v>0.0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198</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28"/>
      <c r="C58" s="29"/>
      <c r="D58" s="29"/>
      <c r="E58" s="29"/>
      <c r="F58" s="29"/>
      <c r="G58" s="29"/>
      <c r="H58" s="30"/>
    </row>
    <row r="59" ht="15.75" customHeight="1">
      <c r="A59" s="39" t="s">
        <v>180</v>
      </c>
      <c r="B59" s="28"/>
      <c r="C59" s="29"/>
      <c r="D59" s="29"/>
      <c r="E59" s="29"/>
      <c r="F59" s="29"/>
      <c r="G59" s="29"/>
      <c r="H59" s="30"/>
    </row>
    <row r="60" ht="15.75" customHeight="1">
      <c r="A60" s="39" t="s">
        <v>148</v>
      </c>
      <c r="B60" s="67"/>
      <c r="C60" s="29"/>
      <c r="D60" s="29"/>
      <c r="E60" s="29"/>
      <c r="F60" s="29"/>
      <c r="G60" s="29"/>
      <c r="H60" s="30"/>
    </row>
    <row r="61" ht="15.75" customHeight="1">
      <c r="A61" s="39" t="s">
        <v>108</v>
      </c>
      <c r="B61" s="67"/>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73"/>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row r="68" ht="15.75" customHeight="1">
      <c r="A68" s="50" t="s">
        <v>189</v>
      </c>
      <c r="G68" s="43" t="s">
        <v>108</v>
      </c>
      <c r="H68" s="59">
        <v>5.0</v>
      </c>
    </row>
    <row r="69" ht="15.75" customHeight="1">
      <c r="G69" s="35" t="s">
        <v>190</v>
      </c>
    </row>
    <row r="70" ht="15.75" customHeight="1">
      <c r="A70" s="39" t="s">
        <v>108</v>
      </c>
      <c r="B70" s="70">
        <v>0.0</v>
      </c>
      <c r="C70" s="29"/>
      <c r="D70" s="29"/>
      <c r="E70" s="29"/>
      <c r="F70" s="29"/>
      <c r="G70" s="29"/>
      <c r="H70" s="30"/>
    </row>
    <row r="71" ht="15.75" customHeight="1">
      <c r="A71" s="66" t="s">
        <v>191</v>
      </c>
      <c r="B71" s="29"/>
      <c r="C71" s="29"/>
      <c r="D71" s="29"/>
      <c r="E71" s="29"/>
      <c r="F71" s="29"/>
      <c r="G71" s="29"/>
      <c r="H71" s="30"/>
    </row>
    <row r="72" ht="15.75" customHeight="1">
      <c r="A72" s="53" t="s">
        <v>195</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6.0</v>
      </c>
      <c r="D5" s="29"/>
      <c r="E5" s="29"/>
      <c r="F5" s="29"/>
      <c r="G5" s="30"/>
    </row>
    <row r="6" ht="15.75" customHeight="1">
      <c r="B6" s="49" t="s">
        <v>106</v>
      </c>
      <c r="C6" s="28">
        <f>H10+H21+H44+H68</f>
        <v>105</v>
      </c>
      <c r="D6" s="29"/>
      <c r="E6" s="29"/>
      <c r="F6" s="29"/>
      <c r="G6" s="30"/>
      <c r="I6" s="5"/>
    </row>
    <row r="7" ht="15.75" customHeight="1">
      <c r="B7" s="49" t="s">
        <v>148</v>
      </c>
      <c r="C7" s="28">
        <f>B49+B60</f>
        <v>0</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9">
        <v>5.0</v>
      </c>
    </row>
    <row r="11" ht="15.75" customHeight="1">
      <c r="G11" s="35" t="s">
        <v>151</v>
      </c>
    </row>
    <row r="12" ht="15.75" customHeight="1">
      <c r="A12" s="39" t="s">
        <v>152</v>
      </c>
      <c r="B12" s="40" t="s">
        <v>153</v>
      </c>
      <c r="C12" s="29"/>
      <c r="D12" s="29"/>
      <c r="E12" s="29"/>
      <c r="F12" s="29"/>
      <c r="G12" s="29"/>
      <c r="H12" s="30"/>
    </row>
    <row r="13" ht="15.75" customHeight="1">
      <c r="A13" s="41" t="s">
        <v>108</v>
      </c>
      <c r="B13" s="40">
        <v>5.0</v>
      </c>
      <c r="C13" s="29"/>
      <c r="D13" s="29"/>
      <c r="E13" s="29"/>
      <c r="F13" s="29"/>
      <c r="G13" s="29"/>
      <c r="H13" s="30"/>
    </row>
    <row r="14" ht="15.75" customHeight="1">
      <c r="A14" s="52" t="s">
        <v>154</v>
      </c>
      <c r="B14" s="29"/>
      <c r="C14" s="29"/>
      <c r="D14" s="29"/>
      <c r="E14" s="29"/>
      <c r="F14" s="29"/>
      <c r="G14" s="29"/>
      <c r="H14" s="30"/>
    </row>
    <row r="15" ht="15.75" customHeight="1">
      <c r="A15" s="53" t="s">
        <v>155</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50.0</v>
      </c>
      <c r="I21" s="5"/>
    </row>
    <row r="22" ht="15.75" customHeight="1">
      <c r="G22" s="35" t="s">
        <v>159</v>
      </c>
    </row>
    <row r="23" ht="15.75" customHeight="1">
      <c r="A23" s="39" t="s">
        <v>160</v>
      </c>
      <c r="B23" s="40" t="s">
        <v>12</v>
      </c>
      <c r="C23" s="29"/>
      <c r="D23" s="29"/>
      <c r="E23" s="29"/>
      <c r="F23" s="29"/>
      <c r="G23" s="29"/>
      <c r="H23" s="30"/>
    </row>
    <row r="24" ht="15.75" customHeight="1">
      <c r="A24" s="39" t="s">
        <v>160</v>
      </c>
      <c r="B24" s="40" t="s">
        <v>51</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28" t="str">
        <f>IFERROR(__xludf.DUMMYFUNCTION("FILTER('Diseño'!D:D,'Diseño'!H:H=$C$5)"),"Unidad 1: Fundamentos de Sistemas Operativos y Administración Avanzada")</f>
        <v>Unidad 1: Fundamentos de Sistemas Operativos y Administración Avanzada</v>
      </c>
      <c r="C28" s="30"/>
      <c r="D28" s="28" t="str">
        <f>IFERROR(__xludf.DUMMYFUNCTION("FILTER('Diseño'!E:E,'Diseño'!H:H=$C$5)"),"Procesos y Programación Concurrente (Parte 2)")</f>
        <v>Procesos y Programación Concurrente (Parte 2)</v>
      </c>
      <c r="E28" s="30"/>
      <c r="F28" s="28" t="str">
        <f>IFERROR(__xludf.DUMMYFUNCTION("FILTER('Diseño'!F:F,'Diseño'!H:H=$C$5)"),"Concepto de hilo (thread) vs go rutina de Go")</f>
        <v>Concepto de hilo (thread) vs go rutina de Go</v>
      </c>
      <c r="G28" s="29"/>
      <c r="H28" s="30"/>
    </row>
    <row r="29" ht="15.75" customHeight="1">
      <c r="A29" s="31">
        <v>2.0</v>
      </c>
      <c r="B29" s="28" t="str">
        <f>IFERROR(__xludf.DUMMYFUNCTION("""COMPUTED_VALUE"""),"Unidad 1: Fundamentos de Sistemas Operativos y Administración Avanzada")</f>
        <v>Unidad 1: Fundamentos de Sistemas Operativos y Administración Avanzada</v>
      </c>
      <c r="C29" s="30"/>
      <c r="D29" s="28" t="str">
        <f>IFERROR(__xludf.DUMMYFUNCTION("""COMPUTED_VALUE"""),"Procesos y Programación Concurrente (Parte 2)")</f>
        <v>Procesos y Programación Concurrente (Parte 2)</v>
      </c>
      <c r="E29" s="30"/>
      <c r="F29" s="28" t="str">
        <f>IFERROR(__xludf.DUMMYFUNCTION("""COMPUTED_VALUE"""),"Planificación de procesos")</f>
        <v>Planificación de procesos</v>
      </c>
      <c r="G29" s="29"/>
      <c r="H29" s="30"/>
    </row>
    <row r="30" ht="15.75" customHeight="1">
      <c r="A30" s="31">
        <v>3.0</v>
      </c>
      <c r="B30" s="28" t="str">
        <f>IFERROR(__xludf.DUMMYFUNCTION("""COMPUTED_VALUE"""),"Unidad 1: Fundamentos de Sistemas Operativos y Administración Avanzada")</f>
        <v>Unidad 1: Fundamentos de Sistemas Operativos y Administración Avanzada</v>
      </c>
      <c r="C30" s="30"/>
      <c r="D30" s="28" t="str">
        <f>IFERROR(__xludf.DUMMYFUNCTION("""COMPUTED_VALUE"""),"Procesos y Programación Concurrente (Parte 2)")</f>
        <v>Procesos y Programación Concurrente (Parte 2)</v>
      </c>
      <c r="E30" s="30"/>
      <c r="F30" s="28" t="str">
        <f>IFERROR(__xludf.DUMMYFUNCTION("""COMPUTED_VALUE"""),"Comunicación entre procesos")</f>
        <v>Comunicación entre procesos</v>
      </c>
      <c r="G30" s="29"/>
      <c r="H30" s="30"/>
    </row>
    <row r="31" ht="15.75" customHeight="1">
      <c r="A31" s="31">
        <v>4.0</v>
      </c>
      <c r="B31" s="28" t="str">
        <f>IFERROR(__xludf.DUMMYFUNCTION("""COMPUTED_VALUE"""),"Unidad 1: Fundamentos de Sistemas Operativos y Administración Avanzada")</f>
        <v>Unidad 1: Fundamentos de Sistemas Operativos y Administración Avanzada</v>
      </c>
      <c r="C31" s="30"/>
      <c r="D31" s="28" t="str">
        <f>IFERROR(__xludf.DUMMYFUNCTION("""COMPUTED_VALUE"""),"Procesos y Programación Concurrente (Parte 2)")</f>
        <v>Procesos y Programación Concurrente (Parte 2)</v>
      </c>
      <c r="E31" s="30"/>
      <c r="F31" s="28" t="str">
        <f>IFERROR(__xludf.DUMMYFUNCTION("""COMPUTED_VALUE"""),"Sincronización de procesos")</f>
        <v>Sincronización de procesos</v>
      </c>
      <c r="G31" s="29"/>
      <c r="H31" s="30"/>
    </row>
    <row r="32" ht="15.75" customHeight="1">
      <c r="A32" s="31">
        <v>5.0</v>
      </c>
      <c r="B32" s="28" t="str">
        <f>IFERROR(__xludf.DUMMYFUNCTION("""COMPUTED_VALUE"""),"Unidad 1: Fundamentos de Sistemas Operativos y Administración Avanzada")</f>
        <v>Unidad 1: Fundamentos de Sistemas Operativos y Administración Avanzada</v>
      </c>
      <c r="C32" s="30"/>
      <c r="D32" s="28" t="str">
        <f>IFERROR(__xludf.DUMMYFUNCTION("""COMPUTED_VALUE"""),"Procesos y Programación Concurrente (Parte 2)")</f>
        <v>Procesos y Programación Concurrente (Parte 2)</v>
      </c>
      <c r="E32" s="30"/>
      <c r="F32" s="28" t="str">
        <f>IFERROR(__xludf.DUMMYFUNCTION("""COMPUTED_VALUE"""),"Problemas clásicos de concurrencia ")</f>
        <v>Problemas clásicos de concurrencia </v>
      </c>
      <c r="G32" s="29"/>
      <c r="H32" s="30"/>
    </row>
    <row r="33" ht="15.75" customHeight="1">
      <c r="A33" s="31">
        <v>6.0</v>
      </c>
      <c r="B33" s="28"/>
      <c r="C33" s="30"/>
      <c r="D33" s="28"/>
      <c r="E33" s="30"/>
      <c r="F33" s="28"/>
      <c r="G33" s="29"/>
      <c r="H33" s="30"/>
    </row>
    <row r="34" ht="15.75" customHeight="1">
      <c r="A34" s="31">
        <v>7.0</v>
      </c>
      <c r="B34" s="28"/>
      <c r="C34" s="30"/>
      <c r="D34" s="28"/>
      <c r="E34" s="30"/>
      <c r="F34" s="28"/>
      <c r="G34" s="29"/>
      <c r="H34" s="30"/>
    </row>
    <row r="35" ht="15.75" customHeight="1"/>
    <row r="36" ht="15.75" customHeight="1">
      <c r="A36" s="60" t="s">
        <v>165</v>
      </c>
    </row>
    <row r="37" ht="15.75" customHeight="1">
      <c r="A37" s="5"/>
      <c r="B37" s="5"/>
      <c r="C37" s="5"/>
      <c r="D37" s="5"/>
      <c r="E37" s="5"/>
      <c r="F37" s="5"/>
      <c r="G37" s="5"/>
      <c r="H37" s="5"/>
    </row>
    <row r="38" ht="15.75" customHeight="1">
      <c r="A38" s="61" t="s">
        <v>166</v>
      </c>
      <c r="B38" s="61" t="s">
        <v>167</v>
      </c>
      <c r="C38" s="65" t="s">
        <v>168</v>
      </c>
      <c r="D38" s="66" t="s">
        <v>108</v>
      </c>
      <c r="E38" s="29"/>
      <c r="F38" s="29"/>
      <c r="G38" s="29"/>
      <c r="H38" s="30"/>
    </row>
    <row r="39" ht="15.75" customHeight="1">
      <c r="A39" s="31" t="s">
        <v>169</v>
      </c>
      <c r="B39" s="31" t="s">
        <v>170</v>
      </c>
      <c r="C39" s="31"/>
      <c r="D39" s="40">
        <v>35.0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31"/>
      <c r="D41" s="28"/>
      <c r="E41" s="29"/>
      <c r="F41" s="29"/>
      <c r="G41" s="29"/>
      <c r="H41" s="30"/>
    </row>
    <row r="42" ht="15.75" customHeight="1">
      <c r="A42" s="31" t="s">
        <v>175</v>
      </c>
      <c r="B42" s="31" t="s">
        <v>170</v>
      </c>
      <c r="C42" s="31"/>
      <c r="D42" s="40">
        <v>45.0</v>
      </c>
      <c r="E42" s="29"/>
      <c r="F42" s="29"/>
      <c r="G42" s="29"/>
      <c r="H42" s="30"/>
    </row>
    <row r="43" ht="15.75" customHeight="1"/>
    <row r="44" ht="15.75" customHeight="1">
      <c r="A44" s="50" t="s">
        <v>176</v>
      </c>
      <c r="G44" s="43" t="s">
        <v>108</v>
      </c>
      <c r="H44" s="59">
        <v>45.0</v>
      </c>
    </row>
    <row r="45" ht="15.75" customHeight="1">
      <c r="G45" s="35" t="s">
        <v>177</v>
      </c>
    </row>
    <row r="46" ht="15.75" customHeight="1">
      <c r="A46" s="35" t="s">
        <v>178</v>
      </c>
    </row>
    <row r="47" ht="15.75" customHeight="1">
      <c r="A47" s="39" t="s">
        <v>179</v>
      </c>
      <c r="B47" s="40" t="s">
        <v>12</v>
      </c>
      <c r="C47" s="29"/>
      <c r="D47" s="29"/>
      <c r="E47" s="29"/>
      <c r="F47" s="29"/>
      <c r="G47" s="29"/>
      <c r="H47" s="30"/>
    </row>
    <row r="48" ht="15.75" customHeight="1">
      <c r="A48" s="39" t="s">
        <v>180</v>
      </c>
      <c r="B48" s="40" t="s">
        <v>181</v>
      </c>
      <c r="C48" s="29"/>
      <c r="D48" s="29"/>
      <c r="E48" s="29"/>
      <c r="F48" s="29"/>
      <c r="G48" s="29"/>
      <c r="H48" s="30"/>
    </row>
    <row r="49" ht="15.75" customHeight="1">
      <c r="A49" s="39" t="s">
        <v>148</v>
      </c>
      <c r="B49" s="67">
        <v>0.0</v>
      </c>
      <c r="C49" s="29"/>
      <c r="D49" s="29"/>
      <c r="E49" s="29"/>
      <c r="F49" s="29"/>
      <c r="G49" s="29"/>
      <c r="H49" s="30"/>
    </row>
    <row r="50" ht="15.75" customHeight="1">
      <c r="A50" s="39" t="s">
        <v>108</v>
      </c>
      <c r="B50" s="40">
        <v>45.0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199</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28"/>
      <c r="C58" s="29"/>
      <c r="D58" s="29"/>
      <c r="E58" s="29"/>
      <c r="F58" s="29"/>
      <c r="G58" s="29"/>
      <c r="H58" s="30"/>
    </row>
    <row r="59" ht="15.75" customHeight="1">
      <c r="A59" s="39" t="s">
        <v>180</v>
      </c>
      <c r="B59" s="28"/>
      <c r="C59" s="29"/>
      <c r="D59" s="29"/>
      <c r="E59" s="29"/>
      <c r="F59" s="29"/>
      <c r="G59" s="29"/>
      <c r="H59" s="30"/>
    </row>
    <row r="60" ht="15.75" customHeight="1">
      <c r="A60" s="39" t="s">
        <v>148</v>
      </c>
      <c r="B60" s="67"/>
      <c r="C60" s="29"/>
      <c r="D60" s="29"/>
      <c r="E60" s="29"/>
      <c r="F60" s="29"/>
      <c r="G60" s="29"/>
      <c r="H60" s="30"/>
    </row>
    <row r="61" ht="15.75" customHeight="1">
      <c r="A61" s="39" t="s">
        <v>108</v>
      </c>
      <c r="B61" s="67"/>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73"/>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row r="68" ht="15.75" customHeight="1">
      <c r="A68" s="50" t="s">
        <v>189</v>
      </c>
      <c r="G68" s="43" t="s">
        <v>108</v>
      </c>
      <c r="H68" s="59">
        <v>5.0</v>
      </c>
    </row>
    <row r="69" ht="15.75" customHeight="1">
      <c r="G69" s="35" t="s">
        <v>190</v>
      </c>
    </row>
    <row r="70" ht="15.75" customHeight="1">
      <c r="A70" s="39" t="s">
        <v>108</v>
      </c>
      <c r="B70" s="70">
        <v>5.0</v>
      </c>
      <c r="C70" s="29"/>
      <c r="D70" s="29"/>
      <c r="E70" s="29"/>
      <c r="F70" s="29"/>
      <c r="G70" s="29"/>
      <c r="H70" s="30"/>
    </row>
    <row r="71" ht="15.75" customHeight="1">
      <c r="A71" s="66" t="s">
        <v>191</v>
      </c>
      <c r="B71" s="29"/>
      <c r="C71" s="29"/>
      <c r="D71" s="29"/>
      <c r="E71" s="29"/>
      <c r="F71" s="29"/>
      <c r="G71" s="29"/>
      <c r="H71" s="30"/>
    </row>
    <row r="72" ht="15.75" customHeight="1">
      <c r="A72" s="53" t="s">
        <v>195</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7.0</v>
      </c>
      <c r="D5" s="29"/>
      <c r="E5" s="29"/>
      <c r="F5" s="29"/>
      <c r="G5" s="30"/>
    </row>
    <row r="6" ht="15.75" customHeight="1">
      <c r="B6" s="49" t="s">
        <v>106</v>
      </c>
      <c r="C6" s="28">
        <f>H10+H21+H44+H68</f>
        <v>105</v>
      </c>
      <c r="D6" s="29"/>
      <c r="E6" s="29"/>
      <c r="F6" s="29"/>
      <c r="G6" s="30"/>
      <c r="I6" s="5"/>
    </row>
    <row r="7" ht="15.75" customHeight="1">
      <c r="B7" s="49" t="s">
        <v>148</v>
      </c>
      <c r="C7" s="28">
        <f>B49+B60</f>
        <v>0</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9">
        <v>5.0</v>
      </c>
    </row>
    <row r="11" ht="15.75" customHeight="1">
      <c r="G11" s="35" t="s">
        <v>151</v>
      </c>
    </row>
    <row r="12" ht="15.75" customHeight="1">
      <c r="A12" s="39" t="s">
        <v>152</v>
      </c>
      <c r="B12" s="40" t="s">
        <v>153</v>
      </c>
      <c r="C12" s="29"/>
      <c r="D12" s="29"/>
      <c r="E12" s="29"/>
      <c r="F12" s="29"/>
      <c r="G12" s="29"/>
      <c r="H12" s="30"/>
    </row>
    <row r="13" ht="15.75" customHeight="1">
      <c r="A13" s="41" t="s">
        <v>108</v>
      </c>
      <c r="B13" s="40">
        <v>5.0</v>
      </c>
      <c r="C13" s="29"/>
      <c r="D13" s="29"/>
      <c r="E13" s="29"/>
      <c r="F13" s="29"/>
      <c r="G13" s="29"/>
      <c r="H13" s="30"/>
    </row>
    <row r="14" ht="15.75" customHeight="1">
      <c r="A14" s="52" t="s">
        <v>154</v>
      </c>
      <c r="B14" s="29"/>
      <c r="C14" s="29"/>
      <c r="D14" s="29"/>
      <c r="E14" s="29"/>
      <c r="F14" s="29"/>
      <c r="G14" s="29"/>
      <c r="H14" s="30"/>
    </row>
    <row r="15" ht="15.75" customHeight="1">
      <c r="A15" s="53" t="s">
        <v>155</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50.0</v>
      </c>
      <c r="I21" s="5"/>
    </row>
    <row r="22" ht="15.75" customHeight="1">
      <c r="G22" s="35" t="s">
        <v>159</v>
      </c>
    </row>
    <row r="23" ht="15.75" customHeight="1">
      <c r="A23" s="39" t="s">
        <v>160</v>
      </c>
      <c r="B23" s="40" t="s">
        <v>90</v>
      </c>
      <c r="C23" s="29"/>
      <c r="D23" s="29"/>
      <c r="E23" s="29"/>
      <c r="F23" s="29"/>
      <c r="G23" s="29"/>
      <c r="H23" s="30"/>
    </row>
    <row r="24" ht="15.75" customHeight="1">
      <c r="A24" s="39" t="s">
        <v>160</v>
      </c>
      <c r="B24" s="40" t="s">
        <v>62</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28" t="str">
        <f>IFERROR(__xludf.DUMMYFUNCTION("FILTER('Diseño'!D:D,'Diseño'!H:H=$C$5)"),"Unidad 2: Arquitectura de Microservicios, Cloud y Orquestación")</f>
        <v>Unidad 2: Arquitectura de Microservicios, Cloud y Orquestación</v>
      </c>
      <c r="C28" s="30"/>
      <c r="D28" s="28" t="str">
        <f>IFERROR(__xludf.DUMMYFUNCTION("FILTER('Diseño'!E:E,'Diseño'!H:H=$C$5)"),"Sistemas Distribuidos y Tendencias Futuras")</f>
        <v>Sistemas Distribuidos y Tendencias Futuras</v>
      </c>
      <c r="E28" s="30"/>
      <c r="F28" s="28" t="str">
        <f>IFERROR(__xludf.DUMMYFUNCTION("FILTER('Diseño'!F:F,'Diseño'!H:H=$C$5)"),"Comunicación entre procesos con gRPC
")</f>
        <v>Comunicación entre procesos con gRPC
</v>
      </c>
      <c r="G28" s="29"/>
      <c r="H28" s="30"/>
    </row>
    <row r="29" ht="15.75" customHeight="1">
      <c r="A29" s="31">
        <v>2.0</v>
      </c>
      <c r="B29" s="28" t="str">
        <f>IFERROR(__xludf.DUMMYFUNCTION("""COMPUTED_VALUE"""),"Unidad 2: Arquitectura de Microservicios, Cloud y Orquestación")</f>
        <v>Unidad 2: Arquitectura de Microservicios, Cloud y Orquestación</v>
      </c>
      <c r="C29" s="30"/>
      <c r="D29" s="28" t="str">
        <f>IFERROR(__xludf.DUMMYFUNCTION("""COMPUTED_VALUE"""),"Introducción a Kubernetes y Google Kubernetes Engine")</f>
        <v>Introducción a Kubernetes y Google Kubernetes Engine</v>
      </c>
      <c r="E29" s="30"/>
      <c r="F29" s="28" t="str">
        <f>IFERROR(__xludf.DUMMYFUNCTION("""COMPUTED_VALUE"""),"Conceptos básicos de Kubernetes")</f>
        <v>Conceptos básicos de Kubernetes</v>
      </c>
      <c r="G29" s="29"/>
      <c r="H29" s="30"/>
    </row>
    <row r="30" ht="15.75" customHeight="1">
      <c r="A30" s="31">
        <v>3.0</v>
      </c>
      <c r="B30" s="28" t="str">
        <f>IFERROR(__xludf.DUMMYFUNCTION("""COMPUTED_VALUE"""),"Unidad 2: Arquitectura de Microservicios, Cloud y Orquestación")</f>
        <v>Unidad 2: Arquitectura de Microservicios, Cloud y Orquestación</v>
      </c>
      <c r="C30" s="30"/>
      <c r="D30" s="28" t="str">
        <f>IFERROR(__xludf.DUMMYFUNCTION("""COMPUTED_VALUE"""),"Introducción a Kubernetes y Google Kubernetes Engine")</f>
        <v>Introducción a Kubernetes y Google Kubernetes Engine</v>
      </c>
      <c r="E30" s="30"/>
      <c r="F30" s="28" t="str">
        <f>IFERROR(__xludf.DUMMYFUNCTION("""COMPUTED_VALUE"""),"Arquitectura de Kubernetes")</f>
        <v>Arquitectura de Kubernetes</v>
      </c>
      <c r="G30" s="29"/>
      <c r="H30" s="30"/>
    </row>
    <row r="31" ht="15.75" customHeight="1">
      <c r="A31" s="31">
        <v>4.0</v>
      </c>
      <c r="B31" s="28" t="str">
        <f>IFERROR(__xludf.DUMMYFUNCTION("""COMPUTED_VALUE"""),"Unidad 2: Arquitectura de Microservicios, Cloud y Orquestación")</f>
        <v>Unidad 2: Arquitectura de Microservicios, Cloud y Orquestación</v>
      </c>
      <c r="C31" s="30"/>
      <c r="D31" s="28" t="str">
        <f>IFERROR(__xludf.DUMMYFUNCTION("""COMPUTED_VALUE"""),"Introducción a Kubernetes y Google Kubernetes Engine")</f>
        <v>Introducción a Kubernetes y Google Kubernetes Engine</v>
      </c>
      <c r="E31" s="30"/>
      <c r="F31" s="28" t="str">
        <f>IFERROR(__xludf.DUMMYFUNCTION("""COMPUTED_VALUE"""),"Objetos fundamentales de Kubernetes: Pods, Deployments, Namespace")</f>
        <v>Objetos fundamentales de Kubernetes: Pods, Deployments, Namespace</v>
      </c>
      <c r="G31" s="29"/>
      <c r="H31" s="30"/>
    </row>
    <row r="32" ht="15.75" customHeight="1">
      <c r="A32" s="31">
        <v>5.0</v>
      </c>
      <c r="B32" s="28" t="str">
        <f>IFERROR(__xludf.DUMMYFUNCTION("""COMPUTED_VALUE"""),"Unidad 2: Arquitectura de Microservicios, Cloud y Orquestación")</f>
        <v>Unidad 2: Arquitectura de Microservicios, Cloud y Orquestación</v>
      </c>
      <c r="C32" s="30"/>
      <c r="D32" s="28" t="str">
        <f>IFERROR(__xludf.DUMMYFUNCTION("""COMPUTED_VALUE"""),"Introducción a Kubernetes y Google Kubernetes Engine")</f>
        <v>Introducción a Kubernetes y Google Kubernetes Engine</v>
      </c>
      <c r="E32" s="30"/>
      <c r="F32" s="28" t="str">
        <f>IFERROR(__xludf.DUMMYFUNCTION("""COMPUTED_VALUE"""),"Services en Kubernetes: ClusterIP, NodePort, LoadBalancer")</f>
        <v>Services en Kubernetes: ClusterIP, NodePort, LoadBalancer</v>
      </c>
      <c r="G32" s="29"/>
      <c r="H32" s="30"/>
    </row>
    <row r="33" ht="15.75" customHeight="1">
      <c r="A33" s="31">
        <v>6.0</v>
      </c>
      <c r="B33" s="28" t="str">
        <f>IFERROR(__xludf.DUMMYFUNCTION("""COMPUTED_VALUE"""),"Unidad 2: Arquitectura de Microservicios, Cloud y Orquestación")</f>
        <v>Unidad 2: Arquitectura de Microservicios, Cloud y Orquestación</v>
      </c>
      <c r="C33" s="30"/>
      <c r="D33" s="28" t="str">
        <f>IFERROR(__xludf.DUMMYFUNCTION("""COMPUTED_VALUE"""),"Introducción a Kubernetes y Google Kubernetes Engine")</f>
        <v>Introducción a Kubernetes y Google Kubernetes Engine</v>
      </c>
      <c r="E33" s="30"/>
      <c r="F33" s="28" t="str">
        <f>IFERROR(__xludf.DUMMYFUNCTION("""COMPUTED_VALUE"""),"Introducción a Google Kubernetes Engine (GCP)")</f>
        <v>Introducción a Google Kubernetes Engine (GCP)</v>
      </c>
      <c r="G33" s="29"/>
      <c r="H33" s="30"/>
    </row>
    <row r="34" ht="15.75" customHeight="1">
      <c r="A34" s="31">
        <v>7.0</v>
      </c>
      <c r="B34" s="28" t="str">
        <f>IFERROR(__xludf.DUMMYFUNCTION("""COMPUTED_VALUE"""),"Unidad 2: Arquitectura de Microservicios, Cloud y Orquestación")</f>
        <v>Unidad 2: Arquitectura de Microservicios, Cloud y Orquestación</v>
      </c>
      <c r="C34" s="30"/>
      <c r="D34" s="28" t="str">
        <f>IFERROR(__xludf.DUMMYFUNCTION("""COMPUTED_VALUE"""),"Introducción a Kubernetes y Google Kubernetes Engine")</f>
        <v>Introducción a Kubernetes y Google Kubernetes Engine</v>
      </c>
      <c r="E34" s="30"/>
      <c r="F34" s="28" t="str">
        <f>IFERROR(__xludf.DUMMYFUNCTION("""COMPUTED_VALUE"""),"Creación y gestión de clusters en GKE")</f>
        <v>Creación y gestión de clusters en GKE</v>
      </c>
      <c r="G34" s="29"/>
      <c r="H34" s="30"/>
    </row>
    <row r="35" ht="15.75" customHeight="1">
      <c r="B35" s="64" t="str">
        <f>IFERROR(__xludf.DUMMYFUNCTION("""COMPUTED_VALUE"""),"Unidad 2: Arquitectura de Microservicios, Cloud y Orquestación")</f>
        <v>Unidad 2: Arquitectura de Microservicios, Cloud y Orquestación</v>
      </c>
      <c r="D35" s="64" t="str">
        <f>IFERROR(__xludf.DUMMYFUNCTION("""COMPUTED_VALUE"""),"Introducción a Kubernetes y Google Kubernetes Engine")</f>
        <v>Introducción a Kubernetes y Google Kubernetes Engine</v>
      </c>
      <c r="F35" s="64" t="str">
        <f>IFERROR(__xludf.DUMMYFUNCTION("""COMPUTED_VALUE"""),"Despliegue de aplicaciones en GKE")</f>
        <v>Despliegue de aplicaciones en GKE</v>
      </c>
    </row>
    <row r="36" ht="15.75" customHeight="1">
      <c r="A36" s="60" t="s">
        <v>165</v>
      </c>
    </row>
    <row r="37" ht="15.75" customHeight="1">
      <c r="A37" s="5"/>
      <c r="B37" s="5"/>
      <c r="C37" s="5"/>
      <c r="D37" s="5"/>
      <c r="E37" s="5"/>
      <c r="F37" s="5"/>
      <c r="G37" s="5"/>
      <c r="H37" s="5"/>
    </row>
    <row r="38" ht="15.75" customHeight="1">
      <c r="A38" s="61" t="s">
        <v>166</v>
      </c>
      <c r="B38" s="61" t="s">
        <v>167</v>
      </c>
      <c r="C38" s="65" t="s">
        <v>168</v>
      </c>
      <c r="D38" s="66" t="s">
        <v>108</v>
      </c>
      <c r="E38" s="29"/>
      <c r="F38" s="29"/>
      <c r="G38" s="29"/>
      <c r="H38" s="30"/>
    </row>
    <row r="39" ht="15.75" customHeight="1">
      <c r="A39" s="31" t="s">
        <v>169</v>
      </c>
      <c r="B39" s="31" t="s">
        <v>170</v>
      </c>
      <c r="C39" s="31"/>
      <c r="D39" s="40">
        <v>15.0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31"/>
      <c r="D41" s="28"/>
      <c r="E41" s="29"/>
      <c r="F41" s="29"/>
      <c r="G41" s="29"/>
      <c r="H41" s="30"/>
    </row>
    <row r="42" ht="15.75" customHeight="1">
      <c r="A42" s="31" t="s">
        <v>175</v>
      </c>
      <c r="B42" s="31" t="s">
        <v>170</v>
      </c>
      <c r="C42" s="31"/>
      <c r="D42" s="40">
        <v>30.0</v>
      </c>
      <c r="E42" s="29"/>
      <c r="F42" s="29"/>
      <c r="G42" s="29"/>
      <c r="H42" s="30"/>
    </row>
    <row r="43" ht="15.75" customHeight="1"/>
    <row r="44" ht="15.75" customHeight="1">
      <c r="A44" s="50" t="s">
        <v>176</v>
      </c>
      <c r="G44" s="43" t="s">
        <v>108</v>
      </c>
      <c r="H44" s="59">
        <v>45.0</v>
      </c>
    </row>
    <row r="45" ht="15.75" customHeight="1">
      <c r="G45" s="35" t="s">
        <v>177</v>
      </c>
    </row>
    <row r="46" ht="15.75" customHeight="1">
      <c r="A46" s="35" t="s">
        <v>178</v>
      </c>
    </row>
    <row r="47" ht="15.75" customHeight="1">
      <c r="A47" s="39" t="s">
        <v>179</v>
      </c>
      <c r="B47" s="40" t="s">
        <v>90</v>
      </c>
      <c r="C47" s="29"/>
      <c r="D47" s="29"/>
      <c r="E47" s="29"/>
      <c r="F47" s="29"/>
      <c r="G47" s="29"/>
      <c r="H47" s="30"/>
    </row>
    <row r="48" ht="15.75" customHeight="1">
      <c r="A48" s="39" t="s">
        <v>180</v>
      </c>
      <c r="B48" s="40" t="s">
        <v>186</v>
      </c>
      <c r="C48" s="29"/>
      <c r="D48" s="29"/>
      <c r="E48" s="29"/>
      <c r="F48" s="29"/>
      <c r="G48" s="29"/>
      <c r="H48" s="30"/>
    </row>
    <row r="49" ht="15.75" customHeight="1">
      <c r="A49" s="39" t="s">
        <v>148</v>
      </c>
      <c r="B49" s="67">
        <v>0.0</v>
      </c>
      <c r="C49" s="29"/>
      <c r="D49" s="29"/>
      <c r="E49" s="29"/>
      <c r="F49" s="29"/>
      <c r="G49" s="29"/>
      <c r="H49" s="30"/>
    </row>
    <row r="50" ht="15.75" customHeight="1">
      <c r="A50" s="39" t="s">
        <v>108</v>
      </c>
      <c r="B50" s="28">
        <v>0.0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200</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28"/>
      <c r="C58" s="29"/>
      <c r="D58" s="29"/>
      <c r="E58" s="29"/>
      <c r="F58" s="29"/>
      <c r="G58" s="29"/>
      <c r="H58" s="30"/>
    </row>
    <row r="59" ht="15.75" customHeight="1">
      <c r="A59" s="39" t="s">
        <v>180</v>
      </c>
      <c r="B59" s="28"/>
      <c r="C59" s="29"/>
      <c r="D59" s="29"/>
      <c r="E59" s="29"/>
      <c r="F59" s="29"/>
      <c r="G59" s="29"/>
      <c r="H59" s="30"/>
    </row>
    <row r="60" ht="15.75" customHeight="1">
      <c r="A60" s="39" t="s">
        <v>148</v>
      </c>
      <c r="B60" s="67"/>
      <c r="C60" s="29"/>
      <c r="D60" s="29"/>
      <c r="E60" s="29"/>
      <c r="F60" s="29"/>
      <c r="G60" s="29"/>
      <c r="H60" s="30"/>
    </row>
    <row r="61" ht="15.75" customHeight="1">
      <c r="A61" s="39" t="s">
        <v>108</v>
      </c>
      <c r="B61" s="67"/>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73"/>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row r="68" ht="15.75" customHeight="1">
      <c r="A68" s="50" t="s">
        <v>189</v>
      </c>
      <c r="G68" s="43" t="s">
        <v>108</v>
      </c>
      <c r="H68" s="59">
        <v>5.0</v>
      </c>
    </row>
    <row r="69" ht="15.75" customHeight="1">
      <c r="G69" s="35" t="s">
        <v>190</v>
      </c>
    </row>
    <row r="70" ht="15.75" customHeight="1">
      <c r="A70" s="39" t="s">
        <v>108</v>
      </c>
      <c r="B70" s="70">
        <v>5.0</v>
      </c>
      <c r="C70" s="29"/>
      <c r="D70" s="29"/>
      <c r="E70" s="29"/>
      <c r="F70" s="29"/>
      <c r="G70" s="29"/>
      <c r="H70" s="30"/>
    </row>
    <row r="71" ht="15.75" customHeight="1">
      <c r="A71" s="66" t="s">
        <v>191</v>
      </c>
      <c r="B71" s="29"/>
      <c r="C71" s="29"/>
      <c r="D71" s="29"/>
      <c r="E71" s="29"/>
      <c r="F71" s="29"/>
      <c r="G71" s="29"/>
      <c r="H71" s="30"/>
    </row>
    <row r="72" ht="15.75" customHeight="1">
      <c r="A72" s="53" t="s">
        <v>195</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8.0</v>
      </c>
      <c r="D5" s="29"/>
      <c r="E5" s="29"/>
      <c r="F5" s="29"/>
      <c r="G5" s="30"/>
    </row>
    <row r="6" ht="15.75" customHeight="1">
      <c r="B6" s="49" t="s">
        <v>106</v>
      </c>
      <c r="C6" s="28">
        <f>H10+H21+H44+H68</f>
        <v>105</v>
      </c>
      <c r="D6" s="29"/>
      <c r="E6" s="29"/>
      <c r="F6" s="29"/>
      <c r="G6" s="30"/>
      <c r="I6" s="5"/>
    </row>
    <row r="7" ht="15.75" customHeight="1">
      <c r="B7" s="49" t="s">
        <v>148</v>
      </c>
      <c r="C7" s="28">
        <f>B49+B60</f>
        <v>0</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9">
        <v>5.0</v>
      </c>
    </row>
    <row r="11" ht="15.75" customHeight="1">
      <c r="G11" s="35" t="s">
        <v>151</v>
      </c>
    </row>
    <row r="12" ht="15.75" customHeight="1">
      <c r="A12" s="39" t="s">
        <v>152</v>
      </c>
      <c r="B12" s="40" t="s">
        <v>153</v>
      </c>
      <c r="C12" s="29"/>
      <c r="D12" s="29"/>
      <c r="E12" s="29"/>
      <c r="F12" s="29"/>
      <c r="G12" s="29"/>
      <c r="H12" s="30"/>
    </row>
    <row r="13" ht="15.75" customHeight="1">
      <c r="A13" s="41" t="s">
        <v>108</v>
      </c>
      <c r="B13" s="40">
        <v>5.0</v>
      </c>
      <c r="C13" s="29"/>
      <c r="D13" s="29"/>
      <c r="E13" s="29"/>
      <c r="F13" s="29"/>
      <c r="G13" s="29"/>
      <c r="H13" s="30"/>
    </row>
    <row r="14" ht="15.75" customHeight="1">
      <c r="A14" s="52" t="s">
        <v>154</v>
      </c>
      <c r="B14" s="29"/>
      <c r="C14" s="29"/>
      <c r="D14" s="29"/>
      <c r="E14" s="29"/>
      <c r="F14" s="29"/>
      <c r="G14" s="29"/>
      <c r="H14" s="30"/>
    </row>
    <row r="15" ht="15.75" customHeight="1">
      <c r="A15" s="53" t="s">
        <v>155</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50.0</v>
      </c>
      <c r="I21" s="5"/>
    </row>
    <row r="22" ht="15.75" customHeight="1">
      <c r="G22" s="35" t="s">
        <v>159</v>
      </c>
    </row>
    <row r="23" ht="15.75" customHeight="1">
      <c r="A23" s="39" t="s">
        <v>160</v>
      </c>
      <c r="B23" s="40" t="s">
        <v>90</v>
      </c>
      <c r="C23" s="29"/>
      <c r="D23" s="29"/>
      <c r="E23" s="29"/>
      <c r="F23" s="29"/>
      <c r="G23" s="29"/>
      <c r="H23" s="30"/>
    </row>
    <row r="24" ht="15.75" customHeight="1">
      <c r="A24" s="39" t="s">
        <v>160</v>
      </c>
      <c r="B24" s="40" t="s">
        <v>62</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28" t="str">
        <f>IFERROR(__xludf.DUMMYFUNCTION("FILTER('Diseño'!D:D,'Diseño'!H:H=$C$5)"),"Unidad 2: Arquitectura de Microservicios, Cloud y Orquestación")</f>
        <v>Unidad 2: Arquitectura de Microservicios, Cloud y Orquestación</v>
      </c>
      <c r="C28" s="30"/>
      <c r="D28" s="28" t="str">
        <f>IFERROR(__xludf.DUMMYFUNCTION("FILTER('Diseño'!E:E,'Diseño'!H:H=$C$5)"),"Cloud Computing y Google Cloud")</f>
        <v>Cloud Computing y Google Cloud</v>
      </c>
      <c r="E28" s="30"/>
      <c r="F28" s="28" t="str">
        <f>IFERROR(__xludf.DUMMYFUNCTION("FILTER('Diseño'!F:F,'Diseño'!H:H=$C$5)"),"Google GKE, Instancias, Google Cloud Run")</f>
        <v>Google GKE, Instancias, Google Cloud Run</v>
      </c>
      <c r="G28" s="29"/>
      <c r="H28" s="30"/>
    </row>
    <row r="29" ht="15.75" customHeight="1">
      <c r="A29" s="31">
        <v>2.0</v>
      </c>
      <c r="B29" s="28" t="str">
        <f>IFERROR(__xludf.DUMMYFUNCTION("""COMPUTED_VALUE"""),"Unidad 2: Arquitectura de Microservicios, Cloud y Orquestación")</f>
        <v>Unidad 2: Arquitectura de Microservicios, Cloud y Orquestación</v>
      </c>
      <c r="C29" s="30"/>
      <c r="D29" s="28" t="str">
        <f>IFERROR(__xludf.DUMMYFUNCTION("""COMPUTED_VALUE"""),"Kubernetes Avanzado y Orquestación de Contenedores
")</f>
        <v>Kubernetes Avanzado y Orquestación de Contenedores
</v>
      </c>
      <c r="E29" s="30"/>
      <c r="F29" s="28" t="str">
        <f>IFERROR(__xludf.DUMMYFUNCTION("""COMPUTED_VALUE"""),"Ingress y Ingress Controllers")</f>
        <v>Ingress y Ingress Controllers</v>
      </c>
      <c r="G29" s="29"/>
      <c r="H29" s="30"/>
    </row>
    <row r="30" ht="15.75" customHeight="1">
      <c r="A30" s="31">
        <v>3.0</v>
      </c>
      <c r="B30" s="28"/>
      <c r="C30" s="30"/>
      <c r="D30" s="28"/>
      <c r="E30" s="30"/>
      <c r="F30" s="28"/>
      <c r="G30" s="29"/>
      <c r="H30" s="30"/>
    </row>
    <row r="31" ht="15.75" customHeight="1">
      <c r="A31" s="31">
        <v>4.0</v>
      </c>
      <c r="B31" s="28"/>
      <c r="C31" s="30"/>
      <c r="D31" s="28"/>
      <c r="E31" s="30"/>
      <c r="F31" s="28"/>
      <c r="G31" s="29"/>
      <c r="H31" s="30"/>
    </row>
    <row r="32" ht="15.75" customHeight="1">
      <c r="A32" s="31">
        <v>5.0</v>
      </c>
      <c r="B32" s="28"/>
      <c r="C32" s="30"/>
      <c r="D32" s="28"/>
      <c r="E32" s="30"/>
      <c r="F32" s="28"/>
      <c r="G32" s="29"/>
      <c r="H32" s="30"/>
    </row>
    <row r="33" ht="15.75" customHeight="1">
      <c r="A33" s="31">
        <v>6.0</v>
      </c>
      <c r="B33" s="28"/>
      <c r="C33" s="30"/>
      <c r="D33" s="28"/>
      <c r="E33" s="30"/>
      <c r="F33" s="28"/>
      <c r="G33" s="29"/>
      <c r="H33" s="30"/>
    </row>
    <row r="34" ht="15.75" customHeight="1">
      <c r="A34" s="31">
        <v>7.0</v>
      </c>
      <c r="B34" s="28"/>
      <c r="C34" s="30"/>
      <c r="D34" s="28"/>
      <c r="E34" s="30"/>
      <c r="F34" s="28"/>
      <c r="G34" s="29"/>
      <c r="H34" s="30"/>
    </row>
    <row r="35" ht="15.75" customHeight="1"/>
    <row r="36" ht="15.75" customHeight="1">
      <c r="A36" s="60" t="s">
        <v>165</v>
      </c>
    </row>
    <row r="37" ht="15.75" customHeight="1">
      <c r="A37" s="5"/>
      <c r="B37" s="5"/>
      <c r="C37" s="5"/>
      <c r="D37" s="5"/>
      <c r="E37" s="5"/>
      <c r="F37" s="5"/>
      <c r="G37" s="5"/>
      <c r="H37" s="5"/>
    </row>
    <row r="38" ht="15.75" customHeight="1">
      <c r="A38" s="61" t="s">
        <v>166</v>
      </c>
      <c r="B38" s="61" t="s">
        <v>167</v>
      </c>
      <c r="C38" s="65" t="s">
        <v>168</v>
      </c>
      <c r="D38" s="66" t="s">
        <v>108</v>
      </c>
      <c r="E38" s="29"/>
      <c r="F38" s="29"/>
      <c r="G38" s="29"/>
      <c r="H38" s="30"/>
    </row>
    <row r="39" ht="15.75" customHeight="1">
      <c r="A39" s="31" t="s">
        <v>169</v>
      </c>
      <c r="B39" s="31" t="s">
        <v>170</v>
      </c>
      <c r="C39" s="31"/>
      <c r="D39" s="40">
        <v>15.0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31"/>
      <c r="D41" s="28"/>
      <c r="E41" s="29"/>
      <c r="F41" s="29"/>
      <c r="G41" s="29"/>
      <c r="H41" s="30"/>
    </row>
    <row r="42" ht="15.75" customHeight="1">
      <c r="A42" s="31" t="s">
        <v>175</v>
      </c>
      <c r="B42" s="31" t="s">
        <v>170</v>
      </c>
      <c r="C42" s="31"/>
      <c r="D42" s="40">
        <v>30.0</v>
      </c>
      <c r="E42" s="29"/>
      <c r="F42" s="29"/>
      <c r="G42" s="29"/>
      <c r="H42" s="30"/>
    </row>
    <row r="43" ht="15.75" customHeight="1"/>
    <row r="44" ht="15.75" customHeight="1">
      <c r="A44" s="50" t="s">
        <v>176</v>
      </c>
      <c r="G44" s="43" t="s">
        <v>108</v>
      </c>
      <c r="H44" s="59">
        <v>45.0</v>
      </c>
    </row>
    <row r="45" ht="15.75" customHeight="1">
      <c r="G45" s="35" t="s">
        <v>177</v>
      </c>
    </row>
    <row r="46" ht="15.75" customHeight="1">
      <c r="A46" s="35" t="s">
        <v>178</v>
      </c>
    </row>
    <row r="47" ht="15.75" customHeight="1">
      <c r="A47" s="39" t="s">
        <v>179</v>
      </c>
      <c r="B47" s="40" t="s">
        <v>62</v>
      </c>
      <c r="C47" s="29"/>
      <c r="D47" s="29"/>
      <c r="E47" s="29"/>
      <c r="F47" s="29"/>
      <c r="G47" s="29"/>
      <c r="H47" s="30"/>
    </row>
    <row r="48" ht="15.75" customHeight="1">
      <c r="A48" s="39" t="s">
        <v>180</v>
      </c>
      <c r="B48" s="40" t="s">
        <v>181</v>
      </c>
      <c r="C48" s="29"/>
      <c r="D48" s="29"/>
      <c r="E48" s="29"/>
      <c r="F48" s="29"/>
      <c r="G48" s="29"/>
      <c r="H48" s="30"/>
    </row>
    <row r="49" ht="15.75" customHeight="1">
      <c r="A49" s="39" t="s">
        <v>148</v>
      </c>
      <c r="B49" s="67">
        <v>0.0</v>
      </c>
      <c r="C49" s="29"/>
      <c r="D49" s="29"/>
      <c r="E49" s="29"/>
      <c r="F49" s="29"/>
      <c r="G49" s="29"/>
      <c r="H49" s="30"/>
    </row>
    <row r="50" ht="15.75" customHeight="1">
      <c r="A50" s="39" t="s">
        <v>108</v>
      </c>
      <c r="B50" s="28">
        <v>0.0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201</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28"/>
      <c r="C58" s="29"/>
      <c r="D58" s="29"/>
      <c r="E58" s="29"/>
      <c r="F58" s="29"/>
      <c r="G58" s="29"/>
      <c r="H58" s="30"/>
    </row>
    <row r="59" ht="15.75" customHeight="1">
      <c r="A59" s="39" t="s">
        <v>180</v>
      </c>
      <c r="B59" s="28"/>
      <c r="C59" s="29"/>
      <c r="D59" s="29"/>
      <c r="E59" s="29"/>
      <c r="F59" s="29"/>
      <c r="G59" s="29"/>
      <c r="H59" s="30"/>
    </row>
    <row r="60" ht="15.75" customHeight="1">
      <c r="A60" s="39" t="s">
        <v>148</v>
      </c>
      <c r="B60" s="67"/>
      <c r="C60" s="29"/>
      <c r="D60" s="29"/>
      <c r="E60" s="29"/>
      <c r="F60" s="29"/>
      <c r="G60" s="29"/>
      <c r="H60" s="30"/>
    </row>
    <row r="61" ht="15.75" customHeight="1">
      <c r="A61" s="39" t="s">
        <v>108</v>
      </c>
      <c r="B61" s="67"/>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73"/>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row r="68" ht="15.75" customHeight="1">
      <c r="A68" s="50" t="s">
        <v>189</v>
      </c>
      <c r="G68" s="43" t="s">
        <v>108</v>
      </c>
      <c r="H68" s="59">
        <v>5.0</v>
      </c>
    </row>
    <row r="69" ht="15.75" customHeight="1">
      <c r="G69" s="35" t="s">
        <v>190</v>
      </c>
    </row>
    <row r="70" ht="15.75" customHeight="1">
      <c r="A70" s="39" t="s">
        <v>108</v>
      </c>
      <c r="B70" s="70">
        <v>5.0</v>
      </c>
      <c r="C70" s="29"/>
      <c r="D70" s="29"/>
      <c r="E70" s="29"/>
      <c r="F70" s="29"/>
      <c r="G70" s="29"/>
      <c r="H70" s="30"/>
    </row>
    <row r="71" ht="15.75" customHeight="1">
      <c r="A71" s="66" t="s">
        <v>191</v>
      </c>
      <c r="B71" s="29"/>
      <c r="C71" s="29"/>
      <c r="D71" s="29"/>
      <c r="E71" s="29"/>
      <c r="F71" s="29"/>
      <c r="G71" s="29"/>
      <c r="H71" s="30"/>
    </row>
    <row r="72" ht="15.75" customHeight="1">
      <c r="A72" s="53" t="s">
        <v>195</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9.0</v>
      </c>
      <c r="D5" s="29"/>
      <c r="E5" s="29"/>
      <c r="F5" s="29"/>
      <c r="G5" s="30"/>
    </row>
    <row r="6" ht="15.75" customHeight="1">
      <c r="B6" s="49" t="s">
        <v>106</v>
      </c>
      <c r="C6" s="28">
        <f>H10+H21+H44+H68</f>
        <v>105</v>
      </c>
      <c r="D6" s="29"/>
      <c r="E6" s="29"/>
      <c r="F6" s="29"/>
      <c r="G6" s="30"/>
      <c r="I6" s="5"/>
    </row>
    <row r="7" ht="15.75" customHeight="1">
      <c r="B7" s="49" t="s">
        <v>148</v>
      </c>
      <c r="C7" s="28">
        <f>B49+B60</f>
        <v>0</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9">
        <v>5.0</v>
      </c>
    </row>
    <row r="11" ht="15.75" customHeight="1">
      <c r="G11" s="35" t="s">
        <v>151</v>
      </c>
    </row>
    <row r="12" ht="15.75" customHeight="1">
      <c r="A12" s="39" t="s">
        <v>152</v>
      </c>
      <c r="B12" s="40" t="s">
        <v>153</v>
      </c>
      <c r="C12" s="29"/>
      <c r="D12" s="29"/>
      <c r="E12" s="29"/>
      <c r="F12" s="29"/>
      <c r="G12" s="29"/>
      <c r="H12" s="30"/>
    </row>
    <row r="13" ht="15.75" customHeight="1">
      <c r="A13" s="41" t="s">
        <v>108</v>
      </c>
      <c r="B13" s="28"/>
      <c r="C13" s="29"/>
      <c r="D13" s="29"/>
      <c r="E13" s="29"/>
      <c r="F13" s="29"/>
      <c r="G13" s="29"/>
      <c r="H13" s="30"/>
    </row>
    <row r="14" ht="15.75" customHeight="1">
      <c r="A14" s="52" t="s">
        <v>154</v>
      </c>
      <c r="B14" s="29"/>
      <c r="C14" s="29"/>
      <c r="D14" s="29"/>
      <c r="E14" s="29"/>
      <c r="F14" s="29"/>
      <c r="G14" s="29"/>
      <c r="H14" s="30"/>
    </row>
    <row r="15" ht="15.75" customHeight="1">
      <c r="A15" s="53" t="s">
        <v>155</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50.0</v>
      </c>
      <c r="I21" s="5"/>
    </row>
    <row r="22" ht="15.75" customHeight="1">
      <c r="G22" s="35" t="s">
        <v>159</v>
      </c>
    </row>
    <row r="23" ht="15.75" customHeight="1">
      <c r="A23" s="39" t="s">
        <v>160</v>
      </c>
      <c r="B23" s="40" t="s">
        <v>62</v>
      </c>
      <c r="C23" s="29"/>
      <c r="D23" s="29"/>
      <c r="E23" s="29"/>
      <c r="F23" s="29"/>
      <c r="G23" s="29"/>
      <c r="H23" s="30"/>
    </row>
    <row r="24" ht="15.75" customHeight="1">
      <c r="A24" s="39" t="s">
        <v>160</v>
      </c>
      <c r="B24" s="40" t="s">
        <v>90</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28" t="str">
        <f>IFERROR(__xludf.DUMMYFUNCTION("FILTER('Diseño'!D:D,'Diseño'!H:H=$C$5)"),"Unidad 2: Arquitectura de Microservicios, Cloud y Orquestación")</f>
        <v>Unidad 2: Arquitectura de Microservicios, Cloud y Orquestación</v>
      </c>
      <c r="C28" s="30"/>
      <c r="D28" s="28" t="str">
        <f>IFERROR(__xludf.DUMMYFUNCTION("FILTER('Diseño'!E:E,'Diseño'!H:H=$C$5)"),"Kubernetes Avanzado y Orquestación de Contenedores
")</f>
        <v>Kubernetes Avanzado y Orquestación de Contenedores
</v>
      </c>
      <c r="E28" s="30"/>
      <c r="F28" s="28" t="str">
        <f>IFERROR(__xludf.DUMMYFUNCTION("FILTER('Diseño'!F:F,'Diseño'!H:H=$C$5)"),"Helm: gestor de paquetes para Kubernetes")</f>
        <v>Helm: gestor de paquetes para Kubernetes</v>
      </c>
      <c r="G28" s="29"/>
      <c r="H28" s="30"/>
    </row>
    <row r="29" ht="15.75" customHeight="1">
      <c r="A29" s="31">
        <v>2.0</v>
      </c>
      <c r="B29" s="28" t="str">
        <f>IFERROR(__xludf.DUMMYFUNCTION("""COMPUTED_VALUE"""),"Unidad 2: Arquitectura de Microservicios, Cloud y Orquestación")</f>
        <v>Unidad 2: Arquitectura de Microservicios, Cloud y Orquestación</v>
      </c>
      <c r="C29" s="30"/>
      <c r="D29" s="28" t="str">
        <f>IFERROR(__xludf.DUMMYFUNCTION("""COMPUTED_VALUE"""),"Kubernetes Avanzado y Orquestación de Contenedores
")</f>
        <v>Kubernetes Avanzado y Orquestación de Contenedores
</v>
      </c>
      <c r="E29" s="30"/>
      <c r="F29" s="28" t="str">
        <f>IFERROR(__xludf.DUMMYFUNCTION("""COMPUTED_VALUE"""),"Monitoreo y logging en Kubernetes (Grafana)")</f>
        <v>Monitoreo y logging en Kubernetes (Grafana)</v>
      </c>
      <c r="G29" s="29"/>
      <c r="H29" s="30"/>
    </row>
    <row r="30" ht="15.75" customHeight="1">
      <c r="A30" s="31">
        <v>3.0</v>
      </c>
      <c r="B30" s="28"/>
      <c r="C30" s="30"/>
      <c r="D30" s="28"/>
      <c r="E30" s="30"/>
      <c r="F30" s="28"/>
      <c r="G30" s="29"/>
      <c r="H30" s="30"/>
    </row>
    <row r="31" ht="15.75" customHeight="1">
      <c r="A31" s="31">
        <v>4.0</v>
      </c>
      <c r="B31" s="28"/>
      <c r="C31" s="30"/>
      <c r="D31" s="28"/>
      <c r="E31" s="30"/>
      <c r="F31" s="28"/>
      <c r="G31" s="29"/>
      <c r="H31" s="30"/>
    </row>
    <row r="32" ht="15.75" customHeight="1">
      <c r="A32" s="31">
        <v>5.0</v>
      </c>
      <c r="B32" s="28"/>
      <c r="C32" s="30"/>
      <c r="D32" s="28"/>
      <c r="E32" s="30"/>
      <c r="F32" s="28"/>
      <c r="G32" s="29"/>
      <c r="H32" s="30"/>
    </row>
    <row r="33" ht="15.75" customHeight="1">
      <c r="A33" s="31">
        <v>6.0</v>
      </c>
      <c r="B33" s="28"/>
      <c r="C33" s="30"/>
      <c r="D33" s="28"/>
      <c r="E33" s="30"/>
      <c r="F33" s="28"/>
      <c r="G33" s="29"/>
      <c r="H33" s="30"/>
    </row>
    <row r="34" ht="15.75" customHeight="1">
      <c r="A34" s="31">
        <v>7.0</v>
      </c>
      <c r="B34" s="28"/>
      <c r="C34" s="30"/>
      <c r="D34" s="28"/>
      <c r="E34" s="30"/>
      <c r="F34" s="28"/>
      <c r="G34" s="29"/>
      <c r="H34" s="30"/>
    </row>
    <row r="35" ht="15.75" customHeight="1"/>
    <row r="36" ht="15.75" customHeight="1">
      <c r="A36" s="60" t="s">
        <v>165</v>
      </c>
    </row>
    <row r="37" ht="15.75" customHeight="1">
      <c r="A37" s="5"/>
      <c r="B37" s="5"/>
      <c r="C37" s="5"/>
      <c r="D37" s="5"/>
      <c r="E37" s="5"/>
      <c r="F37" s="5"/>
      <c r="G37" s="5"/>
      <c r="H37" s="5"/>
    </row>
    <row r="38" ht="15.75" customHeight="1">
      <c r="A38" s="61" t="s">
        <v>166</v>
      </c>
      <c r="B38" s="61" t="s">
        <v>167</v>
      </c>
      <c r="C38" s="65" t="s">
        <v>168</v>
      </c>
      <c r="D38" s="66" t="s">
        <v>108</v>
      </c>
      <c r="E38" s="29"/>
      <c r="F38" s="29"/>
      <c r="G38" s="29"/>
      <c r="H38" s="30"/>
    </row>
    <row r="39" ht="15.75" customHeight="1">
      <c r="A39" s="31" t="s">
        <v>169</v>
      </c>
      <c r="B39" s="31" t="s">
        <v>170</v>
      </c>
      <c r="C39" s="31"/>
      <c r="D39" s="40">
        <v>15.0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31"/>
      <c r="D41" s="28"/>
      <c r="E41" s="29"/>
      <c r="F41" s="29"/>
      <c r="G41" s="29"/>
      <c r="H41" s="30"/>
    </row>
    <row r="42" ht="15.75" customHeight="1">
      <c r="A42" s="31" t="s">
        <v>175</v>
      </c>
      <c r="B42" s="31" t="s">
        <v>170</v>
      </c>
      <c r="C42" s="31"/>
      <c r="D42" s="40">
        <v>30.0</v>
      </c>
      <c r="E42" s="29"/>
      <c r="F42" s="29"/>
      <c r="G42" s="29"/>
      <c r="H42" s="30"/>
    </row>
    <row r="43" ht="15.75" customHeight="1"/>
    <row r="44" ht="15.75" customHeight="1">
      <c r="A44" s="50" t="s">
        <v>176</v>
      </c>
      <c r="G44" s="43" t="s">
        <v>108</v>
      </c>
      <c r="H44" s="59">
        <v>45.0</v>
      </c>
    </row>
    <row r="45" ht="15.75" customHeight="1">
      <c r="G45" s="35" t="s">
        <v>177</v>
      </c>
    </row>
    <row r="46" ht="15.75" customHeight="1">
      <c r="A46" s="35" t="s">
        <v>178</v>
      </c>
    </row>
    <row r="47" ht="15.75" customHeight="1">
      <c r="A47" s="39" t="s">
        <v>179</v>
      </c>
      <c r="B47" s="40" t="s">
        <v>90</v>
      </c>
      <c r="C47" s="29"/>
      <c r="D47" s="29"/>
      <c r="E47" s="29"/>
      <c r="F47" s="29"/>
      <c r="G47" s="29"/>
      <c r="H47" s="30"/>
    </row>
    <row r="48" ht="15.75" customHeight="1">
      <c r="A48" s="39" t="s">
        <v>180</v>
      </c>
      <c r="B48" s="40" t="s">
        <v>186</v>
      </c>
      <c r="C48" s="29"/>
      <c r="D48" s="29"/>
      <c r="E48" s="29"/>
      <c r="F48" s="29"/>
      <c r="G48" s="29"/>
      <c r="H48" s="30"/>
    </row>
    <row r="49" ht="15.75" customHeight="1">
      <c r="A49" s="39" t="s">
        <v>148</v>
      </c>
      <c r="B49" s="67">
        <v>0.0</v>
      </c>
      <c r="C49" s="29"/>
      <c r="D49" s="29"/>
      <c r="E49" s="29"/>
      <c r="F49" s="29"/>
      <c r="G49" s="29"/>
      <c r="H49" s="30"/>
    </row>
    <row r="50" ht="15.75" customHeight="1">
      <c r="A50" s="39" t="s">
        <v>108</v>
      </c>
      <c r="B50" s="28">
        <v>0.0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202</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28"/>
      <c r="C58" s="29"/>
      <c r="D58" s="29"/>
      <c r="E58" s="29"/>
      <c r="F58" s="29"/>
      <c r="G58" s="29"/>
      <c r="H58" s="30"/>
    </row>
    <row r="59" ht="15.75" customHeight="1">
      <c r="A59" s="39" t="s">
        <v>180</v>
      </c>
      <c r="B59" s="28"/>
      <c r="C59" s="29"/>
      <c r="D59" s="29"/>
      <c r="E59" s="29"/>
      <c r="F59" s="29"/>
      <c r="G59" s="29"/>
      <c r="H59" s="30"/>
    </row>
    <row r="60" ht="15.75" customHeight="1">
      <c r="A60" s="39" t="s">
        <v>148</v>
      </c>
      <c r="B60" s="67"/>
      <c r="C60" s="29"/>
      <c r="D60" s="29"/>
      <c r="E60" s="29"/>
      <c r="F60" s="29"/>
      <c r="G60" s="29"/>
      <c r="H60" s="30"/>
    </row>
    <row r="61" ht="15.75" customHeight="1">
      <c r="A61" s="39" t="s">
        <v>108</v>
      </c>
      <c r="B61" s="67"/>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73"/>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row r="68" ht="15.75" customHeight="1">
      <c r="A68" s="50" t="s">
        <v>189</v>
      </c>
      <c r="G68" s="43" t="s">
        <v>108</v>
      </c>
      <c r="H68" s="59">
        <v>5.0</v>
      </c>
    </row>
    <row r="69" ht="15.75" customHeight="1">
      <c r="G69" s="35" t="s">
        <v>190</v>
      </c>
    </row>
    <row r="70" ht="15.75" customHeight="1">
      <c r="A70" s="39" t="s">
        <v>108</v>
      </c>
      <c r="B70" s="70">
        <v>5.0</v>
      </c>
      <c r="C70" s="29"/>
      <c r="D70" s="29"/>
      <c r="E70" s="29"/>
      <c r="F70" s="29"/>
      <c r="G70" s="29"/>
      <c r="H70" s="30"/>
    </row>
    <row r="71" ht="15.75" customHeight="1">
      <c r="A71" s="66" t="s">
        <v>191</v>
      </c>
      <c r="B71" s="29"/>
      <c r="C71" s="29"/>
      <c r="D71" s="29"/>
      <c r="E71" s="29"/>
      <c r="F71" s="29"/>
      <c r="G71" s="29"/>
      <c r="H71" s="30"/>
    </row>
    <row r="72" ht="15.75" customHeight="1">
      <c r="A72" s="53" t="s">
        <v>195</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10.0</v>
      </c>
      <c r="D5" s="29"/>
      <c r="E5" s="29"/>
      <c r="F5" s="29"/>
      <c r="G5" s="30"/>
    </row>
    <row r="6" ht="15.75" customHeight="1">
      <c r="B6" s="49" t="s">
        <v>106</v>
      </c>
      <c r="C6" s="28">
        <f>H10+H21+H44+H68</f>
        <v>105</v>
      </c>
      <c r="D6" s="29"/>
      <c r="E6" s="29"/>
      <c r="F6" s="29"/>
      <c r="G6" s="30"/>
      <c r="I6" s="5"/>
    </row>
    <row r="7" ht="15.75" customHeight="1">
      <c r="B7" s="49" t="s">
        <v>148</v>
      </c>
      <c r="C7" s="28">
        <f>B49+B60</f>
        <v>0</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9">
        <v>5.0</v>
      </c>
    </row>
    <row r="11" ht="15.75" customHeight="1">
      <c r="G11" s="35" t="s">
        <v>151</v>
      </c>
    </row>
    <row r="12" ht="15.75" customHeight="1">
      <c r="A12" s="39" t="s">
        <v>152</v>
      </c>
      <c r="B12" s="40" t="s">
        <v>203</v>
      </c>
      <c r="C12" s="29"/>
      <c r="D12" s="29"/>
      <c r="E12" s="29"/>
      <c r="F12" s="29"/>
      <c r="G12" s="29"/>
      <c r="H12" s="30"/>
    </row>
    <row r="13" ht="15.75" customHeight="1">
      <c r="A13" s="41" t="s">
        <v>108</v>
      </c>
      <c r="B13" s="40">
        <v>5.0</v>
      </c>
      <c r="C13" s="29"/>
      <c r="D13" s="29"/>
      <c r="E13" s="29"/>
      <c r="F13" s="29"/>
      <c r="G13" s="29"/>
      <c r="H13" s="30"/>
    </row>
    <row r="14" ht="15.75" customHeight="1">
      <c r="A14" s="52" t="s">
        <v>154</v>
      </c>
      <c r="B14" s="29"/>
      <c r="C14" s="29"/>
      <c r="D14" s="29"/>
      <c r="E14" s="29"/>
      <c r="F14" s="29"/>
      <c r="G14" s="29"/>
      <c r="H14" s="30"/>
    </row>
    <row r="15" ht="15.75" customHeight="1">
      <c r="A15" s="53" t="s">
        <v>204</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45.0</v>
      </c>
      <c r="I21" s="5"/>
    </row>
    <row r="22" ht="15.75" customHeight="1">
      <c r="G22" s="35" t="s">
        <v>159</v>
      </c>
    </row>
    <row r="23" ht="15.75" customHeight="1">
      <c r="A23" s="39" t="s">
        <v>160</v>
      </c>
      <c r="B23" s="40" t="s">
        <v>62</v>
      </c>
      <c r="C23" s="29"/>
      <c r="D23" s="29"/>
      <c r="E23" s="29"/>
      <c r="F23" s="29"/>
      <c r="G23" s="29"/>
      <c r="H23" s="30"/>
    </row>
    <row r="24" ht="15.75" customHeight="1">
      <c r="A24" s="39" t="s">
        <v>160</v>
      </c>
      <c r="B24" s="40" t="s">
        <v>90</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28" t="str">
        <f>IFERROR(__xludf.DUMMYFUNCTION("FILTER('Diseño'!D:D,'Diseño'!H:H=$C$5)"),"Unidad 2: Arquitectura de Microservicios, Cloud y Orquestación")</f>
        <v>Unidad 2: Arquitectura de Microservicios, Cloud y Orquestación</v>
      </c>
      <c r="C28" s="30"/>
      <c r="D28" s="28" t="str">
        <f>IFERROR(__xludf.DUMMYFUNCTION("FILTER('Diseño'!E:E,'Diseño'!H:H=$C$5)"),"Kubernetes Avanzado y Orquestación de Contenedores
")</f>
        <v>Kubernetes Avanzado y Orquestación de Contenedores
</v>
      </c>
      <c r="E28" s="30"/>
      <c r="F28" s="28" t="str">
        <f>IFERROR(__xludf.DUMMYFUNCTION("FILTER('Diseño'!F:F,'Diseño'!H:H=$C$5)"),"Autoscaling en Kubernetes: HPA y VPA")</f>
        <v>Autoscaling en Kubernetes: HPA y VPA</v>
      </c>
      <c r="G28" s="29"/>
      <c r="H28" s="30"/>
    </row>
    <row r="29" ht="15.75" customHeight="1">
      <c r="A29" s="31">
        <v>2.0</v>
      </c>
      <c r="B29" s="28" t="str">
        <f>IFERROR(__xludf.DUMMYFUNCTION("""COMPUTED_VALUE"""),"Unidad 2: Arquitectura de Microservicios, Cloud y Orquestación")</f>
        <v>Unidad 2: Arquitectura de Microservicios, Cloud y Orquestación</v>
      </c>
      <c r="C29" s="30"/>
      <c r="D29" s="28" t="str">
        <f>IFERROR(__xludf.DUMMYFUNCTION("""COMPUTED_VALUE"""),"Sistemas Distribuidos y Tendencias Futuras")</f>
        <v>Sistemas Distribuidos y Tendencias Futuras</v>
      </c>
      <c r="E29" s="30"/>
      <c r="F29" s="28" t="str">
        <f>IFERROR(__xludf.DUMMYFUNCTION("""COMPUTED_VALUE"""),"Introducción a Cloud Native")</f>
        <v>Introducción a Cloud Native</v>
      </c>
      <c r="G29" s="29"/>
      <c r="H29" s="30"/>
    </row>
    <row r="30" ht="15.75" customHeight="1">
      <c r="A30" s="31">
        <v>3.0</v>
      </c>
      <c r="B30" s="28" t="str">
        <f>IFERROR(__xludf.DUMMYFUNCTION("""COMPUTED_VALUE"""),"Unidad 2: Arquitectura de Microservicios, Cloud y Orquestación")</f>
        <v>Unidad 2: Arquitectura de Microservicios, Cloud y Orquestación</v>
      </c>
      <c r="C30" s="30"/>
      <c r="D30" s="28" t="str">
        <f>IFERROR(__xludf.DUMMYFUNCTION("""COMPUTED_VALUE"""),"Sistemas Distribuidos y Tendencias Futuras")</f>
        <v>Sistemas Distribuidos y Tendencias Futuras</v>
      </c>
      <c r="E30" s="30"/>
      <c r="F30" s="28" t="str">
        <f>IFERROR(__xludf.DUMMYFUNCTION("""COMPUTED_VALUE"""),"Tendencias sistemas operativos")</f>
        <v>Tendencias sistemas operativos</v>
      </c>
      <c r="G30" s="29"/>
      <c r="H30" s="30"/>
    </row>
    <row r="31" ht="15.75" customHeight="1">
      <c r="A31" s="31">
        <v>4.0</v>
      </c>
      <c r="B31" s="28"/>
      <c r="C31" s="30"/>
      <c r="D31" s="28"/>
      <c r="E31" s="30"/>
      <c r="F31" s="28"/>
      <c r="G31" s="29"/>
      <c r="H31" s="30"/>
    </row>
    <row r="32" ht="15.75" customHeight="1">
      <c r="A32" s="31">
        <v>5.0</v>
      </c>
      <c r="B32" s="28"/>
      <c r="C32" s="30"/>
      <c r="D32" s="28"/>
      <c r="E32" s="30"/>
      <c r="F32" s="28"/>
      <c r="G32" s="29"/>
      <c r="H32" s="30"/>
    </row>
    <row r="33" ht="15.75" customHeight="1">
      <c r="A33" s="31">
        <v>6.0</v>
      </c>
      <c r="B33" s="28"/>
      <c r="C33" s="30"/>
      <c r="D33" s="28"/>
      <c r="E33" s="30"/>
      <c r="F33" s="28"/>
      <c r="G33" s="29"/>
      <c r="H33" s="30"/>
    </row>
    <row r="34" ht="15.75" customHeight="1">
      <c r="A34" s="31">
        <v>7.0</v>
      </c>
      <c r="B34" s="28"/>
      <c r="C34" s="30"/>
      <c r="D34" s="28"/>
      <c r="E34" s="30"/>
      <c r="F34" s="28"/>
      <c r="G34" s="29"/>
      <c r="H34" s="30"/>
    </row>
    <row r="35" ht="15.75" customHeight="1"/>
    <row r="36" ht="15.75" customHeight="1">
      <c r="A36" s="60" t="s">
        <v>165</v>
      </c>
    </row>
    <row r="37" ht="15.75" customHeight="1">
      <c r="A37" s="5"/>
      <c r="B37" s="5"/>
      <c r="C37" s="5"/>
      <c r="D37" s="5"/>
      <c r="E37" s="5"/>
      <c r="F37" s="5"/>
      <c r="G37" s="5"/>
      <c r="H37" s="5"/>
    </row>
    <row r="38" ht="15.75" customHeight="1">
      <c r="A38" s="61" t="s">
        <v>166</v>
      </c>
      <c r="B38" s="61" t="s">
        <v>167</v>
      </c>
      <c r="C38" s="65" t="s">
        <v>168</v>
      </c>
      <c r="D38" s="66" t="s">
        <v>108</v>
      </c>
      <c r="E38" s="29"/>
      <c r="F38" s="29"/>
      <c r="G38" s="29"/>
      <c r="H38" s="30"/>
    </row>
    <row r="39" ht="15.75" customHeight="1">
      <c r="A39" s="31" t="s">
        <v>169</v>
      </c>
      <c r="B39" s="31" t="s">
        <v>170</v>
      </c>
      <c r="C39" s="31"/>
      <c r="D39" s="40">
        <v>35.0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31"/>
      <c r="D41" s="28"/>
      <c r="E41" s="29"/>
      <c r="F41" s="29"/>
      <c r="G41" s="29"/>
      <c r="H41" s="30"/>
    </row>
    <row r="42" ht="15.75" customHeight="1">
      <c r="A42" s="31" t="s">
        <v>175</v>
      </c>
      <c r="B42" s="31" t="s">
        <v>170</v>
      </c>
      <c r="C42" s="31"/>
      <c r="D42" s="40">
        <v>60.0</v>
      </c>
      <c r="E42" s="29"/>
      <c r="F42" s="29"/>
      <c r="G42" s="29"/>
      <c r="H42" s="30"/>
    </row>
    <row r="43" ht="15.75" customHeight="1"/>
    <row r="44" ht="15.75" customHeight="1">
      <c r="A44" s="50" t="s">
        <v>176</v>
      </c>
      <c r="G44" s="43" t="s">
        <v>108</v>
      </c>
      <c r="H44" s="59">
        <v>50.0</v>
      </c>
    </row>
    <row r="45" ht="15.75" customHeight="1">
      <c r="G45" s="35" t="s">
        <v>177</v>
      </c>
    </row>
    <row r="46" ht="15.75" customHeight="1">
      <c r="A46" s="35" t="s">
        <v>178</v>
      </c>
    </row>
    <row r="47" ht="15.75" customHeight="1">
      <c r="A47" s="39" t="s">
        <v>179</v>
      </c>
      <c r="B47" s="40" t="s">
        <v>62</v>
      </c>
      <c r="C47" s="29"/>
      <c r="D47" s="29"/>
      <c r="E47" s="29"/>
      <c r="F47" s="29"/>
      <c r="G47" s="29"/>
      <c r="H47" s="30"/>
    </row>
    <row r="48" ht="15.75" customHeight="1">
      <c r="A48" s="39" t="s">
        <v>180</v>
      </c>
      <c r="B48" s="40" t="s">
        <v>186</v>
      </c>
      <c r="C48" s="29"/>
      <c r="D48" s="29"/>
      <c r="E48" s="29"/>
      <c r="F48" s="29"/>
      <c r="G48" s="29"/>
      <c r="H48" s="30"/>
    </row>
    <row r="49" ht="15.75" customHeight="1">
      <c r="A49" s="39" t="s">
        <v>148</v>
      </c>
      <c r="B49" s="67">
        <v>0.0</v>
      </c>
      <c r="C49" s="29"/>
      <c r="D49" s="29"/>
      <c r="E49" s="29"/>
      <c r="F49" s="29"/>
      <c r="G49" s="29"/>
      <c r="H49" s="30"/>
    </row>
    <row r="50" ht="15.75" customHeight="1">
      <c r="A50" s="39" t="s">
        <v>108</v>
      </c>
      <c r="B50" s="28">
        <v>0.0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205</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28"/>
      <c r="C58" s="29"/>
      <c r="D58" s="29"/>
      <c r="E58" s="29"/>
      <c r="F58" s="29"/>
      <c r="G58" s="29"/>
      <c r="H58" s="30"/>
    </row>
    <row r="59" ht="15.75" customHeight="1">
      <c r="A59" s="39" t="s">
        <v>180</v>
      </c>
      <c r="B59" s="28"/>
      <c r="C59" s="29"/>
      <c r="D59" s="29"/>
      <c r="E59" s="29"/>
      <c r="F59" s="29"/>
      <c r="G59" s="29"/>
      <c r="H59" s="30"/>
    </row>
    <row r="60" ht="15.75" customHeight="1">
      <c r="A60" s="39" t="s">
        <v>148</v>
      </c>
      <c r="B60" s="67"/>
      <c r="C60" s="29"/>
      <c r="D60" s="29"/>
      <c r="E60" s="29"/>
      <c r="F60" s="29"/>
      <c r="G60" s="29"/>
      <c r="H60" s="30"/>
    </row>
    <row r="61" ht="15.75" customHeight="1">
      <c r="A61" s="39" t="s">
        <v>108</v>
      </c>
      <c r="B61" s="67"/>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73"/>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c r="H67" s="75"/>
    </row>
    <row r="68" ht="15.75" customHeight="1">
      <c r="A68" s="50" t="s">
        <v>189</v>
      </c>
      <c r="G68" s="43" t="s">
        <v>108</v>
      </c>
      <c r="H68" s="59">
        <v>5.0</v>
      </c>
    </row>
    <row r="69" ht="15.75" customHeight="1">
      <c r="G69" s="35" t="s">
        <v>190</v>
      </c>
    </row>
    <row r="70" ht="15.75" customHeight="1">
      <c r="A70" s="39" t="s">
        <v>108</v>
      </c>
      <c r="B70" s="70">
        <v>5.0</v>
      </c>
      <c r="C70" s="29"/>
      <c r="D70" s="29"/>
      <c r="E70" s="29"/>
      <c r="F70" s="29"/>
      <c r="G70" s="29"/>
      <c r="H70" s="30"/>
    </row>
    <row r="71" ht="15.75" customHeight="1">
      <c r="A71" s="66" t="s">
        <v>191</v>
      </c>
      <c r="B71" s="29"/>
      <c r="C71" s="29"/>
      <c r="D71" s="29"/>
      <c r="E71" s="29"/>
      <c r="F71" s="29"/>
      <c r="G71" s="29"/>
      <c r="H71" s="30"/>
    </row>
    <row r="72" ht="15.75" customHeight="1">
      <c r="A72" s="53" t="s">
        <v>195</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11.0</v>
      </c>
      <c r="D5" s="29"/>
      <c r="E5" s="29"/>
      <c r="F5" s="29"/>
      <c r="G5" s="30"/>
    </row>
    <row r="6" ht="15.75" customHeight="1">
      <c r="B6" s="49" t="s">
        <v>106</v>
      </c>
      <c r="C6" s="28">
        <f>H10+H21+H44+H68</f>
        <v>105</v>
      </c>
      <c r="D6" s="29"/>
      <c r="E6" s="29"/>
      <c r="F6" s="29"/>
      <c r="G6" s="30"/>
      <c r="I6" s="5"/>
    </row>
    <row r="7" ht="15.75" customHeight="1">
      <c r="B7" s="49" t="s">
        <v>148</v>
      </c>
      <c r="C7" s="28">
        <f>B49+B60</f>
        <v>15</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9">
        <v>5.0</v>
      </c>
    </row>
    <row r="11" ht="15.75" customHeight="1">
      <c r="G11" s="35" t="s">
        <v>151</v>
      </c>
    </row>
    <row r="12" ht="15.75" customHeight="1">
      <c r="A12" s="39" t="s">
        <v>152</v>
      </c>
      <c r="B12" s="40" t="s">
        <v>203</v>
      </c>
      <c r="C12" s="29"/>
      <c r="D12" s="29"/>
      <c r="E12" s="29"/>
      <c r="F12" s="29"/>
      <c r="G12" s="29"/>
      <c r="H12" s="30"/>
    </row>
    <row r="13" ht="15.75" customHeight="1">
      <c r="A13" s="41" t="s">
        <v>108</v>
      </c>
      <c r="B13" s="40">
        <v>5.0</v>
      </c>
      <c r="C13" s="29"/>
      <c r="D13" s="29"/>
      <c r="E13" s="29"/>
      <c r="F13" s="29"/>
      <c r="G13" s="29"/>
      <c r="H13" s="30"/>
    </row>
    <row r="14" ht="15.75" customHeight="1">
      <c r="A14" s="52" t="s">
        <v>154</v>
      </c>
      <c r="B14" s="29"/>
      <c r="C14" s="29"/>
      <c r="D14" s="29"/>
      <c r="E14" s="29"/>
      <c r="F14" s="29"/>
      <c r="G14" s="29"/>
      <c r="H14" s="30"/>
    </row>
    <row r="15" ht="15.75" customHeight="1">
      <c r="A15" s="53" t="s">
        <v>204</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50.0</v>
      </c>
      <c r="I21" s="5"/>
    </row>
    <row r="22" ht="15.75" customHeight="1">
      <c r="G22" s="35" t="s">
        <v>159</v>
      </c>
    </row>
    <row r="23" ht="15.75" customHeight="1">
      <c r="A23" s="39" t="s">
        <v>160</v>
      </c>
      <c r="B23" s="40" t="s">
        <v>62</v>
      </c>
      <c r="C23" s="29"/>
      <c r="D23" s="29"/>
      <c r="E23" s="29"/>
      <c r="F23" s="29"/>
      <c r="G23" s="29"/>
      <c r="H23" s="30"/>
    </row>
    <row r="24" ht="15.75" customHeight="1">
      <c r="A24" s="39" t="s">
        <v>160</v>
      </c>
      <c r="B24" s="40" t="s">
        <v>90</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28" t="str">
        <f>IFERROR(__xludf.DUMMYFUNCTION("FILTER('Diseño'!D:D,'Diseño'!H:H=$C$5)"),"Unidad 2: Arquitectura de Microservicios, Cloud y Orquestación")</f>
        <v>Unidad 2: Arquitectura de Microservicios, Cloud y Orquestación</v>
      </c>
      <c r="C28" s="30"/>
      <c r="D28" s="28" t="str">
        <f>IFERROR(__xludf.DUMMYFUNCTION("FILTER('Diseño'!E:E,'Diseño'!H:H=$C$5)"),"Sistemas Distribuidos y Tendencias Futuras")</f>
        <v>Sistemas Distribuidos y Tendencias Futuras</v>
      </c>
      <c r="E28" s="30"/>
      <c r="F28" s="28" t="str">
        <f>IFERROR(__xludf.DUMMYFUNCTION("FILTER('Diseño'!F:F,'Diseño'!H:H=$C$5)"),"Introducción a Cloud Native")</f>
        <v>Introducción a Cloud Native</v>
      </c>
      <c r="G28" s="29"/>
      <c r="H28" s="30"/>
    </row>
    <row r="29" ht="15.75" customHeight="1">
      <c r="A29" s="31">
        <v>2.0</v>
      </c>
      <c r="B29" s="28" t="str">
        <f>IFERROR(__xludf.DUMMYFUNCTION("""COMPUTED_VALUE"""),"Unidad 2: Arquitectura de Microservicios, Cloud y Orquestación")</f>
        <v>Unidad 2: Arquitectura de Microservicios, Cloud y Orquestación</v>
      </c>
      <c r="C29" s="30"/>
      <c r="D29" s="28" t="str">
        <f>IFERROR(__xludf.DUMMYFUNCTION("""COMPUTED_VALUE"""),"Sistemas Distribuidos y Tendencias Futuras")</f>
        <v>Sistemas Distribuidos y Tendencias Futuras</v>
      </c>
      <c r="E29" s="30"/>
      <c r="F29" s="28" t="str">
        <f>IFERROR(__xludf.DUMMYFUNCTION("""COMPUTED_VALUE"""),"Herramientas más populares de Cloud Native")</f>
        <v>Herramientas más populares de Cloud Native</v>
      </c>
      <c r="G29" s="29"/>
      <c r="H29" s="30"/>
    </row>
    <row r="30" ht="15.75" customHeight="1">
      <c r="A30" s="31">
        <v>3.0</v>
      </c>
      <c r="B30" s="28"/>
      <c r="C30" s="30"/>
      <c r="D30" s="28"/>
      <c r="E30" s="30"/>
      <c r="F30" s="28"/>
      <c r="G30" s="29"/>
      <c r="H30" s="30"/>
    </row>
    <row r="31" ht="15.75" customHeight="1">
      <c r="A31" s="31">
        <v>4.0</v>
      </c>
      <c r="B31" s="28"/>
      <c r="C31" s="30"/>
      <c r="D31" s="28"/>
      <c r="E31" s="30"/>
      <c r="F31" s="28"/>
      <c r="G31" s="29"/>
      <c r="H31" s="30"/>
    </row>
    <row r="32" ht="15.75" customHeight="1">
      <c r="A32" s="31">
        <v>5.0</v>
      </c>
      <c r="B32" s="28"/>
      <c r="C32" s="30"/>
      <c r="D32" s="28"/>
      <c r="E32" s="30"/>
      <c r="F32" s="28"/>
      <c r="G32" s="29"/>
      <c r="H32" s="30"/>
    </row>
    <row r="33" ht="15.75" customHeight="1">
      <c r="A33" s="31">
        <v>6.0</v>
      </c>
      <c r="B33" s="28"/>
      <c r="C33" s="30"/>
      <c r="D33" s="28"/>
      <c r="E33" s="30"/>
      <c r="F33" s="28"/>
      <c r="G33" s="29"/>
      <c r="H33" s="30"/>
    </row>
    <row r="34" ht="15.75" customHeight="1">
      <c r="A34" s="31">
        <v>7.0</v>
      </c>
      <c r="B34" s="28"/>
      <c r="C34" s="30"/>
      <c r="D34" s="28"/>
      <c r="E34" s="30"/>
      <c r="F34" s="28"/>
      <c r="G34" s="29"/>
      <c r="H34" s="30"/>
    </row>
    <row r="35" ht="15.75" customHeight="1"/>
    <row r="36" ht="15.75" customHeight="1">
      <c r="A36" s="60" t="s">
        <v>165</v>
      </c>
    </row>
    <row r="37" ht="15.75" customHeight="1">
      <c r="A37" s="5"/>
      <c r="B37" s="5"/>
      <c r="C37" s="5"/>
      <c r="D37" s="5"/>
      <c r="E37" s="5"/>
      <c r="F37" s="5"/>
      <c r="G37" s="5"/>
      <c r="H37" s="5"/>
    </row>
    <row r="38" ht="15.75" customHeight="1">
      <c r="A38" s="61" t="s">
        <v>166</v>
      </c>
      <c r="B38" s="61" t="s">
        <v>167</v>
      </c>
      <c r="C38" s="65" t="s">
        <v>168</v>
      </c>
      <c r="D38" s="66" t="s">
        <v>108</v>
      </c>
      <c r="E38" s="29"/>
      <c r="F38" s="29"/>
      <c r="G38" s="29"/>
      <c r="H38" s="30"/>
    </row>
    <row r="39" ht="15.75" customHeight="1">
      <c r="A39" s="31" t="s">
        <v>169</v>
      </c>
      <c r="B39" s="31" t="s">
        <v>170</v>
      </c>
      <c r="C39" s="31"/>
      <c r="D39" s="40">
        <v>15.0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31"/>
      <c r="D41" s="28"/>
      <c r="E41" s="29"/>
      <c r="F41" s="29"/>
      <c r="G41" s="29"/>
      <c r="H41" s="30"/>
    </row>
    <row r="42" ht="15.75" customHeight="1">
      <c r="A42" s="31" t="s">
        <v>175</v>
      </c>
      <c r="B42" s="31" t="s">
        <v>170</v>
      </c>
      <c r="C42" s="31"/>
      <c r="D42" s="40">
        <v>30.0</v>
      </c>
      <c r="E42" s="29"/>
      <c r="F42" s="29"/>
      <c r="G42" s="29"/>
      <c r="H42" s="30"/>
    </row>
    <row r="43" ht="15.75" customHeight="1"/>
    <row r="44" ht="15.75" customHeight="1">
      <c r="A44" s="50" t="s">
        <v>176</v>
      </c>
      <c r="G44" s="43" t="s">
        <v>108</v>
      </c>
      <c r="H44" s="59">
        <v>45.0</v>
      </c>
    </row>
    <row r="45" ht="15.75" customHeight="1">
      <c r="G45" s="35" t="s">
        <v>177</v>
      </c>
    </row>
    <row r="46" ht="15.75" customHeight="1">
      <c r="A46" s="35" t="s">
        <v>178</v>
      </c>
    </row>
    <row r="47" ht="15.75" customHeight="1">
      <c r="A47" s="39" t="s">
        <v>179</v>
      </c>
      <c r="B47" s="40" t="s">
        <v>90</v>
      </c>
      <c r="C47" s="29"/>
      <c r="D47" s="29"/>
      <c r="E47" s="29"/>
      <c r="F47" s="29"/>
      <c r="G47" s="29"/>
      <c r="H47" s="30"/>
    </row>
    <row r="48" ht="15.75" customHeight="1">
      <c r="A48" s="39" t="s">
        <v>180</v>
      </c>
      <c r="B48" s="40" t="s">
        <v>206</v>
      </c>
      <c r="C48" s="29"/>
      <c r="D48" s="29"/>
      <c r="E48" s="29"/>
      <c r="F48" s="29"/>
      <c r="G48" s="29"/>
      <c r="H48" s="30"/>
    </row>
    <row r="49" ht="15.75" customHeight="1">
      <c r="A49" s="39" t="s">
        <v>148</v>
      </c>
      <c r="B49" s="70">
        <v>15.0</v>
      </c>
      <c r="C49" s="29"/>
      <c r="D49" s="29"/>
      <c r="E49" s="29"/>
      <c r="F49" s="29"/>
      <c r="G49" s="29"/>
      <c r="H49" s="30"/>
    </row>
    <row r="50" ht="15.75" customHeight="1">
      <c r="A50" s="39" t="s">
        <v>108</v>
      </c>
      <c r="B50" s="40">
        <v>2.0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207</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28"/>
      <c r="C58" s="29"/>
      <c r="D58" s="29"/>
      <c r="E58" s="29"/>
      <c r="F58" s="29"/>
      <c r="G58" s="29"/>
      <c r="H58" s="30"/>
    </row>
    <row r="59" ht="15.75" customHeight="1">
      <c r="A59" s="39" t="s">
        <v>180</v>
      </c>
      <c r="B59" s="28"/>
      <c r="C59" s="29"/>
      <c r="D59" s="29"/>
      <c r="E59" s="29"/>
      <c r="F59" s="29"/>
      <c r="G59" s="29"/>
      <c r="H59" s="30"/>
    </row>
    <row r="60" ht="15.75" customHeight="1">
      <c r="A60" s="39" t="s">
        <v>148</v>
      </c>
      <c r="B60" s="67"/>
      <c r="C60" s="29"/>
      <c r="D60" s="29"/>
      <c r="E60" s="29"/>
      <c r="F60" s="29"/>
      <c r="G60" s="29"/>
      <c r="H60" s="30"/>
    </row>
    <row r="61" ht="15.75" customHeight="1">
      <c r="A61" s="39" t="s">
        <v>108</v>
      </c>
      <c r="B61" s="67"/>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73"/>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row r="68" ht="15.75" customHeight="1">
      <c r="A68" s="50" t="s">
        <v>189</v>
      </c>
      <c r="G68" s="43" t="s">
        <v>108</v>
      </c>
      <c r="H68" s="59">
        <v>5.0</v>
      </c>
    </row>
    <row r="69" ht="15.75" customHeight="1">
      <c r="G69" s="35" t="s">
        <v>190</v>
      </c>
    </row>
    <row r="70" ht="15.75" customHeight="1">
      <c r="A70" s="39" t="s">
        <v>108</v>
      </c>
      <c r="B70" s="70">
        <v>5.0</v>
      </c>
      <c r="C70" s="29"/>
      <c r="D70" s="29"/>
      <c r="E70" s="29"/>
      <c r="F70" s="29"/>
      <c r="G70" s="29"/>
      <c r="H70" s="30"/>
    </row>
    <row r="71" ht="15.75" customHeight="1">
      <c r="A71" s="66" t="s">
        <v>191</v>
      </c>
      <c r="B71" s="29"/>
      <c r="C71" s="29"/>
      <c r="D71" s="29"/>
      <c r="E71" s="29"/>
      <c r="F71" s="29"/>
      <c r="G71" s="29"/>
      <c r="H71" s="30"/>
    </row>
    <row r="72" ht="15.75" customHeight="1">
      <c r="A72" s="53" t="s">
        <v>195</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8" t="s">
        <v>208</v>
      </c>
    </row>
    <row r="3" ht="15.75" customHeight="1"/>
    <row r="4" ht="15.75" customHeight="1">
      <c r="B4" s="27" t="s">
        <v>1</v>
      </c>
      <c r="C4" s="28" t="str">
        <f>'Diseño'!C4</f>
        <v>281 - Sistemas Operativos 1</v>
      </c>
      <c r="D4" s="29"/>
      <c r="E4" s="29"/>
      <c r="F4" s="29"/>
      <c r="G4" s="30"/>
    </row>
    <row r="5" ht="15.75" customHeight="1">
      <c r="B5" s="49" t="s">
        <v>106</v>
      </c>
      <c r="C5" s="28">
        <f>H9+H26+H43</f>
        <v>79</v>
      </c>
      <c r="D5" s="29"/>
      <c r="E5" s="29"/>
      <c r="F5" s="29"/>
      <c r="G5" s="30"/>
    </row>
    <row r="6" ht="15.75" customHeight="1">
      <c r="B6" s="49" t="s">
        <v>148</v>
      </c>
      <c r="C6" s="28">
        <f>F9+F26+F43</f>
        <v>80</v>
      </c>
      <c r="D6" s="29"/>
      <c r="E6" s="29"/>
      <c r="F6" s="29"/>
      <c r="G6" s="30"/>
    </row>
    <row r="7" ht="15.75" customHeight="1">
      <c r="B7" s="6" t="s">
        <v>209</v>
      </c>
    </row>
    <row r="8" ht="15.75" customHeight="1"/>
    <row r="9" ht="15.75" customHeight="1">
      <c r="A9" s="50" t="s">
        <v>210</v>
      </c>
      <c r="E9" s="43" t="s">
        <v>148</v>
      </c>
      <c r="F9" s="59">
        <v>15.0</v>
      </c>
      <c r="G9" s="43" t="s">
        <v>211</v>
      </c>
      <c r="H9" s="59">
        <v>20.0</v>
      </c>
    </row>
    <row r="10" ht="15.75" customHeight="1">
      <c r="A10" s="6" t="s">
        <v>170</v>
      </c>
    </row>
    <row r="11" ht="15.75" customHeight="1">
      <c r="A11" s="61" t="s">
        <v>160</v>
      </c>
      <c r="B11" s="40" t="s">
        <v>12</v>
      </c>
      <c r="C11" s="29"/>
      <c r="D11" s="29"/>
      <c r="E11" s="29"/>
      <c r="F11" s="29"/>
      <c r="G11" s="29"/>
      <c r="H11" s="30"/>
    </row>
    <row r="12" ht="15.75" customHeight="1">
      <c r="A12" s="61" t="s">
        <v>160</v>
      </c>
      <c r="B12" s="40" t="s">
        <v>12</v>
      </c>
      <c r="C12" s="29"/>
      <c r="D12" s="29"/>
      <c r="E12" s="29"/>
      <c r="F12" s="29"/>
      <c r="G12" s="29"/>
      <c r="H12" s="30"/>
    </row>
    <row r="13" ht="15.75" customHeight="1">
      <c r="A13" s="61" t="s">
        <v>160</v>
      </c>
      <c r="B13" s="40" t="s">
        <v>12</v>
      </c>
      <c r="C13" s="29"/>
      <c r="D13" s="29"/>
      <c r="E13" s="29"/>
      <c r="F13" s="29"/>
      <c r="G13" s="29"/>
      <c r="H13" s="30"/>
    </row>
    <row r="14" ht="15.75" customHeight="1">
      <c r="A14" s="61" t="s">
        <v>212</v>
      </c>
      <c r="B14" s="40" t="s">
        <v>213</v>
      </c>
      <c r="C14" s="29"/>
      <c r="D14" s="29"/>
      <c r="E14" s="29"/>
      <c r="F14" s="29"/>
      <c r="G14" s="29"/>
      <c r="H14" s="30"/>
    </row>
    <row r="15" ht="15.75" customHeight="1">
      <c r="A15" s="52" t="s">
        <v>214</v>
      </c>
      <c r="B15" s="29"/>
      <c r="C15" s="29"/>
      <c r="D15" s="29"/>
      <c r="E15" s="29"/>
      <c r="F15" s="29"/>
      <c r="G15" s="29"/>
      <c r="H15" s="30"/>
    </row>
    <row r="16" ht="15.75" customHeight="1">
      <c r="A16" s="53" t="s">
        <v>215</v>
      </c>
      <c r="B16" s="54"/>
      <c r="C16" s="54"/>
      <c r="D16" s="54"/>
      <c r="E16" s="54"/>
      <c r="F16" s="54"/>
      <c r="G16" s="54"/>
      <c r="H16" s="55"/>
    </row>
    <row r="17" ht="15.75" customHeight="1">
      <c r="A17" s="68"/>
      <c r="H17" s="69"/>
    </row>
    <row r="18" ht="15.75" customHeight="1">
      <c r="A18" s="56"/>
      <c r="B18" s="57"/>
      <c r="C18" s="57"/>
      <c r="D18" s="57"/>
      <c r="E18" s="57"/>
      <c r="F18" s="57"/>
      <c r="G18" s="57"/>
      <c r="H18" s="58"/>
    </row>
    <row r="19" ht="15.75" customHeight="1">
      <c r="A19" s="52" t="s">
        <v>216</v>
      </c>
      <c r="B19" s="29"/>
      <c r="C19" s="29"/>
      <c r="D19" s="29"/>
      <c r="E19" s="29"/>
      <c r="F19" s="29"/>
      <c r="G19" s="29"/>
      <c r="H19" s="30"/>
    </row>
    <row r="20" ht="15.75" customHeight="1">
      <c r="A20" s="53" t="s">
        <v>217</v>
      </c>
      <c r="B20" s="54"/>
      <c r="C20" s="54"/>
      <c r="D20" s="54"/>
      <c r="E20" s="54"/>
      <c r="F20" s="54"/>
      <c r="G20" s="54"/>
      <c r="H20" s="55"/>
    </row>
    <row r="21" ht="15.75" customHeight="1">
      <c r="A21" s="68"/>
      <c r="H21" s="69"/>
    </row>
    <row r="22" ht="15.75" customHeight="1">
      <c r="A22" s="68"/>
      <c r="H22" s="69"/>
    </row>
    <row r="23" ht="15.75" customHeight="1">
      <c r="A23" s="56"/>
      <c r="B23" s="57"/>
      <c r="C23" s="57"/>
      <c r="D23" s="57"/>
      <c r="E23" s="57"/>
      <c r="F23" s="57"/>
      <c r="G23" s="57"/>
      <c r="H23" s="58"/>
    </row>
    <row r="24" ht="15.75" customHeight="1"/>
    <row r="25" ht="15.75" customHeight="1"/>
    <row r="26" ht="15.75" customHeight="1">
      <c r="A26" s="50" t="s">
        <v>218</v>
      </c>
      <c r="E26" s="43" t="s">
        <v>148</v>
      </c>
      <c r="F26" s="59">
        <v>15.0</v>
      </c>
      <c r="G26" s="43" t="s">
        <v>211</v>
      </c>
      <c r="H26" s="59">
        <v>29.0</v>
      </c>
    </row>
    <row r="27" ht="15.75" customHeight="1">
      <c r="A27" s="6" t="s">
        <v>170</v>
      </c>
    </row>
    <row r="28" ht="15.75" customHeight="1">
      <c r="A28" s="61" t="s">
        <v>160</v>
      </c>
      <c r="B28" s="40" t="s">
        <v>12</v>
      </c>
      <c r="C28" s="29"/>
      <c r="D28" s="29"/>
      <c r="E28" s="29"/>
      <c r="F28" s="29"/>
      <c r="G28" s="29"/>
      <c r="H28" s="30"/>
    </row>
    <row r="29" ht="15.75" customHeight="1">
      <c r="A29" s="61" t="s">
        <v>160</v>
      </c>
      <c r="B29" s="40" t="s">
        <v>12</v>
      </c>
      <c r="C29" s="29"/>
      <c r="D29" s="29"/>
      <c r="E29" s="29"/>
      <c r="F29" s="29"/>
      <c r="G29" s="29"/>
      <c r="H29" s="30"/>
    </row>
    <row r="30" ht="15.75" customHeight="1">
      <c r="A30" s="61" t="s">
        <v>160</v>
      </c>
      <c r="B30" s="40" t="s">
        <v>51</v>
      </c>
      <c r="C30" s="29"/>
      <c r="D30" s="29"/>
      <c r="E30" s="29"/>
      <c r="F30" s="29"/>
      <c r="G30" s="29"/>
      <c r="H30" s="30"/>
    </row>
    <row r="31" ht="15.75" customHeight="1">
      <c r="A31" s="61" t="s">
        <v>212</v>
      </c>
      <c r="B31" s="40" t="s">
        <v>219</v>
      </c>
      <c r="C31" s="29"/>
      <c r="D31" s="29"/>
      <c r="E31" s="29"/>
      <c r="F31" s="29"/>
      <c r="G31" s="29"/>
      <c r="H31" s="30"/>
    </row>
    <row r="32" ht="15.75" customHeight="1">
      <c r="A32" s="52" t="s">
        <v>214</v>
      </c>
      <c r="B32" s="29"/>
      <c r="C32" s="29"/>
      <c r="D32" s="29"/>
      <c r="E32" s="29"/>
      <c r="F32" s="29"/>
      <c r="G32" s="29"/>
      <c r="H32" s="30"/>
    </row>
    <row r="33" ht="15.75" customHeight="1">
      <c r="A33" s="53" t="s">
        <v>220</v>
      </c>
      <c r="B33" s="54"/>
      <c r="C33" s="54"/>
      <c r="D33" s="54"/>
      <c r="E33" s="54"/>
      <c r="F33" s="54"/>
      <c r="G33" s="54"/>
      <c r="H33" s="55"/>
    </row>
    <row r="34" ht="15.75" customHeight="1">
      <c r="A34" s="68"/>
      <c r="H34" s="69"/>
    </row>
    <row r="35" ht="15.75" customHeight="1">
      <c r="A35" s="56"/>
      <c r="B35" s="57"/>
      <c r="C35" s="57"/>
      <c r="D35" s="57"/>
      <c r="E35" s="57"/>
      <c r="F35" s="57"/>
      <c r="G35" s="57"/>
      <c r="H35" s="58"/>
    </row>
    <row r="36" ht="15.75" customHeight="1">
      <c r="A36" s="52" t="s">
        <v>216</v>
      </c>
      <c r="B36" s="29"/>
      <c r="C36" s="29"/>
      <c r="D36" s="29"/>
      <c r="E36" s="29"/>
      <c r="F36" s="29"/>
      <c r="G36" s="29"/>
      <c r="H36" s="30"/>
    </row>
    <row r="37" ht="15.75" customHeight="1">
      <c r="A37" s="53" t="s">
        <v>221</v>
      </c>
      <c r="B37" s="54"/>
      <c r="C37" s="54"/>
      <c r="D37" s="54"/>
      <c r="E37" s="54"/>
      <c r="F37" s="54"/>
      <c r="G37" s="54"/>
      <c r="H37" s="55"/>
    </row>
    <row r="38" ht="15.75" customHeight="1">
      <c r="A38" s="68"/>
      <c r="H38" s="69"/>
    </row>
    <row r="39" ht="15.75" customHeight="1">
      <c r="A39" s="68"/>
      <c r="H39" s="69"/>
    </row>
    <row r="40" ht="15.75" customHeight="1">
      <c r="A40" s="56"/>
      <c r="B40" s="57"/>
      <c r="C40" s="57"/>
      <c r="D40" s="57"/>
      <c r="E40" s="57"/>
      <c r="F40" s="57"/>
      <c r="G40" s="57"/>
      <c r="H40" s="58"/>
    </row>
    <row r="41" ht="15.75" customHeight="1"/>
    <row r="42" ht="15.75" customHeight="1"/>
    <row r="43" ht="15.75" customHeight="1">
      <c r="A43" s="50" t="s">
        <v>222</v>
      </c>
      <c r="E43" s="43" t="s">
        <v>148</v>
      </c>
      <c r="F43" s="59">
        <v>50.0</v>
      </c>
      <c r="G43" s="43" t="s">
        <v>211</v>
      </c>
      <c r="H43" s="59">
        <v>30.0</v>
      </c>
    </row>
    <row r="44" ht="15.75" customHeight="1">
      <c r="A44" s="46" t="s">
        <v>223</v>
      </c>
    </row>
    <row r="45" ht="15.75" customHeight="1">
      <c r="A45" s="61" t="s">
        <v>160</v>
      </c>
      <c r="B45" s="40" t="s">
        <v>90</v>
      </c>
      <c r="C45" s="29"/>
      <c r="D45" s="29"/>
      <c r="E45" s="29"/>
      <c r="F45" s="29"/>
      <c r="G45" s="29"/>
      <c r="H45" s="30"/>
    </row>
    <row r="46" ht="15.75" customHeight="1">
      <c r="A46" s="61" t="s">
        <v>160</v>
      </c>
      <c r="B46" s="40" t="s">
        <v>90</v>
      </c>
      <c r="C46" s="29"/>
      <c r="D46" s="29"/>
      <c r="E46" s="29"/>
      <c r="F46" s="29"/>
      <c r="G46" s="29"/>
      <c r="H46" s="30"/>
    </row>
    <row r="47" ht="15.75" customHeight="1">
      <c r="A47" s="61" t="s">
        <v>160</v>
      </c>
      <c r="B47" s="40" t="s">
        <v>62</v>
      </c>
      <c r="C47" s="29"/>
      <c r="D47" s="29"/>
      <c r="E47" s="29"/>
      <c r="F47" s="29"/>
      <c r="G47" s="29"/>
      <c r="H47" s="30"/>
    </row>
    <row r="48" ht="15.75" customHeight="1">
      <c r="A48" s="61" t="s">
        <v>212</v>
      </c>
      <c r="B48" s="40" t="s">
        <v>224</v>
      </c>
      <c r="C48" s="29"/>
      <c r="D48" s="29"/>
      <c r="E48" s="29"/>
      <c r="F48" s="29"/>
      <c r="G48" s="29"/>
      <c r="H48" s="30"/>
    </row>
    <row r="49" ht="15.75" customHeight="1">
      <c r="A49" s="52" t="s">
        <v>214</v>
      </c>
      <c r="B49" s="29"/>
      <c r="C49" s="29"/>
      <c r="D49" s="29"/>
      <c r="E49" s="29"/>
      <c r="F49" s="29"/>
      <c r="G49" s="29"/>
      <c r="H49" s="30"/>
    </row>
    <row r="50" ht="15.75" customHeight="1">
      <c r="A50" s="53" t="s">
        <v>225</v>
      </c>
      <c r="B50" s="54"/>
      <c r="C50" s="54"/>
      <c r="D50" s="54"/>
      <c r="E50" s="54"/>
      <c r="F50" s="54"/>
      <c r="G50" s="54"/>
      <c r="H50" s="55"/>
    </row>
    <row r="51" ht="15.75" customHeight="1">
      <c r="A51" s="68"/>
      <c r="H51" s="69"/>
    </row>
    <row r="52" ht="15.75" customHeight="1">
      <c r="A52" s="56"/>
      <c r="B52" s="57"/>
      <c r="C52" s="57"/>
      <c r="D52" s="57"/>
      <c r="E52" s="57"/>
      <c r="F52" s="57"/>
      <c r="G52" s="57"/>
      <c r="H52" s="58"/>
    </row>
    <row r="53" ht="15.75" customHeight="1">
      <c r="A53" s="52" t="s">
        <v>216</v>
      </c>
      <c r="B53" s="29"/>
      <c r="C53" s="29"/>
      <c r="D53" s="29"/>
      <c r="E53" s="29"/>
      <c r="F53" s="29"/>
      <c r="G53" s="29"/>
      <c r="H53" s="30"/>
    </row>
    <row r="54" ht="15.75" customHeight="1">
      <c r="A54" s="53" t="s">
        <v>226</v>
      </c>
      <c r="B54" s="54"/>
      <c r="C54" s="54"/>
      <c r="D54" s="54"/>
      <c r="E54" s="54"/>
      <c r="F54" s="54"/>
      <c r="G54" s="54"/>
      <c r="H54" s="55"/>
    </row>
    <row r="55" ht="15.75" customHeight="1">
      <c r="A55" s="68"/>
      <c r="H55" s="69"/>
    </row>
    <row r="56" ht="15.75" customHeight="1">
      <c r="A56" s="68"/>
      <c r="H56" s="69"/>
    </row>
    <row r="57" ht="15.75" customHeight="1">
      <c r="A57" s="56"/>
      <c r="B57" s="57"/>
      <c r="C57" s="57"/>
      <c r="D57" s="57"/>
      <c r="E57" s="57"/>
      <c r="F57" s="57"/>
      <c r="G57" s="57"/>
      <c r="H57" s="58"/>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8" t="s">
        <v>227</v>
      </c>
    </row>
    <row r="3" ht="15.75" customHeight="1"/>
    <row r="4" ht="15.75" customHeight="1">
      <c r="B4" s="27" t="s">
        <v>1</v>
      </c>
      <c r="C4" s="28" t="str">
        <f>'Diseño'!C4</f>
        <v>281 - Sistemas Operativos 1</v>
      </c>
      <c r="D4" s="29"/>
      <c r="E4" s="29"/>
      <c r="F4" s="29"/>
      <c r="G4" s="30"/>
    </row>
    <row r="5" ht="15.75" customHeight="1">
      <c r="B5" s="49" t="s">
        <v>106</v>
      </c>
      <c r="C5" s="28">
        <f>H9+H26+H43+H60+H77+H94+H111</f>
        <v>0</v>
      </c>
      <c r="D5" s="29"/>
      <c r="E5" s="29"/>
      <c r="F5" s="29"/>
      <c r="G5" s="30"/>
    </row>
    <row r="6" ht="15.75" customHeight="1">
      <c r="B6" s="49" t="s">
        <v>148</v>
      </c>
      <c r="C6" s="28">
        <f>F9+F26+F43+F60+F77+F94+F111</f>
        <v>0</v>
      </c>
      <c r="D6" s="29"/>
      <c r="E6" s="29"/>
      <c r="F6" s="29"/>
      <c r="G6" s="30"/>
    </row>
    <row r="7" ht="15.75" customHeight="1">
      <c r="B7" s="6" t="s">
        <v>228</v>
      </c>
    </row>
    <row r="8" ht="15.75" customHeight="1"/>
    <row r="9" ht="15.75" customHeight="1">
      <c r="A9" s="50" t="s">
        <v>229</v>
      </c>
      <c r="E9" s="43" t="s">
        <v>148</v>
      </c>
      <c r="F9" s="51"/>
      <c r="G9" s="43" t="s">
        <v>211</v>
      </c>
      <c r="H9" s="51"/>
    </row>
    <row r="10" ht="15.75" customHeight="1">
      <c r="A10" s="6" t="s">
        <v>230</v>
      </c>
    </row>
    <row r="11" ht="15.75" customHeight="1">
      <c r="A11" s="61" t="s">
        <v>160</v>
      </c>
      <c r="B11" s="28"/>
      <c r="C11" s="29"/>
      <c r="D11" s="29"/>
      <c r="E11" s="29"/>
      <c r="F11" s="29"/>
      <c r="G11" s="29"/>
      <c r="H11" s="30"/>
    </row>
    <row r="12" ht="15.75" customHeight="1">
      <c r="A12" s="61" t="s">
        <v>160</v>
      </c>
      <c r="B12" s="28"/>
      <c r="C12" s="29"/>
      <c r="D12" s="29"/>
      <c r="E12" s="29"/>
      <c r="F12" s="29"/>
      <c r="G12" s="29"/>
      <c r="H12" s="30"/>
    </row>
    <row r="13" ht="15.75" customHeight="1">
      <c r="A13" s="61" t="s">
        <v>160</v>
      </c>
      <c r="B13" s="28"/>
      <c r="C13" s="29"/>
      <c r="D13" s="29"/>
      <c r="E13" s="29"/>
      <c r="F13" s="29"/>
      <c r="G13" s="29"/>
      <c r="H13" s="30"/>
    </row>
    <row r="14" ht="15.75" customHeight="1">
      <c r="A14" s="61" t="s">
        <v>212</v>
      </c>
      <c r="B14" s="28"/>
      <c r="C14" s="29"/>
      <c r="D14" s="29"/>
      <c r="E14" s="29"/>
      <c r="F14" s="29"/>
      <c r="G14" s="29"/>
      <c r="H14" s="30"/>
    </row>
    <row r="15" ht="15.75" customHeight="1">
      <c r="A15" s="52" t="s">
        <v>214</v>
      </c>
      <c r="B15" s="29"/>
      <c r="C15" s="29"/>
      <c r="D15" s="29"/>
      <c r="E15" s="29"/>
      <c r="F15" s="29"/>
      <c r="G15" s="29"/>
      <c r="H15" s="30"/>
    </row>
    <row r="16" ht="15.75" customHeight="1">
      <c r="A16" s="73"/>
      <c r="B16" s="54"/>
      <c r="C16" s="54"/>
      <c r="D16" s="54"/>
      <c r="E16" s="54"/>
      <c r="F16" s="54"/>
      <c r="G16" s="54"/>
      <c r="H16" s="55"/>
    </row>
    <row r="17" ht="15.75" customHeight="1">
      <c r="A17" s="68"/>
      <c r="H17" s="69"/>
    </row>
    <row r="18" ht="15.75" customHeight="1">
      <c r="A18" s="56"/>
      <c r="B18" s="57"/>
      <c r="C18" s="57"/>
      <c r="D18" s="57"/>
      <c r="E18" s="57"/>
      <c r="F18" s="57"/>
      <c r="G18" s="57"/>
      <c r="H18" s="58"/>
    </row>
    <row r="19" ht="15.75" customHeight="1">
      <c r="A19" s="52" t="s">
        <v>216</v>
      </c>
      <c r="B19" s="29"/>
      <c r="C19" s="29"/>
      <c r="D19" s="29"/>
      <c r="E19" s="29"/>
      <c r="F19" s="29"/>
      <c r="G19" s="29"/>
      <c r="H19" s="30"/>
    </row>
    <row r="20" ht="15.75" customHeight="1">
      <c r="A20" s="73"/>
      <c r="B20" s="54"/>
      <c r="C20" s="54"/>
      <c r="D20" s="54"/>
      <c r="E20" s="54"/>
      <c r="F20" s="54"/>
      <c r="G20" s="54"/>
      <c r="H20" s="55"/>
    </row>
    <row r="21" ht="15.75" customHeight="1">
      <c r="A21" s="68"/>
      <c r="H21" s="69"/>
    </row>
    <row r="22" ht="15.75" customHeight="1">
      <c r="A22" s="68"/>
      <c r="H22" s="69"/>
    </row>
    <row r="23" ht="15.75" customHeight="1">
      <c r="A23" s="56"/>
      <c r="B23" s="57"/>
      <c r="C23" s="57"/>
      <c r="D23" s="57"/>
      <c r="E23" s="57"/>
      <c r="F23" s="57"/>
      <c r="G23" s="57"/>
      <c r="H23" s="58"/>
    </row>
    <row r="24" ht="15.75" customHeight="1"/>
    <row r="25" ht="15.75" customHeight="1"/>
    <row r="26" ht="15.75" customHeight="1">
      <c r="A26" s="50" t="s">
        <v>231</v>
      </c>
      <c r="E26" s="43" t="s">
        <v>148</v>
      </c>
      <c r="F26" s="51"/>
      <c r="G26" s="43" t="s">
        <v>211</v>
      </c>
      <c r="H26" s="51"/>
    </row>
    <row r="27" ht="15.75" customHeight="1">
      <c r="A27" s="46" t="s">
        <v>223</v>
      </c>
    </row>
    <row r="28" ht="15.75" customHeight="1">
      <c r="A28" s="61" t="s">
        <v>160</v>
      </c>
      <c r="B28" s="28"/>
      <c r="C28" s="29"/>
      <c r="D28" s="29"/>
      <c r="E28" s="29"/>
      <c r="F28" s="29"/>
      <c r="G28" s="29"/>
      <c r="H28" s="30"/>
    </row>
    <row r="29" ht="15.75" customHeight="1">
      <c r="A29" s="61" t="s">
        <v>160</v>
      </c>
      <c r="B29" s="28"/>
      <c r="C29" s="29"/>
      <c r="D29" s="29"/>
      <c r="E29" s="29"/>
      <c r="F29" s="29"/>
      <c r="G29" s="29"/>
      <c r="H29" s="30"/>
    </row>
    <row r="30" ht="15.75" customHeight="1">
      <c r="A30" s="61" t="s">
        <v>160</v>
      </c>
      <c r="B30" s="28"/>
      <c r="C30" s="29"/>
      <c r="D30" s="29"/>
      <c r="E30" s="29"/>
      <c r="F30" s="29"/>
      <c r="G30" s="29"/>
      <c r="H30" s="30"/>
    </row>
    <row r="31" ht="15.75" customHeight="1">
      <c r="A31" s="61" t="s">
        <v>212</v>
      </c>
      <c r="B31" s="28"/>
      <c r="C31" s="29"/>
      <c r="D31" s="29"/>
      <c r="E31" s="29"/>
      <c r="F31" s="29"/>
      <c r="G31" s="29"/>
      <c r="H31" s="30"/>
    </row>
    <row r="32" ht="15.75" customHeight="1">
      <c r="A32" s="52" t="s">
        <v>214</v>
      </c>
      <c r="B32" s="29"/>
      <c r="C32" s="29"/>
      <c r="D32" s="29"/>
      <c r="E32" s="29"/>
      <c r="F32" s="29"/>
      <c r="G32" s="29"/>
      <c r="H32" s="30"/>
    </row>
    <row r="33" ht="15.75" customHeight="1">
      <c r="A33" s="73"/>
      <c r="B33" s="54"/>
      <c r="C33" s="54"/>
      <c r="D33" s="54"/>
      <c r="E33" s="54"/>
      <c r="F33" s="54"/>
      <c r="G33" s="54"/>
      <c r="H33" s="55"/>
    </row>
    <row r="34" ht="15.75" customHeight="1">
      <c r="A34" s="68"/>
      <c r="H34" s="69"/>
    </row>
    <row r="35" ht="15.75" customHeight="1">
      <c r="A35" s="56"/>
      <c r="B35" s="57"/>
      <c r="C35" s="57"/>
      <c r="D35" s="57"/>
      <c r="E35" s="57"/>
      <c r="F35" s="57"/>
      <c r="G35" s="57"/>
      <c r="H35" s="58"/>
    </row>
    <row r="36" ht="15.75" customHeight="1">
      <c r="A36" s="52" t="s">
        <v>216</v>
      </c>
      <c r="B36" s="29"/>
      <c r="C36" s="29"/>
      <c r="D36" s="29"/>
      <c r="E36" s="29"/>
      <c r="F36" s="29"/>
      <c r="G36" s="29"/>
      <c r="H36" s="30"/>
    </row>
    <row r="37" ht="15.75" customHeight="1">
      <c r="A37" s="73"/>
      <c r="B37" s="54"/>
      <c r="C37" s="54"/>
      <c r="D37" s="54"/>
      <c r="E37" s="54"/>
      <c r="F37" s="54"/>
      <c r="G37" s="54"/>
      <c r="H37" s="55"/>
    </row>
    <row r="38" ht="15.75" customHeight="1">
      <c r="A38" s="68"/>
      <c r="H38" s="69"/>
    </row>
    <row r="39" ht="15.75" customHeight="1">
      <c r="A39" s="68"/>
      <c r="H39" s="69"/>
    </row>
    <row r="40" ht="15.75" customHeight="1">
      <c r="A40" s="56"/>
      <c r="B40" s="57"/>
      <c r="C40" s="57"/>
      <c r="D40" s="57"/>
      <c r="E40" s="57"/>
      <c r="F40" s="57"/>
      <c r="G40" s="57"/>
      <c r="H40" s="58"/>
    </row>
    <row r="41" ht="15.75" customHeight="1"/>
    <row r="42" ht="15.75" customHeight="1"/>
    <row r="43" ht="15.75" customHeight="1">
      <c r="A43" s="50" t="s">
        <v>232</v>
      </c>
      <c r="E43" s="43" t="s">
        <v>148</v>
      </c>
      <c r="F43" s="51"/>
      <c r="G43" s="43" t="s">
        <v>211</v>
      </c>
      <c r="H43" s="51"/>
    </row>
    <row r="44" ht="15.75" customHeight="1">
      <c r="A44" s="46" t="s">
        <v>223</v>
      </c>
    </row>
    <row r="45" ht="15.75" customHeight="1">
      <c r="A45" s="61" t="s">
        <v>160</v>
      </c>
      <c r="B45" s="28"/>
      <c r="C45" s="29"/>
      <c r="D45" s="29"/>
      <c r="E45" s="29"/>
      <c r="F45" s="29"/>
      <c r="G45" s="29"/>
      <c r="H45" s="30"/>
    </row>
    <row r="46" ht="15.75" customHeight="1">
      <c r="A46" s="61" t="s">
        <v>160</v>
      </c>
      <c r="B46" s="28"/>
      <c r="C46" s="29"/>
      <c r="D46" s="29"/>
      <c r="E46" s="29"/>
      <c r="F46" s="29"/>
      <c r="G46" s="29"/>
      <c r="H46" s="30"/>
    </row>
    <row r="47" ht="15.75" customHeight="1">
      <c r="A47" s="61" t="s">
        <v>160</v>
      </c>
      <c r="B47" s="28"/>
      <c r="C47" s="29"/>
      <c r="D47" s="29"/>
      <c r="E47" s="29"/>
      <c r="F47" s="29"/>
      <c r="G47" s="29"/>
      <c r="H47" s="30"/>
    </row>
    <row r="48" ht="15.75" customHeight="1">
      <c r="A48" s="61" t="s">
        <v>212</v>
      </c>
      <c r="B48" s="28"/>
      <c r="C48" s="29"/>
      <c r="D48" s="29"/>
      <c r="E48" s="29"/>
      <c r="F48" s="29"/>
      <c r="G48" s="29"/>
      <c r="H48" s="30"/>
    </row>
    <row r="49" ht="15.75" customHeight="1">
      <c r="A49" s="52" t="s">
        <v>214</v>
      </c>
      <c r="B49" s="29"/>
      <c r="C49" s="29"/>
      <c r="D49" s="29"/>
      <c r="E49" s="29"/>
      <c r="F49" s="29"/>
      <c r="G49" s="29"/>
      <c r="H49" s="30"/>
    </row>
    <row r="50" ht="15.75" customHeight="1">
      <c r="A50" s="73"/>
      <c r="B50" s="54"/>
      <c r="C50" s="54"/>
      <c r="D50" s="54"/>
      <c r="E50" s="54"/>
      <c r="F50" s="54"/>
      <c r="G50" s="54"/>
      <c r="H50" s="55"/>
    </row>
    <row r="51" ht="15.75" customHeight="1">
      <c r="A51" s="68"/>
      <c r="H51" s="69"/>
    </row>
    <row r="52" ht="15.75" customHeight="1">
      <c r="A52" s="56"/>
      <c r="B52" s="57"/>
      <c r="C52" s="57"/>
      <c r="D52" s="57"/>
      <c r="E52" s="57"/>
      <c r="F52" s="57"/>
      <c r="G52" s="57"/>
      <c r="H52" s="58"/>
    </row>
    <row r="53" ht="15.75" customHeight="1">
      <c r="A53" s="52" t="s">
        <v>216</v>
      </c>
      <c r="B53" s="29"/>
      <c r="C53" s="29"/>
      <c r="D53" s="29"/>
      <c r="E53" s="29"/>
      <c r="F53" s="29"/>
      <c r="G53" s="29"/>
      <c r="H53" s="30"/>
    </row>
    <row r="54" ht="15.75" customHeight="1">
      <c r="A54" s="73"/>
      <c r="B54" s="54"/>
      <c r="C54" s="54"/>
      <c r="D54" s="54"/>
      <c r="E54" s="54"/>
      <c r="F54" s="54"/>
      <c r="G54" s="54"/>
      <c r="H54" s="55"/>
    </row>
    <row r="55" ht="15.75" customHeight="1">
      <c r="A55" s="68"/>
      <c r="H55" s="69"/>
    </row>
    <row r="56" ht="15.75" customHeight="1">
      <c r="A56" s="68"/>
      <c r="H56" s="69"/>
    </row>
    <row r="57" ht="15.75" customHeight="1">
      <c r="A57" s="56"/>
      <c r="B57" s="57"/>
      <c r="C57" s="57"/>
      <c r="D57" s="57"/>
      <c r="E57" s="57"/>
      <c r="F57" s="57"/>
      <c r="G57" s="57"/>
      <c r="H57" s="58"/>
    </row>
    <row r="58" ht="15.75" customHeight="1"/>
    <row r="59" ht="15.75" customHeight="1"/>
    <row r="60" ht="15.75" customHeight="1">
      <c r="A60" s="50" t="s">
        <v>233</v>
      </c>
      <c r="E60" s="43" t="s">
        <v>148</v>
      </c>
      <c r="F60" s="51"/>
      <c r="G60" s="43" t="s">
        <v>211</v>
      </c>
      <c r="H60" s="51"/>
    </row>
    <row r="61" ht="15.75" customHeight="1">
      <c r="A61" s="46" t="s">
        <v>223</v>
      </c>
    </row>
    <row r="62" ht="15.75" customHeight="1">
      <c r="A62" s="61" t="s">
        <v>160</v>
      </c>
      <c r="B62" s="28"/>
      <c r="C62" s="29"/>
      <c r="D62" s="29"/>
      <c r="E62" s="29"/>
      <c r="F62" s="29"/>
      <c r="G62" s="29"/>
      <c r="H62" s="30"/>
    </row>
    <row r="63" ht="15.75" customHeight="1">
      <c r="A63" s="61" t="s">
        <v>160</v>
      </c>
      <c r="B63" s="28"/>
      <c r="C63" s="29"/>
      <c r="D63" s="29"/>
      <c r="E63" s="29"/>
      <c r="F63" s="29"/>
      <c r="G63" s="29"/>
      <c r="H63" s="30"/>
    </row>
    <row r="64" ht="15.75" customHeight="1">
      <c r="A64" s="61" t="s">
        <v>160</v>
      </c>
      <c r="B64" s="28"/>
      <c r="C64" s="29"/>
      <c r="D64" s="29"/>
      <c r="E64" s="29"/>
      <c r="F64" s="29"/>
      <c r="G64" s="29"/>
      <c r="H64" s="30"/>
    </row>
    <row r="65" ht="15.75" customHeight="1">
      <c r="A65" s="61" t="s">
        <v>212</v>
      </c>
      <c r="B65" s="28"/>
      <c r="C65" s="29"/>
      <c r="D65" s="29"/>
      <c r="E65" s="29"/>
      <c r="F65" s="29"/>
      <c r="G65" s="29"/>
      <c r="H65" s="30"/>
    </row>
    <row r="66" ht="15.75" customHeight="1">
      <c r="A66" s="52" t="s">
        <v>214</v>
      </c>
      <c r="B66" s="29"/>
      <c r="C66" s="29"/>
      <c r="D66" s="29"/>
      <c r="E66" s="29"/>
      <c r="F66" s="29"/>
      <c r="G66" s="29"/>
      <c r="H66" s="30"/>
    </row>
    <row r="67" ht="15.75" customHeight="1">
      <c r="A67" s="73"/>
      <c r="B67" s="54"/>
      <c r="C67" s="54"/>
      <c r="D67" s="54"/>
      <c r="E67" s="54"/>
      <c r="F67" s="54"/>
      <c r="G67" s="54"/>
      <c r="H67" s="55"/>
    </row>
    <row r="68" ht="15.75" customHeight="1">
      <c r="A68" s="68"/>
      <c r="H68" s="69"/>
    </row>
    <row r="69" ht="15.75" customHeight="1">
      <c r="A69" s="56"/>
      <c r="B69" s="57"/>
      <c r="C69" s="57"/>
      <c r="D69" s="57"/>
      <c r="E69" s="57"/>
      <c r="F69" s="57"/>
      <c r="G69" s="57"/>
      <c r="H69" s="58"/>
    </row>
    <row r="70" ht="15.75" customHeight="1">
      <c r="A70" s="52" t="s">
        <v>216</v>
      </c>
      <c r="B70" s="29"/>
      <c r="C70" s="29"/>
      <c r="D70" s="29"/>
      <c r="E70" s="29"/>
      <c r="F70" s="29"/>
      <c r="G70" s="29"/>
      <c r="H70" s="30"/>
    </row>
    <row r="71" ht="15.75" customHeight="1">
      <c r="A71" s="73"/>
      <c r="B71" s="54"/>
      <c r="C71" s="54"/>
      <c r="D71" s="54"/>
      <c r="E71" s="54"/>
      <c r="F71" s="54"/>
      <c r="G71" s="54"/>
      <c r="H71" s="55"/>
    </row>
    <row r="72" ht="15.75" customHeight="1">
      <c r="A72" s="68"/>
      <c r="H72" s="69"/>
    </row>
    <row r="73" ht="15.75" customHeight="1">
      <c r="A73" s="68"/>
      <c r="H73" s="69"/>
    </row>
    <row r="74" ht="15.75" customHeight="1">
      <c r="A74" s="56"/>
      <c r="B74" s="57"/>
      <c r="C74" s="57"/>
      <c r="D74" s="57"/>
      <c r="E74" s="57"/>
      <c r="F74" s="57"/>
      <c r="G74" s="57"/>
      <c r="H74" s="58"/>
    </row>
    <row r="75" ht="15.75" customHeight="1"/>
    <row r="76" ht="15.75" customHeight="1"/>
    <row r="77" ht="15.75" customHeight="1">
      <c r="A77" s="50" t="s">
        <v>234</v>
      </c>
      <c r="E77" s="43" t="s">
        <v>148</v>
      </c>
      <c r="F77" s="51"/>
      <c r="G77" s="43" t="s">
        <v>211</v>
      </c>
      <c r="H77" s="51"/>
    </row>
    <row r="78" ht="15.75" customHeight="1">
      <c r="A78" s="46" t="s">
        <v>223</v>
      </c>
    </row>
    <row r="79" ht="15.75" customHeight="1">
      <c r="A79" s="61" t="s">
        <v>160</v>
      </c>
      <c r="B79" s="28"/>
      <c r="C79" s="29"/>
      <c r="D79" s="29"/>
      <c r="E79" s="29"/>
      <c r="F79" s="29"/>
      <c r="G79" s="29"/>
      <c r="H79" s="30"/>
    </row>
    <row r="80" ht="15.75" customHeight="1">
      <c r="A80" s="61" t="s">
        <v>160</v>
      </c>
      <c r="B80" s="28"/>
      <c r="C80" s="29"/>
      <c r="D80" s="29"/>
      <c r="E80" s="29"/>
      <c r="F80" s="29"/>
      <c r="G80" s="29"/>
      <c r="H80" s="30"/>
    </row>
    <row r="81" ht="15.75" customHeight="1">
      <c r="A81" s="61" t="s">
        <v>160</v>
      </c>
      <c r="B81" s="28"/>
      <c r="C81" s="29"/>
      <c r="D81" s="29"/>
      <c r="E81" s="29"/>
      <c r="F81" s="29"/>
      <c r="G81" s="29"/>
      <c r="H81" s="30"/>
    </row>
    <row r="82" ht="15.75" customHeight="1">
      <c r="A82" s="61" t="s">
        <v>212</v>
      </c>
      <c r="B82" s="28"/>
      <c r="C82" s="29"/>
      <c r="D82" s="29"/>
      <c r="E82" s="29"/>
      <c r="F82" s="29"/>
      <c r="G82" s="29"/>
      <c r="H82" s="30"/>
    </row>
    <row r="83" ht="15.75" customHeight="1">
      <c r="A83" s="52" t="s">
        <v>214</v>
      </c>
      <c r="B83" s="29"/>
      <c r="C83" s="29"/>
      <c r="D83" s="29"/>
      <c r="E83" s="29"/>
      <c r="F83" s="29"/>
      <c r="G83" s="29"/>
      <c r="H83" s="30"/>
    </row>
    <row r="84" ht="15.75" customHeight="1">
      <c r="A84" s="73"/>
      <c r="B84" s="54"/>
      <c r="C84" s="54"/>
      <c r="D84" s="54"/>
      <c r="E84" s="54"/>
      <c r="F84" s="54"/>
      <c r="G84" s="54"/>
      <c r="H84" s="55"/>
    </row>
    <row r="85" ht="15.75" customHeight="1">
      <c r="A85" s="68"/>
      <c r="H85" s="69"/>
    </row>
    <row r="86" ht="15.75" customHeight="1">
      <c r="A86" s="56"/>
      <c r="B86" s="57"/>
      <c r="C86" s="57"/>
      <c r="D86" s="57"/>
      <c r="E86" s="57"/>
      <c r="F86" s="57"/>
      <c r="G86" s="57"/>
      <c r="H86" s="58"/>
    </row>
    <row r="87" ht="15.75" customHeight="1">
      <c r="A87" s="52" t="s">
        <v>216</v>
      </c>
      <c r="B87" s="29"/>
      <c r="C87" s="29"/>
      <c r="D87" s="29"/>
      <c r="E87" s="29"/>
      <c r="F87" s="29"/>
      <c r="G87" s="29"/>
      <c r="H87" s="30"/>
    </row>
    <row r="88" ht="15.75" customHeight="1">
      <c r="A88" s="73"/>
      <c r="B88" s="54"/>
      <c r="C88" s="54"/>
      <c r="D88" s="54"/>
      <c r="E88" s="54"/>
      <c r="F88" s="54"/>
      <c r="G88" s="54"/>
      <c r="H88" s="55"/>
    </row>
    <row r="89" ht="15.75" customHeight="1">
      <c r="A89" s="68"/>
      <c r="H89" s="69"/>
    </row>
    <row r="90" ht="15.75" customHeight="1">
      <c r="A90" s="68"/>
      <c r="H90" s="69"/>
    </row>
    <row r="91" ht="15.75" customHeight="1">
      <c r="A91" s="56"/>
      <c r="B91" s="57"/>
      <c r="C91" s="57"/>
      <c r="D91" s="57"/>
      <c r="E91" s="57"/>
      <c r="F91" s="57"/>
      <c r="G91" s="57"/>
      <c r="H91" s="58"/>
    </row>
    <row r="92" ht="15.75" customHeight="1"/>
    <row r="93" ht="15.75" customHeight="1"/>
    <row r="94" ht="15.75" customHeight="1">
      <c r="A94" s="50" t="s">
        <v>235</v>
      </c>
      <c r="E94" s="43" t="s">
        <v>148</v>
      </c>
      <c r="F94" s="51"/>
      <c r="G94" s="43" t="s">
        <v>211</v>
      </c>
      <c r="H94" s="51"/>
    </row>
    <row r="95" ht="15.75" customHeight="1">
      <c r="A95" s="46" t="s">
        <v>223</v>
      </c>
    </row>
    <row r="96" ht="15.75" customHeight="1">
      <c r="A96" s="61" t="s">
        <v>160</v>
      </c>
      <c r="B96" s="28"/>
      <c r="C96" s="29"/>
      <c r="D96" s="29"/>
      <c r="E96" s="29"/>
      <c r="F96" s="29"/>
      <c r="G96" s="29"/>
      <c r="H96" s="30"/>
    </row>
    <row r="97" ht="15.75" customHeight="1">
      <c r="A97" s="61" t="s">
        <v>160</v>
      </c>
      <c r="B97" s="28"/>
      <c r="C97" s="29"/>
      <c r="D97" s="29"/>
      <c r="E97" s="29"/>
      <c r="F97" s="29"/>
      <c r="G97" s="29"/>
      <c r="H97" s="30"/>
    </row>
    <row r="98" ht="15.75" customHeight="1">
      <c r="A98" s="61" t="s">
        <v>160</v>
      </c>
      <c r="B98" s="28"/>
      <c r="C98" s="29"/>
      <c r="D98" s="29"/>
      <c r="E98" s="29"/>
      <c r="F98" s="29"/>
      <c r="G98" s="29"/>
      <c r="H98" s="30"/>
    </row>
    <row r="99" ht="15.75" customHeight="1">
      <c r="A99" s="61" t="s">
        <v>212</v>
      </c>
      <c r="B99" s="28"/>
      <c r="C99" s="29"/>
      <c r="D99" s="29"/>
      <c r="E99" s="29"/>
      <c r="F99" s="29"/>
      <c r="G99" s="29"/>
      <c r="H99" s="30"/>
    </row>
    <row r="100" ht="15.75" customHeight="1">
      <c r="A100" s="52" t="s">
        <v>214</v>
      </c>
      <c r="B100" s="29"/>
      <c r="C100" s="29"/>
      <c r="D100" s="29"/>
      <c r="E100" s="29"/>
      <c r="F100" s="29"/>
      <c r="G100" s="29"/>
      <c r="H100" s="30"/>
    </row>
    <row r="101" ht="15.75" customHeight="1">
      <c r="A101" s="73"/>
      <c r="B101" s="54"/>
      <c r="C101" s="54"/>
      <c r="D101" s="54"/>
      <c r="E101" s="54"/>
      <c r="F101" s="54"/>
      <c r="G101" s="54"/>
      <c r="H101" s="55"/>
    </row>
    <row r="102" ht="15.75" customHeight="1">
      <c r="A102" s="68"/>
      <c r="H102" s="69"/>
    </row>
    <row r="103" ht="15.75" customHeight="1">
      <c r="A103" s="56"/>
      <c r="B103" s="57"/>
      <c r="C103" s="57"/>
      <c r="D103" s="57"/>
      <c r="E103" s="57"/>
      <c r="F103" s="57"/>
      <c r="G103" s="57"/>
      <c r="H103" s="58"/>
    </row>
    <row r="104" ht="15.75" customHeight="1">
      <c r="A104" s="52" t="s">
        <v>216</v>
      </c>
      <c r="B104" s="29"/>
      <c r="C104" s="29"/>
      <c r="D104" s="29"/>
      <c r="E104" s="29"/>
      <c r="F104" s="29"/>
      <c r="G104" s="29"/>
      <c r="H104" s="30"/>
    </row>
    <row r="105" ht="15.75" customHeight="1">
      <c r="A105" s="73"/>
      <c r="B105" s="54"/>
      <c r="C105" s="54"/>
      <c r="D105" s="54"/>
      <c r="E105" s="54"/>
      <c r="F105" s="54"/>
      <c r="G105" s="54"/>
      <c r="H105" s="55"/>
    </row>
    <row r="106" ht="15.75" customHeight="1">
      <c r="A106" s="68"/>
      <c r="H106" s="69"/>
    </row>
    <row r="107" ht="15.75" customHeight="1">
      <c r="A107" s="68"/>
      <c r="H107" s="69"/>
    </row>
    <row r="108" ht="15.75" customHeight="1">
      <c r="A108" s="56"/>
      <c r="B108" s="57"/>
      <c r="C108" s="57"/>
      <c r="D108" s="57"/>
      <c r="E108" s="57"/>
      <c r="F108" s="57"/>
      <c r="G108" s="57"/>
      <c r="H108" s="58"/>
    </row>
    <row r="109" ht="15.75" customHeight="1"/>
    <row r="110" ht="15.75" customHeight="1"/>
    <row r="111" ht="15.75" customHeight="1">
      <c r="A111" s="50" t="s">
        <v>236</v>
      </c>
      <c r="E111" s="43" t="s">
        <v>148</v>
      </c>
      <c r="F111" s="51"/>
      <c r="G111" s="43" t="s">
        <v>211</v>
      </c>
      <c r="H111" s="51"/>
    </row>
    <row r="112" ht="15.75" customHeight="1">
      <c r="A112" s="46" t="s">
        <v>223</v>
      </c>
    </row>
    <row r="113" ht="15.75" customHeight="1">
      <c r="A113" s="61" t="s">
        <v>160</v>
      </c>
      <c r="B113" s="28"/>
      <c r="C113" s="29"/>
      <c r="D113" s="29"/>
      <c r="E113" s="29"/>
      <c r="F113" s="29"/>
      <c r="G113" s="29"/>
      <c r="H113" s="30"/>
    </row>
    <row r="114" ht="15.75" customHeight="1">
      <c r="A114" s="61" t="s">
        <v>160</v>
      </c>
      <c r="B114" s="28"/>
      <c r="C114" s="29"/>
      <c r="D114" s="29"/>
      <c r="E114" s="29"/>
      <c r="F114" s="29"/>
      <c r="G114" s="29"/>
      <c r="H114" s="30"/>
    </row>
    <row r="115" ht="15.75" customHeight="1">
      <c r="A115" s="61" t="s">
        <v>160</v>
      </c>
      <c r="B115" s="28"/>
      <c r="C115" s="29"/>
      <c r="D115" s="29"/>
      <c r="E115" s="29"/>
      <c r="F115" s="29"/>
      <c r="G115" s="29"/>
      <c r="H115" s="30"/>
    </row>
    <row r="116" ht="15.75" customHeight="1">
      <c r="A116" s="61" t="s">
        <v>212</v>
      </c>
      <c r="B116" s="28"/>
      <c r="C116" s="29"/>
      <c r="D116" s="29"/>
      <c r="E116" s="29"/>
      <c r="F116" s="29"/>
      <c r="G116" s="29"/>
      <c r="H116" s="30"/>
    </row>
    <row r="117" ht="15.75" customHeight="1">
      <c r="A117" s="52" t="s">
        <v>214</v>
      </c>
      <c r="B117" s="29"/>
      <c r="C117" s="29"/>
      <c r="D117" s="29"/>
      <c r="E117" s="29"/>
      <c r="F117" s="29"/>
      <c r="G117" s="29"/>
      <c r="H117" s="30"/>
    </row>
    <row r="118" ht="15.75" customHeight="1">
      <c r="A118" s="73"/>
      <c r="B118" s="54"/>
      <c r="C118" s="54"/>
      <c r="D118" s="54"/>
      <c r="E118" s="54"/>
      <c r="F118" s="54"/>
      <c r="G118" s="54"/>
      <c r="H118" s="55"/>
    </row>
    <row r="119" ht="15.75" customHeight="1">
      <c r="A119" s="68"/>
      <c r="H119" s="69"/>
    </row>
    <row r="120" ht="15.75" customHeight="1">
      <c r="A120" s="56"/>
      <c r="B120" s="57"/>
      <c r="C120" s="57"/>
      <c r="D120" s="57"/>
      <c r="E120" s="57"/>
      <c r="F120" s="57"/>
      <c r="G120" s="57"/>
      <c r="H120" s="58"/>
    </row>
    <row r="121" ht="15.75" customHeight="1">
      <c r="A121" s="52" t="s">
        <v>216</v>
      </c>
      <c r="B121" s="29"/>
      <c r="C121" s="29"/>
      <c r="D121" s="29"/>
      <c r="E121" s="29"/>
      <c r="F121" s="29"/>
      <c r="G121" s="29"/>
      <c r="H121" s="30"/>
    </row>
    <row r="122" ht="15.75" customHeight="1">
      <c r="A122" s="73"/>
      <c r="B122" s="54"/>
      <c r="C122" s="54"/>
      <c r="D122" s="54"/>
      <c r="E122" s="54"/>
      <c r="F122" s="54"/>
      <c r="G122" s="54"/>
      <c r="H122" s="55"/>
    </row>
    <row r="123" ht="15.75" customHeight="1">
      <c r="A123" s="68"/>
      <c r="H123" s="69"/>
    </row>
    <row r="124" ht="15.75" customHeight="1">
      <c r="A124" s="68"/>
      <c r="H124" s="69"/>
    </row>
    <row r="125" ht="15.75" customHeight="1">
      <c r="A125" s="56"/>
      <c r="B125" s="57"/>
      <c r="C125" s="57"/>
      <c r="D125" s="57"/>
      <c r="E125" s="57"/>
      <c r="F125" s="57"/>
      <c r="G125" s="57"/>
      <c r="H125" s="58"/>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8" t="s">
        <v>237</v>
      </c>
    </row>
    <row r="3" ht="15.75" customHeight="1"/>
    <row r="4" ht="15.75" customHeight="1">
      <c r="B4" s="27" t="s">
        <v>1</v>
      </c>
      <c r="C4" s="28" t="str">
        <f>'Diseño'!C4</f>
        <v>281 - Sistemas Operativos 1</v>
      </c>
      <c r="D4" s="29"/>
      <c r="E4" s="29"/>
      <c r="F4" s="29"/>
      <c r="G4" s="30"/>
    </row>
    <row r="5" ht="15.75" customHeight="1">
      <c r="B5" s="49" t="s">
        <v>106</v>
      </c>
      <c r="C5" s="28">
        <f>H9+H26+H43+H60+H77+H94+H111</f>
        <v>4</v>
      </c>
      <c r="D5" s="29"/>
      <c r="E5" s="29"/>
      <c r="F5" s="29"/>
      <c r="G5" s="30"/>
    </row>
    <row r="6" ht="15.75" customHeight="1">
      <c r="B6" s="49" t="s">
        <v>148</v>
      </c>
      <c r="C6" s="28">
        <f>F9+F26+F43+F60+F77+F94+F111</f>
        <v>10</v>
      </c>
      <c r="D6" s="29"/>
      <c r="E6" s="29"/>
      <c r="F6" s="29"/>
      <c r="G6" s="30"/>
    </row>
    <row r="7" ht="15.75" customHeight="1">
      <c r="B7" s="6" t="s">
        <v>238</v>
      </c>
    </row>
    <row r="8" ht="15.75" customHeight="1"/>
    <row r="9" ht="15.75" customHeight="1">
      <c r="A9" s="50" t="s">
        <v>239</v>
      </c>
      <c r="E9" s="43" t="s">
        <v>148</v>
      </c>
      <c r="F9" s="59">
        <v>5.0</v>
      </c>
      <c r="G9" s="43" t="s">
        <v>211</v>
      </c>
      <c r="H9" s="59">
        <v>2.0</v>
      </c>
    </row>
    <row r="10" ht="15.75" customHeight="1">
      <c r="A10" s="6" t="s">
        <v>230</v>
      </c>
    </row>
    <row r="11" ht="15.75" customHeight="1">
      <c r="A11" s="61" t="s">
        <v>160</v>
      </c>
      <c r="B11" s="40" t="s">
        <v>12</v>
      </c>
      <c r="C11" s="29"/>
      <c r="D11" s="29"/>
      <c r="E11" s="29"/>
      <c r="F11" s="29"/>
      <c r="G11" s="29"/>
      <c r="H11" s="30"/>
    </row>
    <row r="12" ht="15.75" customHeight="1">
      <c r="A12" s="61" t="s">
        <v>160</v>
      </c>
      <c r="B12" s="40" t="s">
        <v>62</v>
      </c>
      <c r="C12" s="29"/>
      <c r="D12" s="29"/>
      <c r="E12" s="29"/>
      <c r="F12" s="29"/>
      <c r="G12" s="29"/>
      <c r="H12" s="30"/>
    </row>
    <row r="13" ht="15.75" customHeight="1">
      <c r="A13" s="61" t="s">
        <v>160</v>
      </c>
    </row>
    <row r="14" ht="15.75" customHeight="1">
      <c r="A14" s="61" t="s">
        <v>212</v>
      </c>
      <c r="B14" s="40" t="s">
        <v>240</v>
      </c>
      <c r="C14" s="29"/>
      <c r="D14" s="29"/>
      <c r="E14" s="29"/>
      <c r="F14" s="29"/>
      <c r="G14" s="29"/>
      <c r="H14" s="30"/>
    </row>
    <row r="15" ht="15.75" customHeight="1">
      <c r="A15" s="52" t="s">
        <v>214</v>
      </c>
      <c r="B15" s="29"/>
      <c r="C15" s="29"/>
      <c r="D15" s="29"/>
      <c r="E15" s="29"/>
      <c r="F15" s="29"/>
      <c r="G15" s="29"/>
      <c r="H15" s="30"/>
    </row>
    <row r="16" ht="15.75" customHeight="1">
      <c r="A16" s="53" t="s">
        <v>241</v>
      </c>
      <c r="B16" s="54"/>
      <c r="C16" s="54"/>
      <c r="D16" s="54"/>
      <c r="E16" s="54"/>
      <c r="F16" s="54"/>
      <c r="G16" s="54"/>
      <c r="H16" s="55"/>
    </row>
    <row r="17" ht="15.75" customHeight="1">
      <c r="A17" s="68"/>
      <c r="H17" s="69"/>
    </row>
    <row r="18" ht="15.75" customHeight="1">
      <c r="A18" s="56"/>
      <c r="B18" s="57"/>
      <c r="C18" s="57"/>
      <c r="D18" s="57"/>
      <c r="E18" s="57"/>
      <c r="F18" s="57"/>
      <c r="G18" s="57"/>
      <c r="H18" s="58"/>
    </row>
    <row r="19" ht="15.75" customHeight="1">
      <c r="A19" s="52" t="s">
        <v>216</v>
      </c>
      <c r="B19" s="29"/>
      <c r="C19" s="29"/>
      <c r="D19" s="29"/>
      <c r="E19" s="29"/>
      <c r="F19" s="29"/>
      <c r="G19" s="29"/>
      <c r="H19" s="30"/>
    </row>
    <row r="20" ht="15.75" customHeight="1">
      <c r="A20" s="53" t="s">
        <v>242</v>
      </c>
      <c r="B20" s="54"/>
      <c r="C20" s="54"/>
      <c r="D20" s="54"/>
      <c r="E20" s="54"/>
      <c r="F20" s="54"/>
      <c r="G20" s="54"/>
      <c r="H20" s="55"/>
    </row>
    <row r="21" ht="15.75" customHeight="1">
      <c r="A21" s="68"/>
      <c r="H21" s="69"/>
    </row>
    <row r="22" ht="15.75" customHeight="1">
      <c r="A22" s="68"/>
      <c r="H22" s="69"/>
    </row>
    <row r="23" ht="15.75" customHeight="1">
      <c r="A23" s="56"/>
      <c r="B23" s="57"/>
      <c r="C23" s="57"/>
      <c r="D23" s="57"/>
      <c r="E23" s="57"/>
      <c r="F23" s="57"/>
      <c r="G23" s="57"/>
      <c r="H23" s="58"/>
    </row>
    <row r="24" ht="15.75" customHeight="1"/>
    <row r="25" ht="15.75" customHeight="1"/>
    <row r="26" ht="15.75" customHeight="1">
      <c r="A26" s="50" t="s">
        <v>243</v>
      </c>
      <c r="E26" s="43" t="s">
        <v>148</v>
      </c>
      <c r="F26" s="59">
        <v>5.0</v>
      </c>
      <c r="G26" s="43" t="s">
        <v>211</v>
      </c>
      <c r="H26" s="59">
        <v>2.0</v>
      </c>
    </row>
    <row r="27" ht="15.75" customHeight="1">
      <c r="A27" s="6" t="s">
        <v>230</v>
      </c>
    </row>
    <row r="28" ht="15.75" customHeight="1">
      <c r="A28" s="61" t="s">
        <v>160</v>
      </c>
      <c r="B28" s="40" t="s">
        <v>62</v>
      </c>
      <c r="C28" s="29"/>
      <c r="D28" s="29"/>
      <c r="E28" s="29"/>
      <c r="F28" s="29"/>
      <c r="G28" s="29"/>
      <c r="H28" s="30"/>
    </row>
    <row r="29" ht="15.75" customHeight="1">
      <c r="A29" s="61" t="s">
        <v>160</v>
      </c>
      <c r="B29" s="28"/>
      <c r="C29" s="29"/>
      <c r="D29" s="29"/>
      <c r="E29" s="29"/>
      <c r="F29" s="29"/>
      <c r="G29" s="29"/>
      <c r="H29" s="30"/>
    </row>
    <row r="30" ht="15.75" customHeight="1">
      <c r="A30" s="61" t="s">
        <v>160</v>
      </c>
      <c r="B30" s="28"/>
      <c r="C30" s="29"/>
      <c r="D30" s="29"/>
      <c r="E30" s="29"/>
      <c r="F30" s="29"/>
      <c r="G30" s="29"/>
      <c r="H30" s="30"/>
    </row>
    <row r="31" ht="15.75" customHeight="1">
      <c r="A31" s="61" t="s">
        <v>212</v>
      </c>
      <c r="B31" s="40" t="s">
        <v>244</v>
      </c>
      <c r="C31" s="29"/>
      <c r="D31" s="29"/>
      <c r="E31" s="29"/>
      <c r="F31" s="29"/>
      <c r="G31" s="29"/>
      <c r="H31" s="30"/>
    </row>
    <row r="32" ht="15.75" customHeight="1">
      <c r="A32" s="52" t="s">
        <v>214</v>
      </c>
      <c r="B32" s="29"/>
      <c r="C32" s="29"/>
      <c r="D32" s="29"/>
      <c r="E32" s="29"/>
      <c r="F32" s="29"/>
      <c r="G32" s="29"/>
      <c r="H32" s="30"/>
    </row>
    <row r="33" ht="15.75" customHeight="1">
      <c r="A33" s="53" t="s">
        <v>241</v>
      </c>
      <c r="B33" s="54"/>
      <c r="C33" s="54"/>
      <c r="D33" s="54"/>
      <c r="E33" s="54"/>
      <c r="F33" s="54"/>
      <c r="G33" s="54"/>
      <c r="H33" s="55"/>
    </row>
    <row r="34" ht="15.75" customHeight="1">
      <c r="A34" s="68"/>
      <c r="H34" s="69"/>
    </row>
    <row r="35" ht="15.75" customHeight="1">
      <c r="A35" s="56"/>
      <c r="B35" s="57"/>
      <c r="C35" s="57"/>
      <c r="D35" s="57"/>
      <c r="E35" s="57"/>
      <c r="F35" s="57"/>
      <c r="G35" s="57"/>
      <c r="H35" s="58"/>
    </row>
    <row r="36" ht="15.75" customHeight="1">
      <c r="A36" s="52" t="s">
        <v>216</v>
      </c>
      <c r="B36" s="29"/>
      <c r="C36" s="29"/>
      <c r="D36" s="29"/>
      <c r="E36" s="29"/>
      <c r="F36" s="29"/>
      <c r="G36" s="29"/>
      <c r="H36" s="30"/>
    </row>
    <row r="37" ht="15.75" customHeight="1">
      <c r="A37" s="53" t="s">
        <v>245</v>
      </c>
      <c r="B37" s="54"/>
      <c r="C37" s="54"/>
      <c r="D37" s="54"/>
      <c r="E37" s="54"/>
      <c r="F37" s="54"/>
      <c r="G37" s="54"/>
      <c r="H37" s="55"/>
    </row>
    <row r="38" ht="15.75" customHeight="1">
      <c r="A38" s="68"/>
      <c r="H38" s="69"/>
    </row>
    <row r="39" ht="15.75" customHeight="1">
      <c r="A39" s="68"/>
      <c r="H39" s="69"/>
    </row>
    <row r="40" ht="15.75" customHeight="1">
      <c r="A40" s="56"/>
      <c r="B40" s="57"/>
      <c r="C40" s="57"/>
      <c r="D40" s="57"/>
      <c r="E40" s="57"/>
      <c r="F40" s="57"/>
      <c r="G40" s="57"/>
      <c r="H40" s="58"/>
    </row>
    <row r="41" ht="15.75" customHeight="1"/>
    <row r="42" ht="15.75" customHeight="1"/>
    <row r="43" ht="15.75" customHeight="1">
      <c r="A43" s="50" t="s">
        <v>246</v>
      </c>
      <c r="E43" s="43" t="s">
        <v>148</v>
      </c>
      <c r="F43" s="51"/>
      <c r="G43" s="43" t="s">
        <v>211</v>
      </c>
      <c r="H43" s="51"/>
    </row>
    <row r="44" ht="15.75" customHeight="1">
      <c r="A44" s="46" t="s">
        <v>223</v>
      </c>
    </row>
    <row r="45" ht="15.75" customHeight="1">
      <c r="A45" s="61" t="s">
        <v>160</v>
      </c>
      <c r="B45" s="28"/>
      <c r="C45" s="29"/>
      <c r="D45" s="29"/>
      <c r="E45" s="29"/>
      <c r="F45" s="29"/>
      <c r="G45" s="29"/>
      <c r="H45" s="30"/>
    </row>
    <row r="46" ht="15.75" customHeight="1">
      <c r="A46" s="61" t="s">
        <v>160</v>
      </c>
      <c r="B46" s="28"/>
      <c r="C46" s="29"/>
      <c r="D46" s="29"/>
      <c r="E46" s="29"/>
      <c r="F46" s="29"/>
      <c r="G46" s="29"/>
      <c r="H46" s="30"/>
    </row>
    <row r="47" ht="15.75" customHeight="1">
      <c r="A47" s="61" t="s">
        <v>160</v>
      </c>
      <c r="B47" s="28"/>
      <c r="C47" s="29"/>
      <c r="D47" s="29"/>
      <c r="E47" s="29"/>
      <c r="F47" s="29"/>
      <c r="G47" s="29"/>
      <c r="H47" s="30"/>
    </row>
    <row r="48" ht="15.75" customHeight="1">
      <c r="A48" s="61" t="s">
        <v>212</v>
      </c>
      <c r="B48" s="28"/>
      <c r="C48" s="29"/>
      <c r="D48" s="29"/>
      <c r="E48" s="29"/>
      <c r="F48" s="29"/>
      <c r="G48" s="29"/>
      <c r="H48" s="30"/>
    </row>
    <row r="49" ht="15.75" customHeight="1">
      <c r="A49" s="52" t="s">
        <v>214</v>
      </c>
      <c r="B49" s="29"/>
      <c r="C49" s="29"/>
      <c r="D49" s="29"/>
      <c r="E49" s="29"/>
      <c r="F49" s="29"/>
      <c r="G49" s="29"/>
      <c r="H49" s="30"/>
    </row>
    <row r="50" ht="15.75" customHeight="1">
      <c r="A50" s="73"/>
      <c r="B50" s="54"/>
      <c r="C50" s="54"/>
      <c r="D50" s="54"/>
      <c r="E50" s="54"/>
      <c r="F50" s="54"/>
      <c r="G50" s="54"/>
      <c r="H50" s="55"/>
    </row>
    <row r="51" ht="15.75" customHeight="1">
      <c r="A51" s="68"/>
      <c r="H51" s="69"/>
    </row>
    <row r="52" ht="15.75" customHeight="1">
      <c r="A52" s="56"/>
      <c r="B52" s="57"/>
      <c r="C52" s="57"/>
      <c r="D52" s="57"/>
      <c r="E52" s="57"/>
      <c r="F52" s="57"/>
      <c r="G52" s="57"/>
      <c r="H52" s="58"/>
    </row>
    <row r="53" ht="15.75" customHeight="1">
      <c r="A53" s="52" t="s">
        <v>216</v>
      </c>
      <c r="B53" s="29"/>
      <c r="C53" s="29"/>
      <c r="D53" s="29"/>
      <c r="E53" s="29"/>
      <c r="F53" s="29"/>
      <c r="G53" s="29"/>
      <c r="H53" s="30"/>
    </row>
    <row r="54" ht="15.75" customHeight="1">
      <c r="A54" s="73"/>
      <c r="B54" s="54"/>
      <c r="C54" s="54"/>
      <c r="D54" s="54"/>
      <c r="E54" s="54"/>
      <c r="F54" s="54"/>
      <c r="G54" s="54"/>
      <c r="H54" s="55"/>
    </row>
    <row r="55" ht="15.75" customHeight="1">
      <c r="A55" s="68"/>
      <c r="H55" s="69"/>
    </row>
    <row r="56" ht="15.75" customHeight="1">
      <c r="A56" s="68"/>
      <c r="H56" s="69"/>
    </row>
    <row r="57" ht="15.75" customHeight="1">
      <c r="A57" s="56"/>
      <c r="B57" s="57"/>
      <c r="C57" s="57"/>
      <c r="D57" s="57"/>
      <c r="E57" s="57"/>
      <c r="F57" s="57"/>
      <c r="G57" s="57"/>
      <c r="H57" s="58"/>
    </row>
    <row r="58" ht="15.75" customHeight="1"/>
    <row r="59" ht="15.75" customHeight="1"/>
    <row r="60" ht="15.75" customHeight="1">
      <c r="A60" s="50" t="s">
        <v>247</v>
      </c>
      <c r="E60" s="43" t="s">
        <v>148</v>
      </c>
      <c r="F60" s="51"/>
      <c r="G60" s="43" t="s">
        <v>211</v>
      </c>
      <c r="H60" s="51"/>
    </row>
    <row r="61" ht="15.75" customHeight="1">
      <c r="A61" s="46" t="s">
        <v>223</v>
      </c>
    </row>
    <row r="62" ht="15.75" customHeight="1">
      <c r="A62" s="61" t="s">
        <v>160</v>
      </c>
      <c r="B62" s="28"/>
      <c r="C62" s="29"/>
      <c r="D62" s="29"/>
      <c r="E62" s="29"/>
      <c r="F62" s="29"/>
      <c r="G62" s="29"/>
      <c r="H62" s="30"/>
    </row>
    <row r="63" ht="15.75" customHeight="1">
      <c r="A63" s="61" t="s">
        <v>160</v>
      </c>
      <c r="B63" s="28"/>
      <c r="C63" s="29"/>
      <c r="D63" s="29"/>
      <c r="E63" s="29"/>
      <c r="F63" s="29"/>
      <c r="G63" s="29"/>
      <c r="H63" s="30"/>
    </row>
    <row r="64" ht="15.75" customHeight="1">
      <c r="A64" s="61" t="s">
        <v>160</v>
      </c>
      <c r="B64" s="28"/>
      <c r="C64" s="29"/>
      <c r="D64" s="29"/>
      <c r="E64" s="29"/>
      <c r="F64" s="29"/>
      <c r="G64" s="29"/>
      <c r="H64" s="30"/>
    </row>
    <row r="65" ht="15.75" customHeight="1">
      <c r="A65" s="61" t="s">
        <v>212</v>
      </c>
      <c r="B65" s="28"/>
      <c r="C65" s="29"/>
      <c r="D65" s="29"/>
      <c r="E65" s="29"/>
      <c r="F65" s="29"/>
      <c r="G65" s="29"/>
      <c r="H65" s="30"/>
    </row>
    <row r="66" ht="15.75" customHeight="1">
      <c r="A66" s="52" t="s">
        <v>214</v>
      </c>
      <c r="B66" s="29"/>
      <c r="C66" s="29"/>
      <c r="D66" s="29"/>
      <c r="E66" s="29"/>
      <c r="F66" s="29"/>
      <c r="G66" s="29"/>
      <c r="H66" s="30"/>
    </row>
    <row r="67" ht="15.75" customHeight="1">
      <c r="A67" s="73"/>
      <c r="B67" s="54"/>
      <c r="C67" s="54"/>
      <c r="D67" s="54"/>
      <c r="E67" s="54"/>
      <c r="F67" s="54"/>
      <c r="G67" s="54"/>
      <c r="H67" s="55"/>
    </row>
    <row r="68" ht="15.75" customHeight="1">
      <c r="A68" s="68"/>
      <c r="H68" s="69"/>
    </row>
    <row r="69" ht="15.75" customHeight="1">
      <c r="A69" s="56"/>
      <c r="B69" s="57"/>
      <c r="C69" s="57"/>
      <c r="D69" s="57"/>
      <c r="E69" s="57"/>
      <c r="F69" s="57"/>
      <c r="G69" s="57"/>
      <c r="H69" s="58"/>
    </row>
    <row r="70" ht="15.75" customHeight="1">
      <c r="A70" s="52" t="s">
        <v>216</v>
      </c>
      <c r="B70" s="29"/>
      <c r="C70" s="29"/>
      <c r="D70" s="29"/>
      <c r="E70" s="29"/>
      <c r="F70" s="29"/>
      <c r="G70" s="29"/>
      <c r="H70" s="30"/>
    </row>
    <row r="71" ht="15.75" customHeight="1">
      <c r="A71" s="73"/>
      <c r="B71" s="54"/>
      <c r="C71" s="54"/>
      <c r="D71" s="54"/>
      <c r="E71" s="54"/>
      <c r="F71" s="54"/>
      <c r="G71" s="54"/>
      <c r="H71" s="55"/>
    </row>
    <row r="72" ht="15.75" customHeight="1">
      <c r="A72" s="68"/>
      <c r="H72" s="69"/>
    </row>
    <row r="73" ht="15.75" customHeight="1">
      <c r="A73" s="68"/>
      <c r="H73" s="69"/>
    </row>
    <row r="74" ht="15.75" customHeight="1">
      <c r="A74" s="56"/>
      <c r="B74" s="57"/>
      <c r="C74" s="57"/>
      <c r="D74" s="57"/>
      <c r="E74" s="57"/>
      <c r="F74" s="57"/>
      <c r="G74" s="57"/>
      <c r="H74" s="58"/>
    </row>
    <row r="75" ht="15.75" customHeight="1"/>
    <row r="76" ht="15.75" customHeight="1"/>
    <row r="77" ht="15.75" customHeight="1">
      <c r="A77" s="50" t="s">
        <v>248</v>
      </c>
      <c r="E77" s="43" t="s">
        <v>148</v>
      </c>
      <c r="F77" s="51"/>
      <c r="G77" s="43" t="s">
        <v>211</v>
      </c>
      <c r="H77" s="51"/>
    </row>
    <row r="78" ht="15.75" customHeight="1">
      <c r="A78" s="46" t="s">
        <v>223</v>
      </c>
    </row>
    <row r="79" ht="15.75" customHeight="1">
      <c r="A79" s="61" t="s">
        <v>160</v>
      </c>
      <c r="B79" s="28"/>
      <c r="C79" s="29"/>
      <c r="D79" s="29"/>
      <c r="E79" s="29"/>
      <c r="F79" s="29"/>
      <c r="G79" s="29"/>
      <c r="H79" s="30"/>
    </row>
    <row r="80" ht="15.75" customHeight="1">
      <c r="A80" s="61" t="s">
        <v>160</v>
      </c>
      <c r="B80" s="28"/>
      <c r="C80" s="29"/>
      <c r="D80" s="29"/>
      <c r="E80" s="29"/>
      <c r="F80" s="29"/>
      <c r="G80" s="29"/>
      <c r="H80" s="30"/>
    </row>
    <row r="81" ht="15.75" customHeight="1">
      <c r="A81" s="61" t="s">
        <v>160</v>
      </c>
      <c r="B81" s="28"/>
      <c r="C81" s="29"/>
      <c r="D81" s="29"/>
      <c r="E81" s="29"/>
      <c r="F81" s="29"/>
      <c r="G81" s="29"/>
      <c r="H81" s="30"/>
    </row>
    <row r="82" ht="15.75" customHeight="1">
      <c r="A82" s="61" t="s">
        <v>212</v>
      </c>
      <c r="B82" s="28"/>
      <c r="C82" s="29"/>
      <c r="D82" s="29"/>
      <c r="E82" s="29"/>
      <c r="F82" s="29"/>
      <c r="G82" s="29"/>
      <c r="H82" s="30"/>
    </row>
    <row r="83" ht="15.75" customHeight="1">
      <c r="A83" s="52" t="s">
        <v>214</v>
      </c>
      <c r="B83" s="29"/>
      <c r="C83" s="29"/>
      <c r="D83" s="29"/>
      <c r="E83" s="29"/>
      <c r="F83" s="29"/>
      <c r="G83" s="29"/>
      <c r="H83" s="30"/>
    </row>
    <row r="84" ht="15.75" customHeight="1">
      <c r="A84" s="73"/>
      <c r="B84" s="54"/>
      <c r="C84" s="54"/>
      <c r="D84" s="54"/>
      <c r="E84" s="54"/>
      <c r="F84" s="54"/>
      <c r="G84" s="54"/>
      <c r="H84" s="55"/>
    </row>
    <row r="85" ht="15.75" customHeight="1">
      <c r="A85" s="68"/>
      <c r="H85" s="69"/>
    </row>
    <row r="86" ht="15.75" customHeight="1">
      <c r="A86" s="56"/>
      <c r="B86" s="57"/>
      <c r="C86" s="57"/>
      <c r="D86" s="57"/>
      <c r="E86" s="57"/>
      <c r="F86" s="57"/>
      <c r="G86" s="57"/>
      <c r="H86" s="58"/>
    </row>
    <row r="87" ht="15.75" customHeight="1">
      <c r="A87" s="52" t="s">
        <v>216</v>
      </c>
      <c r="B87" s="29"/>
      <c r="C87" s="29"/>
      <c r="D87" s="29"/>
      <c r="E87" s="29"/>
      <c r="F87" s="29"/>
      <c r="G87" s="29"/>
      <c r="H87" s="30"/>
    </row>
    <row r="88" ht="15.75" customHeight="1">
      <c r="A88" s="73"/>
      <c r="B88" s="54"/>
      <c r="C88" s="54"/>
      <c r="D88" s="54"/>
      <c r="E88" s="54"/>
      <c r="F88" s="54"/>
      <c r="G88" s="54"/>
      <c r="H88" s="55"/>
    </row>
    <row r="89" ht="15.75" customHeight="1">
      <c r="A89" s="68"/>
      <c r="H89" s="69"/>
    </row>
    <row r="90" ht="15.75" customHeight="1">
      <c r="A90" s="68"/>
      <c r="H90" s="69"/>
    </row>
    <row r="91" ht="15.75" customHeight="1">
      <c r="A91" s="56"/>
      <c r="B91" s="57"/>
      <c r="C91" s="57"/>
      <c r="D91" s="57"/>
      <c r="E91" s="57"/>
      <c r="F91" s="57"/>
      <c r="G91" s="57"/>
      <c r="H91" s="58"/>
    </row>
    <row r="92" ht="15.75" customHeight="1"/>
    <row r="93" ht="15.75" customHeight="1"/>
    <row r="94" ht="15.75" customHeight="1">
      <c r="A94" s="50" t="s">
        <v>249</v>
      </c>
      <c r="E94" s="43" t="s">
        <v>148</v>
      </c>
      <c r="F94" s="51"/>
      <c r="G94" s="43" t="s">
        <v>211</v>
      </c>
      <c r="H94" s="51"/>
    </row>
    <row r="95" ht="15.75" customHeight="1">
      <c r="A95" s="46" t="s">
        <v>223</v>
      </c>
    </row>
    <row r="96" ht="15.75" customHeight="1">
      <c r="A96" s="61" t="s">
        <v>160</v>
      </c>
      <c r="B96" s="28"/>
      <c r="C96" s="29"/>
      <c r="D96" s="29"/>
      <c r="E96" s="29"/>
      <c r="F96" s="29"/>
      <c r="G96" s="29"/>
      <c r="H96" s="30"/>
    </row>
    <row r="97" ht="15.75" customHeight="1">
      <c r="A97" s="61" t="s">
        <v>160</v>
      </c>
      <c r="B97" s="28"/>
      <c r="C97" s="29"/>
      <c r="D97" s="29"/>
      <c r="E97" s="29"/>
      <c r="F97" s="29"/>
      <c r="G97" s="29"/>
      <c r="H97" s="30"/>
    </row>
    <row r="98" ht="15.75" customHeight="1">
      <c r="A98" s="61" t="s">
        <v>160</v>
      </c>
      <c r="B98" s="28"/>
      <c r="C98" s="29"/>
      <c r="D98" s="29"/>
      <c r="E98" s="29"/>
      <c r="F98" s="29"/>
      <c r="G98" s="29"/>
      <c r="H98" s="30"/>
    </row>
    <row r="99" ht="15.75" customHeight="1">
      <c r="A99" s="61" t="s">
        <v>212</v>
      </c>
      <c r="B99" s="28"/>
      <c r="C99" s="29"/>
      <c r="D99" s="29"/>
      <c r="E99" s="29"/>
      <c r="F99" s="29"/>
      <c r="G99" s="29"/>
      <c r="H99" s="30"/>
    </row>
    <row r="100" ht="15.75" customHeight="1">
      <c r="A100" s="52" t="s">
        <v>214</v>
      </c>
      <c r="B100" s="29"/>
      <c r="C100" s="29"/>
      <c r="D100" s="29"/>
      <c r="E100" s="29"/>
      <c r="F100" s="29"/>
      <c r="G100" s="29"/>
      <c r="H100" s="30"/>
    </row>
    <row r="101" ht="15.75" customHeight="1">
      <c r="A101" s="73"/>
      <c r="B101" s="54"/>
      <c r="C101" s="54"/>
      <c r="D101" s="54"/>
      <c r="E101" s="54"/>
      <c r="F101" s="54"/>
      <c r="G101" s="54"/>
      <c r="H101" s="55"/>
    </row>
    <row r="102" ht="15.75" customHeight="1">
      <c r="A102" s="68"/>
      <c r="H102" s="69"/>
    </row>
    <row r="103" ht="15.75" customHeight="1">
      <c r="A103" s="56"/>
      <c r="B103" s="57"/>
      <c r="C103" s="57"/>
      <c r="D103" s="57"/>
      <c r="E103" s="57"/>
      <c r="F103" s="57"/>
      <c r="G103" s="57"/>
      <c r="H103" s="58"/>
    </row>
    <row r="104" ht="15.75" customHeight="1">
      <c r="A104" s="52" t="s">
        <v>216</v>
      </c>
      <c r="B104" s="29"/>
      <c r="C104" s="29"/>
      <c r="D104" s="29"/>
      <c r="E104" s="29"/>
      <c r="F104" s="29"/>
      <c r="G104" s="29"/>
      <c r="H104" s="30"/>
    </row>
    <row r="105" ht="15.75" customHeight="1">
      <c r="A105" s="73"/>
      <c r="B105" s="54"/>
      <c r="C105" s="54"/>
      <c r="D105" s="54"/>
      <c r="E105" s="54"/>
      <c r="F105" s="54"/>
      <c r="G105" s="54"/>
      <c r="H105" s="55"/>
    </row>
    <row r="106" ht="15.75" customHeight="1">
      <c r="A106" s="68"/>
      <c r="H106" s="69"/>
    </row>
    <row r="107" ht="15.75" customHeight="1">
      <c r="A107" s="68"/>
      <c r="H107" s="69"/>
    </row>
    <row r="108" ht="15.75" customHeight="1">
      <c r="A108" s="56"/>
      <c r="B108" s="57"/>
      <c r="C108" s="57"/>
      <c r="D108" s="57"/>
      <c r="E108" s="57"/>
      <c r="F108" s="57"/>
      <c r="G108" s="57"/>
      <c r="H108" s="58"/>
    </row>
    <row r="109" ht="15.75" customHeight="1"/>
    <row r="110" ht="15.75" customHeight="1"/>
    <row r="111" ht="15.75" customHeight="1">
      <c r="A111" s="50" t="s">
        <v>250</v>
      </c>
      <c r="E111" s="43" t="s">
        <v>148</v>
      </c>
      <c r="F111" s="51"/>
      <c r="G111" s="43" t="s">
        <v>211</v>
      </c>
      <c r="H111" s="51"/>
    </row>
    <row r="112" ht="15.75" customHeight="1">
      <c r="A112" s="46" t="s">
        <v>223</v>
      </c>
    </row>
    <row r="113" ht="15.75" customHeight="1">
      <c r="A113" s="61" t="s">
        <v>160</v>
      </c>
      <c r="B113" s="28"/>
      <c r="C113" s="29"/>
      <c r="D113" s="29"/>
      <c r="E113" s="29"/>
      <c r="F113" s="29"/>
      <c r="G113" s="29"/>
      <c r="H113" s="30"/>
    </row>
    <row r="114" ht="15.75" customHeight="1">
      <c r="A114" s="61" t="s">
        <v>160</v>
      </c>
      <c r="B114" s="28"/>
      <c r="C114" s="29"/>
      <c r="D114" s="29"/>
      <c r="E114" s="29"/>
      <c r="F114" s="29"/>
      <c r="G114" s="29"/>
      <c r="H114" s="30"/>
    </row>
    <row r="115" ht="15.75" customHeight="1">
      <c r="A115" s="61" t="s">
        <v>160</v>
      </c>
      <c r="B115" s="28"/>
      <c r="C115" s="29"/>
      <c r="D115" s="29"/>
      <c r="E115" s="29"/>
      <c r="F115" s="29"/>
      <c r="G115" s="29"/>
      <c r="H115" s="30"/>
    </row>
    <row r="116" ht="15.75" customHeight="1">
      <c r="A116" s="61" t="s">
        <v>212</v>
      </c>
      <c r="B116" s="28"/>
      <c r="C116" s="29"/>
      <c r="D116" s="29"/>
      <c r="E116" s="29"/>
      <c r="F116" s="29"/>
      <c r="G116" s="29"/>
      <c r="H116" s="30"/>
    </row>
    <row r="117" ht="15.75" customHeight="1">
      <c r="A117" s="52" t="s">
        <v>214</v>
      </c>
      <c r="B117" s="29"/>
      <c r="C117" s="29"/>
      <c r="D117" s="29"/>
      <c r="E117" s="29"/>
      <c r="F117" s="29"/>
      <c r="G117" s="29"/>
      <c r="H117" s="30"/>
    </row>
    <row r="118" ht="15.75" customHeight="1">
      <c r="A118" s="73"/>
      <c r="B118" s="54"/>
      <c r="C118" s="54"/>
      <c r="D118" s="54"/>
      <c r="E118" s="54"/>
      <c r="F118" s="54"/>
      <c r="G118" s="54"/>
      <c r="H118" s="55"/>
    </row>
    <row r="119" ht="15.75" customHeight="1">
      <c r="A119" s="68"/>
      <c r="H119" s="69"/>
    </row>
    <row r="120" ht="15.75" customHeight="1">
      <c r="A120" s="56"/>
      <c r="B120" s="57"/>
      <c r="C120" s="57"/>
      <c r="D120" s="57"/>
      <c r="E120" s="57"/>
      <c r="F120" s="57"/>
      <c r="G120" s="57"/>
      <c r="H120" s="58"/>
    </row>
    <row r="121" ht="15.75" customHeight="1">
      <c r="A121" s="52" t="s">
        <v>216</v>
      </c>
      <c r="B121" s="29"/>
      <c r="C121" s="29"/>
      <c r="D121" s="29"/>
      <c r="E121" s="29"/>
      <c r="F121" s="29"/>
      <c r="G121" s="29"/>
      <c r="H121" s="30"/>
    </row>
    <row r="122" ht="15.75" customHeight="1">
      <c r="A122" s="73"/>
      <c r="B122" s="54"/>
      <c r="C122" s="54"/>
      <c r="D122" s="54"/>
      <c r="E122" s="54"/>
      <c r="F122" s="54"/>
      <c r="G122" s="54"/>
      <c r="H122" s="55"/>
    </row>
    <row r="123" ht="15.75" customHeight="1">
      <c r="A123" s="68"/>
      <c r="H123" s="69"/>
    </row>
    <row r="124" ht="15.75" customHeight="1">
      <c r="A124" s="68"/>
      <c r="H124" s="69"/>
    </row>
    <row r="125" ht="15.75" customHeight="1">
      <c r="A125" s="56"/>
      <c r="B125" s="57"/>
      <c r="C125" s="57"/>
      <c r="D125" s="57"/>
      <c r="E125" s="57"/>
      <c r="F125" s="57"/>
      <c r="G125" s="57"/>
      <c r="H125" s="58"/>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5">
    <mergeCell ref="B82:H82"/>
    <mergeCell ref="A83:H83"/>
    <mergeCell ref="A84:H86"/>
    <mergeCell ref="A87:H87"/>
    <mergeCell ref="A88:H91"/>
    <mergeCell ref="A94:D94"/>
    <mergeCell ref="B96:H96"/>
    <mergeCell ref="B97:H97"/>
    <mergeCell ref="B98:H98"/>
    <mergeCell ref="B99:H99"/>
    <mergeCell ref="A100:H100"/>
    <mergeCell ref="A101:H103"/>
    <mergeCell ref="A104:H104"/>
    <mergeCell ref="A105:H108"/>
    <mergeCell ref="C4:G4"/>
    <mergeCell ref="C5:G5"/>
    <mergeCell ref="C6:G6"/>
    <mergeCell ref="A9:D9"/>
    <mergeCell ref="B11:H11"/>
    <mergeCell ref="B12:H12"/>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A121:H121"/>
    <mergeCell ref="A122:H125"/>
    <mergeCell ref="A111:D111"/>
    <mergeCell ref="B113:H113"/>
    <mergeCell ref="B114:H114"/>
    <mergeCell ref="B115:H115"/>
    <mergeCell ref="B116:H116"/>
    <mergeCell ref="A117:H117"/>
    <mergeCell ref="A118:H120"/>
  </mergeCells>
  <dataValidations>
    <dataValidation type="list" allowBlank="1" showErrorMessage="1" sqref="B11:B12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26"/>
    </row>
    <row r="2" ht="15.75" customHeight="1">
      <c r="A2" s="26"/>
      <c r="B2" s="48" t="s">
        <v>251</v>
      </c>
    </row>
    <row r="3" ht="15.75" customHeight="1">
      <c r="A3" s="26"/>
    </row>
    <row r="4" ht="15.75" customHeight="1">
      <c r="A4" s="26"/>
      <c r="B4" s="3" t="s">
        <v>1</v>
      </c>
      <c r="C4" s="3" t="str">
        <f>'Diseño'!C4</f>
        <v>281 - Sistemas Operativos 1</v>
      </c>
    </row>
    <row r="5" ht="15.75" customHeight="1">
      <c r="A5" s="26"/>
      <c r="B5" s="26" t="s">
        <v>3</v>
      </c>
      <c r="C5" s="5" t="s">
        <v>4</v>
      </c>
    </row>
    <row r="6" ht="15.75" customHeight="1">
      <c r="A6" s="26"/>
      <c r="B6" s="26" t="s">
        <v>252</v>
      </c>
      <c r="H6" s="76"/>
    </row>
    <row r="7" ht="15.75" customHeight="1">
      <c r="A7" s="26"/>
    </row>
    <row r="8" ht="15.75" customHeight="1">
      <c r="A8" s="26"/>
    </row>
    <row r="9" ht="15.75" customHeight="1">
      <c r="A9" s="43" t="s">
        <v>253</v>
      </c>
      <c r="B9" s="77">
        <v>20.0</v>
      </c>
      <c r="D9" s="43" t="s">
        <v>208</v>
      </c>
      <c r="E9" s="77">
        <v>80.0</v>
      </c>
      <c r="F9" s="78"/>
      <c r="G9" s="78"/>
      <c r="H9" s="78"/>
      <c r="I9" s="78"/>
      <c r="J9" s="78"/>
      <c r="K9" s="78"/>
      <c r="L9" s="78"/>
      <c r="M9" s="78"/>
      <c r="N9" s="78"/>
      <c r="O9" s="78"/>
      <c r="P9" s="78"/>
      <c r="Q9" s="78"/>
      <c r="R9" s="78"/>
      <c r="S9" s="78"/>
      <c r="T9" s="78"/>
      <c r="U9" s="78"/>
      <c r="V9" s="78"/>
      <c r="W9" s="78"/>
      <c r="X9" s="78"/>
      <c r="Y9" s="78"/>
      <c r="Z9" s="78"/>
    </row>
    <row r="10" ht="15.75" customHeight="1">
      <c r="A10" s="79" t="s">
        <v>254</v>
      </c>
      <c r="D10" s="79" t="s">
        <v>255</v>
      </c>
    </row>
    <row r="11" ht="15.75" customHeight="1">
      <c r="A11" s="80"/>
      <c r="B11" s="81"/>
      <c r="C11" s="81"/>
      <c r="D11" s="81"/>
    </row>
    <row r="12" ht="15.75" customHeight="1">
      <c r="A12" s="82" t="s">
        <v>180</v>
      </c>
      <c r="B12" s="83" t="s">
        <v>256</v>
      </c>
      <c r="C12" s="83" t="s">
        <v>257</v>
      </c>
      <c r="D12" s="83" t="s">
        <v>258</v>
      </c>
    </row>
    <row r="13">
      <c r="A13" s="49" t="s">
        <v>259</v>
      </c>
      <c r="B13" s="16">
        <v>10.0</v>
      </c>
      <c r="C13" s="16">
        <v>2.0</v>
      </c>
      <c r="D13" s="31"/>
      <c r="E13" s="79" t="s">
        <v>260</v>
      </c>
    </row>
    <row r="14" ht="15.75" customHeight="1">
      <c r="A14" s="49" t="s">
        <v>208</v>
      </c>
      <c r="B14" s="31">
        <f>Proyectos!C6</f>
        <v>80</v>
      </c>
      <c r="C14" s="31">
        <f>Proyectos!C5</f>
        <v>79</v>
      </c>
      <c r="D14" s="31"/>
    </row>
    <row r="15" ht="15.75" customHeight="1">
      <c r="A15" s="49" t="s">
        <v>227</v>
      </c>
      <c r="B15" s="31">
        <f>Practicas!C6</f>
        <v>0</v>
      </c>
      <c r="C15" s="31">
        <f>Practicas!C5</f>
        <v>0</v>
      </c>
      <c r="D15" s="31"/>
    </row>
    <row r="16" ht="15.75" customHeight="1">
      <c r="A16" s="49" t="s">
        <v>237</v>
      </c>
      <c r="B16" s="31">
        <f>Tareas!C6</f>
        <v>10</v>
      </c>
      <c r="C16" s="31">
        <f>Tareas!C5</f>
        <v>4</v>
      </c>
      <c r="D16" s="31"/>
    </row>
    <row r="17" ht="15.75" customHeight="1">
      <c r="A17" s="84" t="s">
        <v>261</v>
      </c>
      <c r="B17" s="85">
        <f t="shared" ref="B17:C17" si="1">SUM(B13:B16)</f>
        <v>100</v>
      </c>
      <c r="C17" s="85">
        <f t="shared" si="1"/>
        <v>85</v>
      </c>
      <c r="D17" s="85"/>
    </row>
    <row r="18" ht="15.75" customHeight="1">
      <c r="A18" s="26"/>
    </row>
    <row r="19" ht="15.75" customHeight="1">
      <c r="A19" s="26"/>
    </row>
    <row r="20" ht="15.75" customHeight="1">
      <c r="A20" s="26"/>
    </row>
    <row r="21" ht="15.75" customHeight="1">
      <c r="A21" s="26"/>
    </row>
    <row r="22" ht="15.75" customHeight="1">
      <c r="A22" s="26"/>
    </row>
    <row r="23" ht="15.75" customHeight="1">
      <c r="A23" s="26"/>
    </row>
    <row r="24" ht="15.75" customHeight="1">
      <c r="A24" s="26"/>
    </row>
    <row r="25" ht="15.75" customHeight="1">
      <c r="A25" s="26"/>
    </row>
    <row r="26" ht="15.75" customHeight="1">
      <c r="A26" s="26"/>
    </row>
    <row r="27" ht="15.75" customHeight="1">
      <c r="A27" s="26"/>
    </row>
    <row r="28" ht="15.75" customHeight="1">
      <c r="A28" s="26"/>
    </row>
    <row r="29" ht="15.75" customHeight="1">
      <c r="A29" s="26"/>
    </row>
    <row r="30" ht="15.75" customHeight="1">
      <c r="A30" s="26"/>
    </row>
    <row r="31" ht="15.75" customHeight="1">
      <c r="A31" s="26"/>
    </row>
    <row r="32" ht="15.75" customHeight="1">
      <c r="A32" s="26"/>
    </row>
    <row r="33" ht="15.75" customHeight="1">
      <c r="A33" s="26"/>
    </row>
    <row r="34" ht="15.75" customHeight="1">
      <c r="A34" s="26"/>
    </row>
    <row r="35" ht="15.75" customHeight="1">
      <c r="A35" s="26"/>
    </row>
    <row r="36" ht="15.75" customHeight="1">
      <c r="A36" s="26"/>
    </row>
    <row r="37" ht="15.75" customHeight="1">
      <c r="A37" s="26"/>
    </row>
    <row r="38" ht="15.75" customHeight="1">
      <c r="A38" s="26"/>
    </row>
    <row r="39" ht="15.75" customHeight="1">
      <c r="A39" s="26"/>
    </row>
    <row r="40" ht="15.75" customHeight="1">
      <c r="A40" s="26"/>
    </row>
    <row r="41" ht="15.75" customHeight="1">
      <c r="A41" s="26"/>
    </row>
    <row r="42" ht="15.75" customHeight="1">
      <c r="A42" s="26"/>
    </row>
    <row r="43" ht="15.75" customHeight="1">
      <c r="A43" s="26"/>
    </row>
    <row r="44" ht="15.75" customHeight="1">
      <c r="A44" s="26"/>
    </row>
    <row r="45" ht="15.75" customHeight="1">
      <c r="A45" s="26"/>
    </row>
    <row r="46" ht="15.75" customHeight="1">
      <c r="A46" s="26"/>
    </row>
    <row r="47" ht="15.75" customHeight="1">
      <c r="A47" s="26"/>
    </row>
    <row r="48" ht="15.75" customHeight="1">
      <c r="A48" s="26"/>
    </row>
    <row r="49" ht="15.75" customHeight="1">
      <c r="A49" s="26"/>
    </row>
    <row r="50" ht="15.75" customHeight="1">
      <c r="A50" s="26"/>
    </row>
    <row r="51" ht="15.75" customHeight="1">
      <c r="A51" s="26"/>
    </row>
    <row r="52" ht="15.75" customHeight="1">
      <c r="A52" s="26"/>
    </row>
    <row r="53" ht="15.75" customHeight="1">
      <c r="A53" s="26"/>
    </row>
    <row r="54" ht="15.75" customHeight="1">
      <c r="A54" s="26"/>
    </row>
    <row r="55" ht="15.75" customHeight="1">
      <c r="A55" s="26"/>
    </row>
    <row r="56" ht="15.75" customHeight="1">
      <c r="A56" s="26"/>
    </row>
    <row r="57" ht="15.75" customHeight="1">
      <c r="A57" s="26"/>
    </row>
    <row r="58" ht="15.75" customHeight="1">
      <c r="A58" s="26"/>
    </row>
    <row r="59" ht="15.75" customHeight="1">
      <c r="A59" s="26"/>
    </row>
    <row r="60" ht="15.75" customHeight="1">
      <c r="A60" s="26"/>
    </row>
    <row r="61" ht="15.75" customHeight="1">
      <c r="A61" s="26"/>
    </row>
    <row r="62" ht="15.75" customHeight="1">
      <c r="A62" s="26"/>
    </row>
    <row r="63" ht="15.75" customHeight="1">
      <c r="A63" s="26"/>
    </row>
    <row r="64" ht="15.75" customHeight="1">
      <c r="A64" s="26"/>
    </row>
    <row r="65" ht="15.75" customHeight="1">
      <c r="A65" s="26"/>
    </row>
    <row r="66" ht="15.75" customHeight="1">
      <c r="A66" s="26"/>
    </row>
    <row r="67" ht="15.75" customHeight="1">
      <c r="A67" s="26"/>
    </row>
    <row r="68" ht="15.75" customHeight="1">
      <c r="A68" s="26"/>
    </row>
    <row r="69" ht="15.75" customHeight="1">
      <c r="A69" s="26"/>
    </row>
    <row r="70" ht="15.75" customHeight="1">
      <c r="A70" s="26"/>
    </row>
    <row r="71" ht="15.75" customHeight="1">
      <c r="A71" s="26"/>
    </row>
    <row r="72" ht="15.75" customHeight="1">
      <c r="A72" s="26"/>
    </row>
    <row r="73" ht="15.75" customHeight="1">
      <c r="A73" s="26"/>
    </row>
    <row r="74" ht="15.75" customHeight="1">
      <c r="A74" s="26"/>
    </row>
    <row r="75" ht="15.75" customHeight="1">
      <c r="A75" s="26"/>
    </row>
    <row r="76" ht="15.75" customHeight="1">
      <c r="A76" s="26"/>
    </row>
    <row r="77" ht="15.75" customHeight="1">
      <c r="A77" s="26"/>
    </row>
    <row r="78" ht="15.75" customHeight="1">
      <c r="A78" s="26"/>
    </row>
    <row r="79" ht="15.75" customHeight="1">
      <c r="A79" s="26"/>
    </row>
    <row r="80" ht="15.75" customHeight="1">
      <c r="A80" s="26"/>
    </row>
    <row r="81" ht="15.75" customHeight="1">
      <c r="A81" s="26"/>
    </row>
    <row r="82" ht="15.75" customHeight="1">
      <c r="A82" s="26"/>
    </row>
    <row r="83" ht="15.75" customHeight="1">
      <c r="A83" s="26"/>
    </row>
    <row r="84" ht="15.75" customHeight="1">
      <c r="A84" s="26"/>
    </row>
    <row r="85" ht="15.75" customHeight="1">
      <c r="A85" s="26"/>
    </row>
    <row r="86" ht="15.75" customHeight="1">
      <c r="A86" s="26"/>
    </row>
    <row r="87" ht="15.75" customHeight="1">
      <c r="A87" s="26"/>
    </row>
    <row r="88" ht="15.75" customHeight="1">
      <c r="A88" s="26"/>
    </row>
    <row r="89" ht="15.75" customHeight="1">
      <c r="A89" s="26"/>
    </row>
    <row r="90" ht="15.75" customHeight="1">
      <c r="A90" s="26"/>
    </row>
    <row r="91" ht="15.75" customHeight="1">
      <c r="A91" s="26"/>
    </row>
    <row r="92" ht="15.75" customHeight="1">
      <c r="A92" s="26"/>
    </row>
    <row r="93" ht="15.75" customHeight="1">
      <c r="A93" s="26"/>
    </row>
    <row r="94" ht="15.75" customHeight="1">
      <c r="A94" s="26"/>
    </row>
    <row r="95" ht="15.75" customHeight="1">
      <c r="A95" s="26"/>
    </row>
    <row r="96" ht="15.75" customHeight="1">
      <c r="A96" s="26"/>
    </row>
    <row r="97" ht="15.75" customHeight="1">
      <c r="A97" s="26"/>
    </row>
    <row r="98" ht="15.75" customHeight="1">
      <c r="A98" s="26"/>
    </row>
    <row r="99" ht="15.75" customHeight="1">
      <c r="A99" s="26"/>
    </row>
    <row r="100" ht="15.75" customHeight="1">
      <c r="A100" s="26"/>
    </row>
    <row r="101" ht="15.75" customHeight="1">
      <c r="A101" s="26"/>
    </row>
    <row r="102" ht="15.75" customHeight="1">
      <c r="A102" s="26"/>
    </row>
    <row r="103" ht="15.75" customHeight="1">
      <c r="A103" s="26"/>
    </row>
    <row r="104" ht="15.75" customHeight="1">
      <c r="A104" s="26"/>
    </row>
    <row r="105" ht="15.75" customHeight="1">
      <c r="A105" s="26"/>
    </row>
    <row r="106" ht="15.75" customHeight="1">
      <c r="A106" s="26"/>
    </row>
    <row r="107" ht="15.75" customHeight="1">
      <c r="A107" s="26"/>
    </row>
    <row r="108" ht="15.75" customHeight="1">
      <c r="A108" s="26"/>
    </row>
    <row r="109" ht="15.75" customHeight="1">
      <c r="A109" s="26"/>
    </row>
    <row r="110" ht="15.75" customHeight="1">
      <c r="A110" s="26"/>
    </row>
    <row r="111" ht="15.75" customHeight="1">
      <c r="A111" s="26"/>
    </row>
    <row r="112" ht="15.75" customHeight="1">
      <c r="A112" s="26"/>
    </row>
    <row r="113" ht="15.75" customHeight="1">
      <c r="A113" s="26"/>
    </row>
    <row r="114" ht="15.75" customHeight="1">
      <c r="A114" s="26"/>
    </row>
    <row r="115" ht="15.75" customHeight="1">
      <c r="A115" s="26"/>
    </row>
    <row r="116" ht="15.75" customHeight="1">
      <c r="A116" s="26"/>
    </row>
    <row r="117" ht="15.75" customHeight="1">
      <c r="A117" s="26"/>
    </row>
    <row r="118" ht="15.75" customHeight="1">
      <c r="A118" s="26"/>
    </row>
    <row r="119" ht="15.75" customHeight="1">
      <c r="A119" s="26"/>
    </row>
    <row r="120" ht="15.75" customHeight="1">
      <c r="A120" s="26"/>
    </row>
    <row r="121" ht="15.75" customHeight="1">
      <c r="A121" s="26"/>
    </row>
    <row r="122" ht="15.75" customHeight="1">
      <c r="A122" s="26"/>
    </row>
    <row r="123" ht="15.75" customHeight="1">
      <c r="A123" s="26"/>
    </row>
    <row r="124" ht="15.75" customHeight="1">
      <c r="A124" s="26"/>
    </row>
    <row r="125" ht="15.75" customHeight="1">
      <c r="A125" s="26"/>
    </row>
    <row r="126" ht="15.75" customHeight="1">
      <c r="A126" s="26"/>
    </row>
    <row r="127" ht="15.75" customHeight="1">
      <c r="A127" s="26"/>
    </row>
    <row r="128" ht="15.75" customHeight="1">
      <c r="A128" s="26"/>
    </row>
    <row r="129" ht="15.75" customHeight="1">
      <c r="A129" s="26"/>
    </row>
    <row r="130" ht="15.75" customHeight="1">
      <c r="A130" s="26"/>
    </row>
    <row r="131" ht="15.75" customHeight="1">
      <c r="A131" s="26"/>
    </row>
    <row r="132" ht="15.75" customHeight="1">
      <c r="A132" s="26"/>
    </row>
    <row r="133" ht="15.75" customHeight="1">
      <c r="A133" s="26"/>
    </row>
    <row r="134" ht="15.75" customHeight="1">
      <c r="A134" s="26"/>
    </row>
    <row r="135" ht="15.75" customHeight="1">
      <c r="A135" s="26"/>
    </row>
    <row r="136" ht="15.75" customHeight="1">
      <c r="A136" s="26"/>
    </row>
    <row r="137" ht="15.75" customHeight="1">
      <c r="A137" s="26"/>
    </row>
    <row r="138" ht="15.75" customHeight="1">
      <c r="A138" s="26"/>
    </row>
    <row r="139" ht="15.75" customHeight="1">
      <c r="A139" s="26"/>
    </row>
    <row r="140" ht="15.75" customHeight="1">
      <c r="A140" s="26"/>
    </row>
    <row r="141" ht="15.75" customHeight="1">
      <c r="A141" s="26"/>
    </row>
    <row r="142" ht="15.75" customHeight="1">
      <c r="A142" s="26"/>
    </row>
    <row r="143" ht="15.75" customHeight="1">
      <c r="A143" s="26"/>
    </row>
    <row r="144" ht="15.75" customHeight="1">
      <c r="A144" s="26"/>
    </row>
    <row r="145" ht="15.75" customHeight="1">
      <c r="A145" s="26"/>
    </row>
    <row r="146" ht="15.75" customHeight="1">
      <c r="A146" s="26"/>
    </row>
    <row r="147" ht="15.75" customHeight="1">
      <c r="A147" s="26"/>
    </row>
    <row r="148" ht="15.75" customHeight="1">
      <c r="A148" s="26"/>
    </row>
    <row r="149" ht="15.75" customHeight="1">
      <c r="A149" s="26"/>
    </row>
    <row r="150" ht="15.75" customHeight="1">
      <c r="A150" s="26"/>
    </row>
    <row r="151" ht="15.75" customHeight="1">
      <c r="A151" s="26"/>
    </row>
    <row r="152" ht="15.75" customHeight="1">
      <c r="A152" s="26"/>
    </row>
    <row r="153" ht="15.75" customHeight="1">
      <c r="A153" s="26"/>
    </row>
    <row r="154" ht="15.75" customHeight="1">
      <c r="A154" s="26"/>
    </row>
    <row r="155" ht="15.75" customHeight="1">
      <c r="A155" s="26"/>
    </row>
    <row r="156" ht="15.75" customHeight="1">
      <c r="A156" s="26"/>
    </row>
    <row r="157" ht="15.75" customHeight="1">
      <c r="A157" s="26"/>
    </row>
    <row r="158" ht="15.75" customHeight="1">
      <c r="A158" s="26"/>
    </row>
    <row r="159" ht="15.75" customHeight="1">
      <c r="A159" s="26"/>
    </row>
    <row r="160" ht="15.75" customHeight="1">
      <c r="A160" s="26"/>
    </row>
    <row r="161" ht="15.75" customHeight="1">
      <c r="A161" s="26"/>
    </row>
    <row r="162" ht="15.75" customHeight="1">
      <c r="A162" s="26"/>
    </row>
    <row r="163" ht="15.75" customHeight="1">
      <c r="A163" s="26"/>
    </row>
    <row r="164" ht="15.75" customHeight="1">
      <c r="A164" s="26"/>
    </row>
    <row r="165" ht="15.75" customHeight="1">
      <c r="A165" s="26"/>
    </row>
    <row r="166" ht="15.75" customHeight="1">
      <c r="A166" s="26"/>
    </row>
    <row r="167" ht="15.75" customHeight="1">
      <c r="A167" s="26"/>
    </row>
    <row r="168" ht="15.75" customHeight="1">
      <c r="A168" s="26"/>
    </row>
    <row r="169" ht="15.75" customHeight="1">
      <c r="A169" s="26"/>
    </row>
    <row r="170" ht="15.75" customHeight="1">
      <c r="A170" s="26"/>
    </row>
    <row r="171" ht="15.75" customHeight="1">
      <c r="A171" s="26"/>
    </row>
    <row r="172" ht="15.75" customHeight="1">
      <c r="A172" s="26"/>
    </row>
    <row r="173" ht="15.75" customHeight="1">
      <c r="A173" s="26"/>
    </row>
    <row r="174" ht="15.75" customHeight="1">
      <c r="A174" s="26"/>
    </row>
    <row r="175" ht="15.75" customHeight="1">
      <c r="A175" s="26"/>
    </row>
    <row r="176" ht="15.75" customHeight="1">
      <c r="A176" s="26"/>
    </row>
    <row r="177" ht="15.75" customHeight="1">
      <c r="A177" s="26"/>
    </row>
    <row r="178" ht="15.75" customHeight="1">
      <c r="A178" s="26"/>
    </row>
    <row r="179" ht="15.75" customHeight="1">
      <c r="A179" s="26"/>
    </row>
    <row r="180" ht="15.75" customHeight="1">
      <c r="A180" s="26"/>
    </row>
    <row r="181" ht="15.75" customHeight="1">
      <c r="A181" s="26"/>
    </row>
    <row r="182" ht="15.75" customHeight="1">
      <c r="A182" s="26"/>
    </row>
    <row r="183" ht="15.75" customHeight="1">
      <c r="A183" s="26"/>
    </row>
    <row r="184" ht="15.75" customHeight="1">
      <c r="A184" s="26"/>
    </row>
    <row r="185" ht="15.75" customHeight="1">
      <c r="A185" s="26"/>
    </row>
    <row r="186" ht="15.75" customHeight="1">
      <c r="A186" s="26"/>
    </row>
    <row r="187" ht="15.75" customHeight="1">
      <c r="A187" s="26"/>
    </row>
    <row r="188" ht="15.75" customHeight="1">
      <c r="A188" s="26"/>
    </row>
    <row r="189" ht="15.75" customHeight="1">
      <c r="A189" s="26"/>
    </row>
    <row r="190" ht="15.75" customHeight="1">
      <c r="A190" s="26"/>
    </row>
    <row r="191" ht="15.75" customHeight="1">
      <c r="A191" s="26"/>
    </row>
    <row r="192" ht="15.75" customHeight="1">
      <c r="A192" s="26"/>
    </row>
    <row r="193" ht="15.75" customHeight="1">
      <c r="A193" s="26"/>
    </row>
    <row r="194" ht="15.75" customHeight="1">
      <c r="A194" s="26"/>
    </row>
    <row r="195" ht="15.75" customHeight="1">
      <c r="A195" s="26"/>
    </row>
    <row r="196" ht="15.75" customHeight="1">
      <c r="A196" s="26"/>
    </row>
    <row r="197" ht="15.75" customHeight="1">
      <c r="A197" s="26"/>
    </row>
    <row r="198" ht="15.75" customHeight="1">
      <c r="A198" s="26"/>
    </row>
    <row r="199" ht="15.75" customHeight="1">
      <c r="A199" s="26"/>
    </row>
    <row r="200" ht="15.75" customHeight="1">
      <c r="A200" s="26"/>
    </row>
    <row r="201" ht="15.75" customHeight="1">
      <c r="A201" s="26"/>
    </row>
    <row r="202" ht="15.75" customHeight="1">
      <c r="A202" s="26"/>
    </row>
    <row r="203" ht="15.75" customHeight="1">
      <c r="A203" s="26"/>
    </row>
    <row r="204" ht="15.75" customHeight="1">
      <c r="A204" s="26"/>
    </row>
    <row r="205" ht="15.75" customHeight="1">
      <c r="A205" s="26"/>
    </row>
    <row r="206" ht="15.75" customHeight="1">
      <c r="A206" s="26"/>
    </row>
    <row r="207" ht="15.75" customHeight="1">
      <c r="A207" s="26"/>
    </row>
    <row r="208" ht="15.75" customHeight="1">
      <c r="A208" s="26"/>
    </row>
    <row r="209" ht="15.75" customHeight="1">
      <c r="A209" s="26"/>
    </row>
    <row r="210" ht="15.75" customHeight="1">
      <c r="A210" s="26"/>
    </row>
    <row r="211" ht="15.75" customHeight="1">
      <c r="A211" s="26"/>
    </row>
    <row r="212" ht="15.75" customHeight="1">
      <c r="A212" s="26"/>
    </row>
    <row r="213" ht="15.75" customHeight="1">
      <c r="A213" s="26"/>
    </row>
    <row r="214" ht="15.75" customHeight="1">
      <c r="A214" s="26"/>
    </row>
    <row r="215" ht="15.75" customHeight="1">
      <c r="A215" s="26"/>
    </row>
    <row r="216" ht="15.75" customHeight="1">
      <c r="A216" s="26"/>
    </row>
    <row r="217" ht="15.75" customHeight="1">
      <c r="A217" s="26"/>
    </row>
    <row r="218" ht="15.75" customHeight="1">
      <c r="A218" s="26"/>
    </row>
    <row r="219" ht="15.75" customHeight="1">
      <c r="A219" s="26"/>
    </row>
    <row r="220" ht="15.75" customHeight="1">
      <c r="A220" s="2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Cursos!H:L"")"),"#REF!")</f>
        <v>#REF!</v>
      </c>
      <c r="B1" s="5"/>
      <c r="C1" s="5"/>
      <c r="D1" s="5"/>
      <c r="E1" s="5"/>
      <c r="H1" s="5" t="str">
        <f>IFERROR(__xludf.DUMMYFUNCTION("IMPORTRANGE(VLOOKUP('Diseño'!C4,A:E,4,FALSE), ""Competencias_1re_Sem_2026!B10:J23"")"),"#N/A")</f>
        <v>#N/A</v>
      </c>
      <c r="I1" s="5"/>
      <c r="J1" s="5"/>
      <c r="K1" s="5"/>
      <c r="L1" s="5"/>
      <c r="M1" s="5"/>
      <c r="N1" s="5"/>
      <c r="O1" s="5"/>
      <c r="P1" s="5"/>
    </row>
    <row r="2" ht="15.75" customHeight="1">
      <c r="A2" s="5"/>
      <c r="B2" s="5"/>
      <c r="C2" s="5"/>
      <c r="D2" s="5"/>
      <c r="E2" s="5"/>
      <c r="H2" s="5"/>
      <c r="I2" s="5"/>
      <c r="J2" s="5"/>
      <c r="K2" s="5"/>
      <c r="L2" s="5"/>
      <c r="M2" s="5"/>
      <c r="N2" s="5"/>
      <c r="O2" s="5"/>
      <c r="P2" s="5"/>
    </row>
    <row r="3" ht="15.75" customHeight="1">
      <c r="A3" s="5"/>
      <c r="B3" s="5"/>
      <c r="C3" s="5"/>
      <c r="D3" s="5"/>
      <c r="E3" s="5"/>
      <c r="H3" s="5"/>
      <c r="I3" s="5"/>
      <c r="J3" s="5"/>
      <c r="K3" s="5"/>
      <c r="L3" s="5"/>
      <c r="M3" s="5"/>
      <c r="N3" s="5"/>
      <c r="O3" s="5"/>
      <c r="P3" s="5"/>
    </row>
    <row r="4" ht="15.75" customHeight="1">
      <c r="A4" s="5"/>
      <c r="B4" s="5"/>
      <c r="C4" s="5"/>
      <c r="D4" s="5"/>
      <c r="E4" s="5"/>
      <c r="H4" s="5"/>
      <c r="I4" s="5"/>
      <c r="J4" s="5"/>
      <c r="K4" s="5"/>
      <c r="L4" s="5"/>
      <c r="M4" s="5"/>
      <c r="N4" s="5"/>
      <c r="O4" s="5"/>
      <c r="P4" s="5"/>
    </row>
    <row r="5" ht="15.75" customHeight="1">
      <c r="A5" s="5"/>
      <c r="B5" s="5"/>
      <c r="C5" s="5"/>
      <c r="D5" s="5"/>
      <c r="E5" s="5"/>
      <c r="H5" s="5"/>
      <c r="I5" s="5"/>
      <c r="J5" s="5"/>
      <c r="K5" s="5"/>
      <c r="L5" s="5"/>
      <c r="M5" s="5"/>
      <c r="N5" s="5"/>
      <c r="O5" s="5"/>
      <c r="P5" s="5"/>
    </row>
    <row r="6" ht="15.75" customHeight="1">
      <c r="A6" s="5"/>
      <c r="B6" s="5"/>
      <c r="C6" s="5"/>
      <c r="D6" s="5"/>
      <c r="E6" s="5"/>
      <c r="H6" s="5"/>
      <c r="I6" s="5"/>
      <c r="J6" s="5"/>
      <c r="K6" s="5"/>
      <c r="L6" s="5"/>
      <c r="M6" s="5"/>
      <c r="N6" s="5"/>
      <c r="O6" s="5"/>
      <c r="P6" s="5"/>
    </row>
    <row r="7" ht="15.75" customHeight="1">
      <c r="A7" s="5"/>
      <c r="B7" s="5"/>
      <c r="C7" s="5"/>
      <c r="D7" s="5"/>
      <c r="E7" s="5"/>
      <c r="H7" s="5"/>
      <c r="I7" s="5"/>
      <c r="J7" s="5"/>
      <c r="K7" s="5"/>
      <c r="L7" s="5"/>
      <c r="M7" s="5"/>
      <c r="N7" s="5"/>
      <c r="O7" s="5"/>
      <c r="P7" s="5"/>
    </row>
    <row r="8" ht="15.75" customHeight="1">
      <c r="A8" s="5"/>
      <c r="B8" s="5"/>
      <c r="C8" s="5"/>
      <c r="D8" s="5"/>
      <c r="E8" s="5"/>
      <c r="H8" s="5"/>
      <c r="I8" s="5"/>
      <c r="J8" s="5"/>
      <c r="K8" s="5"/>
      <c r="L8" s="5"/>
      <c r="M8" s="5"/>
      <c r="N8" s="5"/>
      <c r="O8" s="5"/>
      <c r="P8" s="5"/>
    </row>
    <row r="9" ht="15.75" customHeight="1">
      <c r="A9" s="5"/>
      <c r="B9" s="5"/>
      <c r="C9" s="5"/>
      <c r="D9" s="5"/>
      <c r="E9" s="5"/>
      <c r="H9" s="5"/>
      <c r="I9" s="5"/>
      <c r="J9" s="5"/>
      <c r="K9" s="5"/>
      <c r="L9" s="5"/>
      <c r="M9" s="5"/>
      <c r="N9" s="5"/>
      <c r="O9" s="5"/>
      <c r="P9" s="5"/>
    </row>
    <row r="10" ht="15.75" customHeight="1">
      <c r="A10" s="5"/>
      <c r="B10" s="5"/>
      <c r="C10" s="5"/>
      <c r="D10" s="5"/>
      <c r="E10" s="5"/>
      <c r="H10" s="5"/>
      <c r="I10" s="5"/>
      <c r="J10" s="5"/>
      <c r="K10" s="5"/>
      <c r="L10" s="5"/>
      <c r="M10" s="5"/>
      <c r="N10" s="5"/>
      <c r="O10" s="5"/>
      <c r="P10" s="5"/>
    </row>
    <row r="11" ht="15.75" customHeight="1">
      <c r="A11" s="5"/>
      <c r="B11" s="5"/>
      <c r="C11" s="5"/>
      <c r="D11" s="5"/>
      <c r="E11" s="5"/>
      <c r="H11" s="5"/>
      <c r="I11" s="5"/>
      <c r="J11" s="5"/>
      <c r="K11" s="5"/>
      <c r="L11" s="5"/>
      <c r="M11" s="5"/>
      <c r="N11" s="5"/>
      <c r="O11" s="5"/>
      <c r="P11" s="5"/>
    </row>
    <row r="12" ht="15.75" customHeight="1">
      <c r="A12" s="5"/>
      <c r="B12" s="5"/>
      <c r="C12" s="5"/>
      <c r="D12" s="5"/>
      <c r="E12" s="5"/>
      <c r="H12" s="5"/>
      <c r="I12" s="5"/>
      <c r="J12" s="5"/>
      <c r="K12" s="5"/>
      <c r="L12" s="5"/>
      <c r="M12" s="5"/>
      <c r="N12" s="5"/>
      <c r="O12" s="5"/>
      <c r="P12" s="5"/>
    </row>
    <row r="13" ht="15.75" customHeight="1">
      <c r="A13" s="5"/>
      <c r="B13" s="5"/>
      <c r="C13" s="5"/>
      <c r="D13" s="5"/>
      <c r="E13" s="5"/>
      <c r="H13" s="5"/>
      <c r="I13" s="5"/>
      <c r="J13" s="5"/>
      <c r="K13" s="5"/>
      <c r="L13" s="5"/>
      <c r="M13" s="5"/>
      <c r="N13" s="5"/>
      <c r="O13" s="5"/>
      <c r="P13" s="5"/>
    </row>
    <row r="14" ht="15.75" customHeight="1">
      <c r="A14" s="5"/>
      <c r="B14" s="5"/>
      <c r="C14" s="5"/>
      <c r="D14" s="5"/>
      <c r="E14" s="5"/>
      <c r="H14" s="5"/>
      <c r="I14" s="5"/>
      <c r="J14" s="5"/>
      <c r="K14" s="5"/>
      <c r="L14" s="5"/>
      <c r="M14" s="5"/>
      <c r="N14" s="5"/>
      <c r="O14" s="5"/>
      <c r="P14" s="5"/>
    </row>
    <row r="15" ht="15.75" customHeight="1">
      <c r="A15" s="5"/>
      <c r="B15" s="5"/>
      <c r="C15" s="5"/>
      <c r="D15" s="5"/>
      <c r="E15" s="5"/>
    </row>
    <row r="16" ht="15.75" customHeight="1">
      <c r="A16" s="5"/>
      <c r="B16" s="5"/>
      <c r="C16" s="5"/>
      <c r="D16" s="5"/>
      <c r="E16" s="5"/>
    </row>
    <row r="17" ht="15.75" customHeight="1">
      <c r="A17" s="5"/>
      <c r="B17" s="5"/>
      <c r="C17" s="5"/>
      <c r="D17" s="5"/>
      <c r="E17" s="5"/>
      <c r="I17" s="5" t="str">
        <f>I2</f>
        <v/>
      </c>
    </row>
    <row r="18" ht="15.75" customHeight="1">
      <c r="A18" s="5"/>
      <c r="B18" s="5"/>
      <c r="C18" s="5"/>
      <c r="D18" s="5"/>
      <c r="E18" s="5"/>
      <c r="I18" s="5" t="str">
        <f>I4</f>
        <v/>
      </c>
    </row>
    <row r="19" ht="15.75" customHeight="1">
      <c r="A19" s="5"/>
      <c r="B19" s="5"/>
      <c r="C19" s="5"/>
      <c r="D19" s="5"/>
      <c r="E19" s="5"/>
      <c r="I19" s="5" t="str">
        <f>I6</f>
        <v/>
      </c>
    </row>
    <row r="20" ht="15.75" customHeight="1">
      <c r="A20" s="5"/>
      <c r="B20" s="5"/>
      <c r="C20" s="5"/>
      <c r="D20" s="5"/>
      <c r="E20" s="5"/>
      <c r="I20" s="5" t="str">
        <f>I8</f>
        <v/>
      </c>
    </row>
    <row r="21" ht="15.75" customHeight="1">
      <c r="A21" s="5"/>
      <c r="B21" s="5"/>
      <c r="C21" s="5"/>
      <c r="D21" s="5"/>
      <c r="E21" s="5"/>
      <c r="I21" s="5" t="str">
        <f>I10</f>
        <v/>
      </c>
    </row>
    <row r="22" ht="15.75" customHeight="1">
      <c r="A22" s="5"/>
      <c r="B22" s="5"/>
      <c r="C22" s="5"/>
      <c r="D22" s="5"/>
      <c r="E22" s="5"/>
      <c r="I22" s="5" t="str">
        <f>I12</f>
        <v/>
      </c>
    </row>
    <row r="23" ht="15.75" customHeight="1">
      <c r="A23" s="5"/>
      <c r="B23" s="5"/>
      <c r="C23" s="5"/>
      <c r="D23" s="5"/>
      <c r="E23" s="5"/>
      <c r="I23" s="5" t="str">
        <f>I14</f>
        <v/>
      </c>
    </row>
    <row r="24" ht="15.75" customHeight="1">
      <c r="A24" s="5"/>
      <c r="B24" s="5"/>
      <c r="C24" s="5"/>
      <c r="D24" s="5"/>
      <c r="E24" s="5"/>
    </row>
    <row r="25" ht="15.75" customHeight="1">
      <c r="A25" s="5"/>
      <c r="B25" s="5"/>
      <c r="C25" s="5"/>
      <c r="D25" s="5"/>
      <c r="E25" s="5"/>
    </row>
    <row r="26" ht="15.75" customHeight="1">
      <c r="A26" s="5"/>
      <c r="B26" s="5"/>
      <c r="C26" s="5"/>
      <c r="D26" s="5"/>
      <c r="E26" s="5"/>
    </row>
    <row r="27" ht="15.75" customHeight="1">
      <c r="A27" s="5"/>
      <c r="B27" s="5"/>
      <c r="C27" s="5"/>
      <c r="D27" s="5"/>
      <c r="E27" s="5"/>
    </row>
    <row r="28" ht="15.75" customHeight="1">
      <c r="A28" s="5"/>
      <c r="B28" s="5"/>
      <c r="C28" s="5"/>
      <c r="D28" s="5"/>
      <c r="E28" s="5"/>
    </row>
    <row r="29" ht="15.75" customHeight="1">
      <c r="A29" s="5"/>
      <c r="B29" s="5"/>
      <c r="C29" s="5"/>
      <c r="D29" s="5"/>
      <c r="E29" s="5"/>
    </row>
    <row r="30" ht="15.75" customHeight="1">
      <c r="A30" s="5"/>
      <c r="B30" s="5"/>
      <c r="C30" s="5"/>
      <c r="D30" s="5"/>
      <c r="E30" s="5"/>
    </row>
    <row r="31" ht="15.75" customHeight="1">
      <c r="A31" s="5"/>
      <c r="B31" s="5"/>
      <c r="C31" s="5"/>
      <c r="D31" s="5"/>
      <c r="E31" s="5"/>
    </row>
    <row r="32" ht="15.75" customHeight="1">
      <c r="A32" s="5"/>
      <c r="B32" s="5"/>
      <c r="C32" s="5"/>
      <c r="D32" s="5"/>
      <c r="E32" s="5"/>
    </row>
    <row r="33" ht="15.75" customHeight="1">
      <c r="A33" s="5"/>
      <c r="B33" s="5"/>
      <c r="C33" s="5"/>
      <c r="D33" s="5"/>
      <c r="E33" s="5"/>
    </row>
    <row r="34" ht="15.75" customHeight="1">
      <c r="A34" s="5"/>
      <c r="B34" s="5"/>
      <c r="C34" s="5"/>
      <c r="D34" s="5"/>
      <c r="E34" s="5"/>
    </row>
    <row r="35" ht="15.75" customHeight="1">
      <c r="A35" s="5"/>
      <c r="B35" s="5"/>
      <c r="C35" s="5"/>
      <c r="D35" s="5"/>
      <c r="E35" s="5"/>
    </row>
    <row r="36" ht="15.75" customHeight="1">
      <c r="A36" s="5"/>
      <c r="B36" s="5"/>
      <c r="C36" s="5"/>
      <c r="D36" s="5"/>
      <c r="E36" s="5"/>
    </row>
    <row r="37" ht="15.75" customHeight="1">
      <c r="A37" s="5"/>
      <c r="B37" s="5"/>
      <c r="C37" s="5"/>
      <c r="D37" s="5"/>
      <c r="E37" s="5"/>
    </row>
    <row r="38" ht="15.75" customHeight="1">
      <c r="A38" s="5"/>
      <c r="B38" s="5"/>
      <c r="C38" s="5"/>
      <c r="D38" s="5"/>
      <c r="E38" s="5"/>
    </row>
    <row r="39" ht="15.75" customHeight="1">
      <c r="A39" s="5"/>
      <c r="B39" s="5"/>
      <c r="C39" s="5"/>
      <c r="D39" s="5"/>
      <c r="E39" s="5"/>
    </row>
    <row r="40" ht="15.75" customHeight="1">
      <c r="A40" s="5"/>
      <c r="B40" s="5"/>
      <c r="C40" s="5"/>
      <c r="D40" s="5"/>
      <c r="E40" s="5"/>
    </row>
    <row r="41" ht="15.75" customHeight="1">
      <c r="A41" s="5"/>
      <c r="B41" s="5"/>
      <c r="C41" s="5"/>
      <c r="D41" s="5"/>
      <c r="E41" s="5"/>
    </row>
    <row r="42" ht="15.75" customHeight="1">
      <c r="A42" s="5"/>
      <c r="B42" s="5"/>
      <c r="C42" s="5"/>
      <c r="D42" s="5"/>
      <c r="E42" s="5"/>
    </row>
    <row r="43" ht="15.75" customHeight="1">
      <c r="A43" s="5"/>
      <c r="B43" s="5"/>
      <c r="C43" s="5"/>
      <c r="D43" s="5"/>
      <c r="E43" s="5"/>
    </row>
    <row r="44" ht="15.75" customHeight="1">
      <c r="A44" s="5"/>
      <c r="B44" s="5"/>
      <c r="C44" s="5"/>
      <c r="D44" s="5"/>
      <c r="E44" s="5"/>
    </row>
    <row r="45" ht="15.75" customHeight="1">
      <c r="A45" s="5"/>
      <c r="B45" s="5"/>
      <c r="C45" s="5"/>
      <c r="D45" s="5"/>
      <c r="E45" s="5"/>
    </row>
    <row r="46" ht="15.75" customHeight="1">
      <c r="A46" s="5"/>
      <c r="B46" s="5"/>
      <c r="C46" s="5"/>
      <c r="D46" s="5"/>
      <c r="E46" s="5"/>
    </row>
    <row r="47" ht="15.75" customHeight="1">
      <c r="A47" s="5"/>
      <c r="B47" s="5"/>
      <c r="C47" s="5"/>
      <c r="D47" s="5"/>
      <c r="E47" s="5"/>
    </row>
    <row r="48" ht="15.75" customHeight="1">
      <c r="A48" s="5"/>
      <c r="B48" s="5"/>
      <c r="C48" s="5"/>
      <c r="D48" s="5"/>
      <c r="E48" s="5"/>
    </row>
    <row r="49" ht="15.75" customHeight="1">
      <c r="A49" s="5"/>
      <c r="B49" s="5"/>
      <c r="C49" s="5"/>
      <c r="D49" s="5"/>
      <c r="E49" s="5"/>
    </row>
    <row r="50" ht="15.75" customHeight="1">
      <c r="A50" s="5"/>
      <c r="B50" s="5"/>
      <c r="C50" s="5"/>
      <c r="D50" s="5"/>
      <c r="E50" s="5"/>
    </row>
    <row r="51" ht="15.75" customHeight="1">
      <c r="A51" s="5"/>
      <c r="B51" s="5"/>
      <c r="C51" s="5"/>
      <c r="D51" s="5"/>
      <c r="E51" s="5"/>
    </row>
    <row r="52" ht="15.75" customHeight="1">
      <c r="A52" s="5"/>
      <c r="B52" s="5"/>
      <c r="C52" s="5"/>
      <c r="D52" s="5"/>
      <c r="E52" s="5"/>
    </row>
    <row r="53" ht="15.75" customHeight="1">
      <c r="A53" s="5"/>
      <c r="B53" s="5"/>
      <c r="C53" s="5"/>
      <c r="D53" s="5"/>
      <c r="E53" s="5"/>
    </row>
    <row r="54" ht="15.75" customHeight="1">
      <c r="A54" s="5"/>
      <c r="B54" s="5"/>
      <c r="C54" s="5"/>
      <c r="D54" s="5"/>
      <c r="E54" s="5"/>
    </row>
    <row r="55" ht="15.75" customHeight="1">
      <c r="A55" s="5"/>
      <c r="B55" s="5"/>
      <c r="C55" s="5"/>
      <c r="D55" s="5"/>
      <c r="E55" s="5"/>
    </row>
    <row r="56" ht="15.75" customHeight="1">
      <c r="A56" s="5"/>
      <c r="B56" s="5"/>
      <c r="C56" s="5"/>
      <c r="D56" s="5"/>
      <c r="E56" s="5"/>
    </row>
    <row r="57" ht="15.75" customHeight="1">
      <c r="A57" s="5"/>
      <c r="B57" s="5"/>
      <c r="C57" s="5"/>
      <c r="D57" s="5"/>
      <c r="E57" s="5"/>
    </row>
    <row r="58" ht="15.75" customHeight="1">
      <c r="A58" s="5"/>
      <c r="B58" s="5"/>
      <c r="C58" s="5"/>
      <c r="D58" s="5"/>
      <c r="E58" s="5"/>
    </row>
    <row r="59" ht="15.75" customHeight="1">
      <c r="A59" s="5"/>
      <c r="B59" s="5"/>
      <c r="C59" s="5"/>
      <c r="D59" s="5"/>
      <c r="E59" s="5"/>
    </row>
    <row r="60" ht="15.75" customHeight="1">
      <c r="A60" s="5"/>
      <c r="B60" s="5"/>
      <c r="C60" s="5"/>
      <c r="D60" s="5"/>
      <c r="E60" s="5"/>
    </row>
    <row r="61" ht="15.75" customHeight="1">
      <c r="A61" s="5"/>
      <c r="B61" s="5"/>
      <c r="C61" s="5"/>
      <c r="D61" s="5"/>
      <c r="E61" s="5"/>
    </row>
    <row r="62" ht="15.75" customHeight="1">
      <c r="A62" s="5"/>
      <c r="B62" s="5"/>
      <c r="C62" s="5"/>
      <c r="D62" s="5"/>
      <c r="E62" s="5"/>
    </row>
    <row r="63" ht="15.75" customHeight="1">
      <c r="A63" s="5"/>
      <c r="B63" s="5"/>
      <c r="C63" s="5"/>
      <c r="D63" s="5"/>
      <c r="E63" s="5"/>
    </row>
    <row r="64" ht="15.75" customHeight="1">
      <c r="A64" s="5"/>
      <c r="B64" s="5"/>
      <c r="C64" s="5"/>
      <c r="D64" s="5"/>
      <c r="E64" s="5"/>
    </row>
    <row r="65" ht="15.75" customHeight="1">
      <c r="A65" s="5"/>
      <c r="B65" s="5"/>
      <c r="C65" s="5"/>
      <c r="D65" s="5"/>
      <c r="E65" s="5"/>
    </row>
    <row r="66" ht="15.75" customHeight="1">
      <c r="A66" s="5"/>
      <c r="B66" s="5"/>
      <c r="C66" s="5"/>
      <c r="D66" s="5"/>
      <c r="E66" s="5"/>
    </row>
    <row r="67" ht="15.75" customHeight="1">
      <c r="A67" s="5"/>
      <c r="B67" s="5"/>
      <c r="C67" s="5"/>
      <c r="D67" s="5"/>
      <c r="E67" s="5"/>
    </row>
    <row r="68" ht="15.75" customHeight="1">
      <c r="A68" s="5"/>
      <c r="B68" s="5"/>
      <c r="C68" s="5"/>
      <c r="D68" s="5"/>
      <c r="E68" s="5"/>
    </row>
    <row r="69" ht="15.75" customHeight="1">
      <c r="A69" s="5"/>
      <c r="B69" s="5"/>
      <c r="C69" s="5"/>
      <c r="D69" s="5"/>
      <c r="E69" s="5"/>
    </row>
    <row r="70" ht="15.75" customHeight="1">
      <c r="A70" s="5"/>
      <c r="B70" s="5"/>
      <c r="C70" s="5"/>
      <c r="D70" s="5"/>
      <c r="E70" s="5"/>
    </row>
    <row r="71" ht="15.75" customHeight="1">
      <c r="A71" s="5"/>
      <c r="B71" s="5"/>
      <c r="C71" s="5"/>
      <c r="D71" s="5"/>
      <c r="E71" s="5"/>
    </row>
    <row r="72" ht="15.75" customHeight="1">
      <c r="A72" s="5"/>
      <c r="B72" s="5"/>
      <c r="C72" s="5"/>
      <c r="D72" s="5"/>
      <c r="E72" s="5"/>
    </row>
    <row r="73" ht="15.75" customHeight="1">
      <c r="A73" s="5"/>
      <c r="B73" s="5"/>
      <c r="C73" s="5"/>
      <c r="D73" s="5"/>
      <c r="E73" s="5"/>
    </row>
    <row r="74" ht="15.75" customHeight="1">
      <c r="A74" s="5"/>
      <c r="B74" s="5"/>
      <c r="C74" s="5"/>
      <c r="D74" s="5"/>
      <c r="E74" s="5"/>
    </row>
    <row r="75" ht="15.75" customHeight="1">
      <c r="A75" s="5"/>
      <c r="B75" s="5"/>
      <c r="C75" s="5"/>
      <c r="D75" s="5"/>
      <c r="E75" s="5"/>
    </row>
    <row r="76" ht="15.75" customHeight="1">
      <c r="A76" s="5"/>
      <c r="B76" s="5"/>
      <c r="C76" s="5"/>
      <c r="D76" s="5"/>
      <c r="E76" s="5"/>
    </row>
    <row r="77" ht="15.75" customHeight="1">
      <c r="A77" s="5"/>
      <c r="B77" s="5"/>
      <c r="C77" s="5"/>
      <c r="D77" s="5"/>
      <c r="E77" s="5"/>
    </row>
    <row r="78" ht="15.75" customHeight="1">
      <c r="A78" s="5"/>
      <c r="B78" s="5"/>
      <c r="C78" s="5"/>
      <c r="D78" s="5"/>
      <c r="E78" s="5"/>
    </row>
    <row r="79" ht="15.75" customHeight="1">
      <c r="A79" s="5"/>
      <c r="B79" s="5"/>
      <c r="C79" s="5"/>
      <c r="D79" s="5"/>
      <c r="E79" s="5"/>
    </row>
    <row r="80" ht="15.75" customHeight="1">
      <c r="A80" s="5"/>
      <c r="B80" s="5"/>
      <c r="C80" s="5"/>
      <c r="D80" s="5"/>
      <c r="E80" s="5"/>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