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visible" name="METADATA" sheetId="17" r:id="rId20"/>
  </sheets>
  <definedNames/>
  <calcPr/>
  <extLst>
    <ext uri="GoogleSheetsCustomDataVersion2">
      <go:sheetsCustomData xmlns:go="http://customooxmlschemas.google.com/" r:id="rId21" roundtripDataChecksum="ErKW6/dg0VC0O3o7cWHF3f0RuYBm+mPxQs0RMUvtyM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<sst xmlns="http://schemas.openxmlformats.org/spreadsheetml/2006/main" count="1115" uniqueCount="250">
  <si>
    <t>Diseño de Contenido Curricular</t>
  </si>
  <si>
    <t>Curso</t>
  </si>
  <si>
    <t>972 - Inteligencia Artificial 1</t>
  </si>
  <si>
    <t>Periodo al que aplica</t>
  </si>
  <si>
    <t>Primer Semestre 2026</t>
  </si>
  <si>
    <t>No.</t>
  </si>
  <si>
    <t>Competencia</t>
  </si>
  <si>
    <t>Nombre de la Unidad</t>
  </si>
  <si>
    <t>Tema</t>
  </si>
  <si>
    <t>Subtema</t>
  </si>
  <si>
    <t>Mes</t>
  </si>
  <si>
    <t>Semana</t>
  </si>
  <si>
    <t xml:space="preserve">desarrolla hechos, reglas, expresiones y predicados recursivos mediante el uso de cláusulas, ciclos, listas, unificación y cortes en Prolog para modelar bases de conocimiento y resolver problemas de inferencia lógica </t>
  </si>
  <si>
    <t>Logica e Inferencia</t>
  </si>
  <si>
    <t>Tipos de datos y variables</t>
  </si>
  <si>
    <t>Declaración de datos atómicos y compuestos</t>
  </si>
  <si>
    <t>Julio</t>
  </si>
  <si>
    <t>Manipulación de variables en entornos lógicos</t>
  </si>
  <si>
    <t>Reglas, Hechos y Consultas</t>
  </si>
  <si>
    <t>Sintaxis de hechos y reglas en Prolog</t>
  </si>
  <si>
    <t>Realización de consultas simples y compuestas</t>
  </si>
  <si>
    <t>Expresiones y Cláusulas</t>
  </si>
  <si>
    <t>Construcción de expresiones condicionales</t>
  </si>
  <si>
    <t>Agosto</t>
  </si>
  <si>
    <t>Encadenamiento de cláusulas para inferencias</t>
  </si>
  <si>
    <t>Predicados</t>
  </si>
  <si>
    <t>Definición de predicados simples</t>
  </si>
  <si>
    <t>Uso de predicados recursivos</t>
  </si>
  <si>
    <t>Negación y Cortes</t>
  </si>
  <si>
    <t>Implementación de negación en inferencias</t>
  </si>
  <si>
    <t>Control de flujo mediante cortes</t>
  </si>
  <si>
    <t>Ciclos y Recursión</t>
  </si>
  <si>
    <t>Definición de ciclos recursivos</t>
  </si>
  <si>
    <t>Resolución de problemas mediante recursividad</t>
  </si>
  <si>
    <t>Átomos, Listas y Unificación</t>
  </si>
  <si>
    <t>Manejo de átomos y listas</t>
  </si>
  <si>
    <t>Principios de unificación de términos</t>
  </si>
  <si>
    <t xml:space="preserve">evalúa plataformas de realidad aumentada usando criterios de compatibilidad, usabilidad y eficiencia bajo escenarios de prueba en dispositivos móviles y navegadores web </t>
  </si>
  <si>
    <t>Realidad Aumentada</t>
  </si>
  <si>
    <t>Introducción a la Realidad Aumentada</t>
  </si>
  <si>
    <t>Definición y aplicaciones de la AR</t>
  </si>
  <si>
    <t>Septiembre</t>
  </si>
  <si>
    <t>Componentes básicos de un sistema de AR</t>
  </si>
  <si>
    <t>Plataformas de Desarrollo de AR</t>
  </si>
  <si>
    <t>Plataformas de desarrollo de AR</t>
  </si>
  <si>
    <t>Librerías de AR para entornos web</t>
  </si>
  <si>
    <t xml:space="preserve">crea aplicaciones de realidad aumentada con contenido digital interactivo mediante el uso de bibliotecas y técnicas de diseño de experiencias para integrar información virtual en el mundo real de forma efectiva y funcional </t>
  </si>
  <si>
    <t>Diseño de Aplicaciones de Realidad Aumentada</t>
  </si>
  <si>
    <t>Planeación de flujos de usuario en AR</t>
  </si>
  <si>
    <t>Integración de interacción digital en entornos reales</t>
  </si>
  <si>
    <t>Creación de Contenido Digital para AR</t>
  </si>
  <si>
    <t>Modelado de objetos 2D y 3D para AR</t>
  </si>
  <si>
    <t>Técnicas de optimización de contenido digital</t>
  </si>
  <si>
    <t xml:space="preserve">integra diseños 2D y 3D de robots la eficiencia y realismo en simulaciones robóticas para aumentar la precisión, eficiencia y realismo de entornos virtuales </t>
  </si>
  <si>
    <t>Simulación de Robots</t>
  </si>
  <si>
    <t>Introducción a la Simulación Robótica</t>
  </si>
  <si>
    <t>Definición y aplicaciones de la simulación de robots</t>
  </si>
  <si>
    <t>Octubre</t>
  </si>
  <si>
    <t>Plataformas y bibliotecas de simulación 3D y 2D</t>
  </si>
  <si>
    <t>Diseño de Robots en 2D</t>
  </si>
  <si>
    <t>Modelado de robots en entornos bidimensionales</t>
  </si>
  <si>
    <t>Definición de acciones básicas en 2D</t>
  </si>
  <si>
    <t>Diseño de Robots en 3D</t>
  </si>
  <si>
    <t>Creación de modelos tridimensionales de robots</t>
  </si>
  <si>
    <t>Implementación de texturas y materiales</t>
  </si>
  <si>
    <t>Programación de Acciones Robóticas</t>
  </si>
  <si>
    <t>Definición de trayectorias y movimientos</t>
  </si>
  <si>
    <t>Noviembre</t>
  </si>
  <si>
    <t>Respuesta a eventos en simulaciones robóticas</t>
  </si>
  <si>
    <t xml:space="preserve">mejora la eficiencia y realismo en simulaciones robóticas mediante ajuste de parámetros, uso de bibliotecas de control y pruebas iterativas para aumentar la precisión, eficiencia y realismo de entornos virtuales </t>
  </si>
  <si>
    <t>Simulación de Entornos Robóticos</t>
  </si>
  <si>
    <t>Implementación de simuladores básicos (p5.js, Three.js)</t>
  </si>
  <si>
    <t>Interacción de múltiples robots en un mismo entorno</t>
  </si>
  <si>
    <t>Tiempo</t>
  </si>
  <si>
    <t xml:space="preserve">1. Bienvenida y Presentación                                   </t>
  </si>
  <si>
    <t>Tiempo Aproximado</t>
  </si>
  <si>
    <t>No puedes excederte mas de 15 minutos</t>
  </si>
  <si>
    <t xml:space="preserve">Nombre y Formacion Academica </t>
  </si>
  <si>
    <t>Presentación Quien soy y mi formación academica</t>
  </si>
  <si>
    <t xml:space="preserve">Experiencia docente y profesional </t>
  </si>
  <si>
    <t>Presentación de CV</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</si>
  <si>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</si>
  <si>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</si>
  <si>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Prsentación de funciones de auxiliar</t>
  </si>
  <si>
    <t>Expectativas sobre la dinámica del curso</t>
  </si>
  <si>
    <t>Diapositivas con la presentación personal, trayectoria y datos relevantes</t>
  </si>
  <si>
    <t xml:space="preserve">Tiempo que emplearas </t>
  </si>
  <si>
    <t xml:space="preserve">2. Evaluación de Conocimientos Previos                             </t>
  </si>
  <si>
    <t>No puedes excederte mas de 45 minutos</t>
  </si>
  <si>
    <t>Redactaras de 15 a 20 preguntas con sus respectivas respuestas , por lo que debes escoge los temas que evaluaras</t>
  </si>
  <si>
    <t>¿Cuál es la diferencia entre inteligencia artificial débil y fuerte?¿Qué características debe cumplir un agente para ser considerado "inteligente"?
Explica el ciclo de percepción–razonamiento–acción de un agente.
¿Qué es un entorno completamente observable y cómo influye en el diseño de un agente?
¿Cuál es la diferencia entre agentes reactivos y agentes basados en modelos?
¿Qué significa que un agente sea autónomo y adaptativo?
¿Qué papel juega el aprendizaje automático dentro de la inteligencia artificial?
¿Por qué la representación del conocimiento es importante en los sistemas de IA?
¿Qué ventajas y limitaciones tiene el uso de heurísticas en la resolución de problemas?
¿En qué se diferencian los sistemas expertos de los sistemas basados en aprendizaje profundo?¿Cuáles son algunos ejemplos actuales del uso de agentes inteligentes en la vida diaria?
¿Qué riesgos éticos surgen al implementar agentes autónomos en áreas críticas como la salud o la seguridad?
¿Cómo puede un agente inteligente aprender de su experiencia pasada?
¿Por qué la definición del entorno es clave para el rendimiento de un agente?
¿Qué retos futuros enfrenta el desarrollo de agentes inteligentes en la inteligencia artificial general (AGI)?</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</si>
  <si>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</si>
  <si>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una parte practica</t>
  </si>
  <si>
    <t>Crear formulario para contestar las preguntas</t>
  </si>
  <si>
    <t xml:space="preserve">3. Presentación de los Estudiantes                                </t>
  </si>
  <si>
    <t xml:space="preserve">No puedes excederte mas de 30 minutos </t>
  </si>
  <si>
    <t>Seleccion al Azar de 5 Estudiantes</t>
  </si>
  <si>
    <t>Ruleta para que los alumnos se presenten y comenten sus expectativas</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</si>
  <si>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</si>
  <si>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Preguntas que responderan los estudiantes afortunados</t>
  </si>
  <si>
    <t>¿Que le interesa del curso? ¿Cuanto le falta para terminar? Exéctativas del curso. Un dato curioso de si mismo.</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</si>
  <si>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</si>
  <si>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</si>
  <si>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</si>
  <si>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</si>
  <si>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https://docs.google.com/forms/d/e/1FAIpQLScyQDFV21dUEAiOdYenanfx4xXASPsUXGSI3wcBmX7M6zc7VA/viewform?usp=header</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</si>
  <si>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</si>
  <si>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</si>
  <si>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Viernes, sabados.</t>
  </si>
  <si>
    <t xml:space="preserve">4.  Mostrar Programa del Curso                 </t>
  </si>
  <si>
    <t>No puedes excederte mas de 30 minutos</t>
  </si>
  <si>
    <t xml:space="preserve">2. Evaluación de Conocimientos del Curso Actual                                  </t>
  </si>
  <si>
    <t xml:space="preserve">Redactaras 20 preguntas con sus respectivas respuestas </t>
  </si>
  <si>
    <t>¿Cuál es la diferencia entre inteligencia artificial débil y fuerte?
¿Qué papel juega el aprendizaje automático dentro de la inteligencia artificial?
¿Por qué la representación del conocimiento es importante en los sistemas de IA?
¿Qué ventajas y limitaciones tiene el uso de heurísticas en la resolución de problemas?
¿En qué se diferencian los sistemas expertos de los sistemas basados en aprendizaje profundo?
¿Qué características debe cumplir un agente para ser considerado "inteligente"?
Explica el ciclo de percepción–razonamiento–acción de un agente.
¿Qué es un entorno completamente observable y cómo influye en el diseño de un agente?
¿Cuál es la diferencia entre agentes reactivos y agentes basados en modelos?
¿Qué significa que un agente sea autónomo y adaptativo?
¿Cuáles son algunos ejemplos actuales del uso de agentes inteligentes en la vida diaria?
¿Qué riesgos éticos surgen al implementar agentes autónomos en áreas críticas como la salud o la seguridad?
¿Cómo puede un agente inteligente aprender de su experiencia pasada?
¿Por qué la definición del entorno es clave para el rendimiento de un agente?
¿Qué retos futuros enfrenta el desarrollo de agentes inteligentes en la inteligencia artificial general (AGI)?</t>
  </si>
  <si>
    <t>Diseño de la Sesión de Laboratorio</t>
  </si>
  <si>
    <t>Ponderación</t>
  </si>
  <si>
    <t>Validación de Tiempo</t>
  </si>
  <si>
    <t>1. Área Actitudinal (Saber Ser)</t>
  </si>
  <si>
    <t>Tiene que estar en un rango de 3 a 5 minutos</t>
  </si>
  <si>
    <t>Nombre del Valor</t>
  </si>
  <si>
    <t>Responsabilidad</t>
  </si>
  <si>
    <t>Descripcion</t>
  </si>
  <si>
    <t>La responsabilidad implica asumir con compromiso las actividades asignadas, cumpliendo en tiempo y forma con lo solicitado, tanto en el aula como en el desarrollo de ejercicios prácticos.</t>
  </si>
  <si>
    <t>Como se relaciona con los conocimientos de la sesion y se aplicaria</t>
  </si>
  <si>
    <t>El valor de la responsabilidad se aplicará en la entrega puntual de los ejercicios de backtracking, en el cuidado de la calidad del código, así como en la preparación previa del estudiante para participar activamente en la sesión.</t>
  </si>
  <si>
    <t>2. Área Conocimiento (Saber)</t>
  </si>
  <si>
    <t>No puede exceder los 60 minutos</t>
  </si>
  <si>
    <t>Competencia a desarrollar</t>
  </si>
  <si>
    <t>2.1 Contenido</t>
  </si>
  <si>
    <t>Unidad</t>
  </si>
  <si>
    <t xml:space="preserve">Tema </t>
  </si>
  <si>
    <t>Sub Tema</t>
  </si>
  <si>
    <t>2.2 Recursos Educativos</t>
  </si>
  <si>
    <t>Tipo de Recurso a utilizar</t>
  </si>
  <si>
    <t>Tipo</t>
  </si>
  <si>
    <t>Rango Aproximando</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</si>
  <si>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</si>
  <si>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</si>
  <si>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</si>
  <si>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</si>
  <si>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</si>
  <si>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</si>
  <si>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</si>
  <si>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</si>
  <si>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</si>
  <si>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</si>
  <si>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Tipo de Actividad</t>
  </si>
  <si>
    <t>Ejercicio practico</t>
  </si>
  <si>
    <t>Coloca el tiempo que usar en la actividad, un tiempo sugerido 30 minutos</t>
  </si>
  <si>
    <t>Descripcion de la Actividad</t>
  </si>
  <si>
    <t>• Modificar el archivo HTML proporcionado para agregar nuevos hechos:
padre(carlos, juan). madre(luisa, juan).
• Agregar una nueva regla: abuelo(X, Y) :- padre(X, Z), padre(Z, Y).
• Realizar una consulta usando Tau-Prolog para determinar si carlos es
abuelo de maria.</t>
  </si>
  <si>
    <t>Actividad 2 (Optativa puedes hacerla si lo consideras apropiado)</t>
  </si>
  <si>
    <t>Coloca el tiempo que usar en la actividad, un tiempo sugerido 20 minutos</t>
  </si>
  <si>
    <t>3. Cierre</t>
  </si>
  <si>
    <t>Tiene que estar en un rango de 10 a 15 minutos</t>
  </si>
  <si>
    <t>Asignacion de Actividades</t>
  </si>
  <si>
    <t>Resuelve alguna duda, asigna las actividades que deben realizar, dudas de proyectos, etc</t>
  </si>
  <si>
    <t>Claridad</t>
  </si>
  <si>
    <t>La claridad implica expresarse y trabajar de manera comprensible, estructurada y ordenada, tanto al comunicar ideas como al escribir algoritmos o resolver problemas.</t>
  </si>
  <si>
    <t>Se aplicará en la forma en que los estudiantes:
Documenten sus algoritmos de backtracking con comentarios que expliquen la lógica.
Expongan con precisión los pasos seguidos en la solución de un problema.
Eviten ambigüedades al presentar sus respuestas y justificaciones.</t>
  </si>
  <si>
    <t>3 a 6 minutos</t>
  </si>
  <si>
    <t>actividades</t>
  </si>
  <si>
    <t>• Implementar el predicado maximo(X, Y, M) utilizando corte verde.
• Crear el predicado clasifica(X, Resultado) usando corte rojo como se vio en
clase.
• Escribir un predicado recursivo suma_lista(Lista, Suma) y su versión
optimizada con recursión de cola.
• Usar \+ para verificar si un elemento no pertenece a una lista.
• Mostrar mediante ejemplo cómo la negación como falla puede generar
respuestas incorrectas con variables no instanciadas.</t>
  </si>
  <si>
    <t>Resolución de dudas de la actividad a realizar</t>
  </si>
  <si>
    <t>Perseverancia</t>
  </si>
  <si>
    <t>La perseverancia implica mantener el esfuerzo constante frente a la dificultad, insistiendo en encontrar soluciones y no rendirse fácilmente ante los errores o la complejidad de un problema.</t>
  </si>
  <si>
    <t>Porque resolver problemas con recursividad puede ser complejo y exige insistencia.</t>
  </si>
  <si>
    <t>otros</t>
  </si>
  <si>
    <t>Lectura sobre ciclos y recursión</t>
  </si>
  <si>
    <t>Dudas sobre reglas o ciclos que se generen en la lectura</t>
  </si>
  <si>
    <t>Curiosidad, innovación, exploración</t>
  </si>
  <si>
    <t>La curiosidad motiva a los estudiantes a cuestionarse y comprender qué es la realidad aumentada, la innovación los impulsa a proponer ideas y aplicaciones creativas, y la exploración fomenta el descubrimiento de nuevas plataformas y herramientas tecnológicas que potencian su aprendizaje</t>
  </si>
  <si>
    <t>Curiosidad: Porque entender qué es la realidad aumentada impulsa la exploración de nuevas tecnologías.
Innovación: Porque pensar en aplicaciones prácticas de AR requiere proponer ideas nuevas.
Exploración: Porque se inicia el descubrimiento de plataformas y herramientas emergentes.</t>
  </si>
  <si>
    <t xml:space="preserve">evalúa plataformas de realidad aumentada         usando criterios de compatibilidad, usabilidad y eficiencia bajo escenarios de prueba en dispositivos móviles y navegadores web         </t>
  </si>
  <si>
    <t>• Utilizando el ejemplo de MindAR dado en clase, compilar una nueva
imagen a su elección y utilizarla como marcador.
• Actualizar el código para que sobre el marcador se muestre cualquier otra
figura diferente a la utilizada en clase (a-box).</t>
  </si>
  <si>
    <t>Evaluación crítica, adaptabilidad</t>
  </si>
  <si>
    <t>La evaluación crítica consiste en analizar de manera reflexiva las soluciones y resultados, identificando fortalezas, debilidades y posibles mejoras.
La adaptabilidad implica ajustarse a nuevas circunstancias, herramientas o formas de resolver un problema sin perder el objetivo final.</t>
  </si>
  <si>
    <t xml:space="preserve">"Evaluación crítica: Porque analizar plataformas de AR demanda valorar fortalezas y debilidades objetivamente.
Adaptabilidad: Porque trabajar con distintas tecnologías requiere flexibilidad ante cambios y actualizaciones."                                        </t>
  </si>
  <si>
    <t>Completar la tabla comparativa con al menos 6 plataformas de AR incluyendo al
final una columna con un caso de uso.</t>
  </si>
  <si>
    <t>Resolución de dudas sobre la AR</t>
  </si>
  <si>
    <t>Diseño creativo, empatía digital</t>
  </si>
  <si>
    <t>El diseño creativo consiste en generar soluciones originales y visualmente atractivas, aplicando la imaginación y la innovación para comunicar ideas de manera efectiva.
La empatía digital implica comprender y considerar las experiencias, necesidades y emociones de otros al interactuar y diseñar en entornos tecnológicos.</t>
  </si>
  <si>
    <t xml:space="preserve">"Diseño creativo: Porque planear flujos de usuario en AR implica crear experiencias nuevas y atractivas.
Empatía digital: Porque el diseño debe considerar la facilidad de uso y experiencia del usuario."                                        </t>
  </si>
  <si>
    <t>• Utilizando el ejemplo de FaceTracking con MindAR dado en clase, crear un
filtro a su imaginación utilizando modelos 2D o 3D.
• Crear una página web en la cual se pueda visualizar el filtro utilizando la
cámara.</t>
  </si>
  <si>
    <t>Estetica, funcionalidad, optimización</t>
  </si>
  <si>
    <t>La estética se relaciona con la capacidad de presentar soluciones de manera clara, atractiva y ordenada, favoreciendo la comprensión y la experiencia visual.
La funcionalidad implica que las soluciones propuestas cumplan con su propósito de manera efectiva y práctica.
La optimización se centra en mejorar los procesos y soluciones para que sean más rápidos, eficientes y con menor uso de recursos.</t>
  </si>
  <si>
    <t xml:space="preserve">"Estética: Porque el modelado de objetos digitales debe ser visualmente atractivo.
Funcionalidad: Porque los objetos deben ser no solo bonitos, sino útiles en su integración con AR.
Optimización: Porque en AR el rendimiento es clave, y el contenido debe estar optimizado para funcionar bien."                                        </t>
  </si>
  <si>
    <t xml:space="preserve">crea aplicaciones de realidad aumentada con contenido digital interactivo         mediante el uso de bibliotecas y técnicas de diseño de experiencias para integrar información virtual en el mundo real de forma efectiva y funcional         </t>
  </si>
  <si>
    <t>Cuestionario</t>
  </si>
  <si>
    <t>Corto de clase</t>
  </si>
  <si>
    <t>investigación, Iniciativa</t>
  </si>
  <si>
    <t>La investigación impulsa a los estudiantes a indagar, buscar información y profundizar en nuevos conocimientos para comprender mejor un tema. La iniciativa fomenta la proactividad, motivando a los estudiantes a proponer ideas, experimentar soluciones y tomar acción sin esperar instrucciones.</t>
  </si>
  <si>
    <t xml:space="preserve">"Investigación: Porque conocer plataformas y bibliotecas de simulación exige indagar en documentación y ejemplos.
Iniciativa: Porque construir simulaciones propias requiere tomar acción y experimentar."                                        </t>
  </si>
  <si>
    <t>Tomando como base el ejemplo de Three.js brindado en clase, los
estudiantes deben:
o Crear una escena con al menos 3 objetos 3D diferentes (esfera,
cubo, cilindro).
o Aplicarles materiales distintos y animaciones individuales.
o Modificar posiciones y escalas para distribuirlos en el espacio.
o Visualizar la escena en el navegador.</t>
  </si>
  <si>
    <t>Creatividad técnica, Precisión espacial</t>
  </si>
  <si>
    <t>Creatividad técnica: Capacidad de proponer soluciones innovadoras aplicando conocimientos científicos y tecnológicos.
Precisión espacial: Habilidad para interpretar y representar con exactitud las relaciones entre objetos en el espacio.</t>
  </si>
  <si>
    <t>Porque modelar robots en 2D y 3D combina habilidades técnicas y creatividad visual. Porque diseñar robots funcionales en un entorno tridimensional requiere mucha exactitud en medidas y posiciones.</t>
  </si>
  <si>
    <t>Simulación de un ambiente en 3D con un objeto básico.</t>
  </si>
  <si>
    <t>Trabajo colaborativo, Mejora continua, Responsabilidad técnica</t>
  </si>
  <si>
    <t>Trabajo colaborativo: Capacidad de coordinarse con otros para alcanzar objetivos comunes de manera eficiente.
Mejora continua: Disposición a optimizar procesos mediante pruebas, ajustes y aprendizajes constantes.
Responsabilidad técnica: Compromiso de ejecutar tareas con rigor, considerando el impacto en la calidad y eficiencia de los resultados.</t>
  </si>
  <si>
    <t>Trabajo colaborativo: Porque interactuar múltiples robots en simulaciones promueve la coordinación y el trabajo en equipo.
Mejora continua: Porque optimizar simulaciones implica un proceso constante de prueba y ajuste.
Responsabilidad técnica: Porque cada ajuste o programación impacta el realismo y eficiencia de la simulación.</t>
  </si>
  <si>
    <t>Examen corto de la unidad 3</t>
  </si>
  <si>
    <t>Proyectos</t>
  </si>
  <si>
    <t>La sumatoria de los puntos de los proyectos debe superar el  70% del total de la nota, no puede ser un 100%</t>
  </si>
  <si>
    <t>1. Primer Proyecto</t>
  </si>
  <si>
    <t>Horas para realizarlo</t>
  </si>
  <si>
    <t xml:space="preserve">Integra fundamentos de lógica, realidad aumentada y simulación robótica mediante el uso de entornos de desarrollo para resolver problemas relacionados a inferencia, interacción digital y simulación de comportamientos autónomos </t>
  </si>
  <si>
    <t xml:space="preserve">implementa soluciones de inteligencia artificial empleando técnicas de inferencia lógica, diseño de entornos virtuales y control de robots en distintos escenarios de optimización, clasificación y toma de decisiones </t>
  </si>
  <si>
    <t>Titulo</t>
  </si>
  <si>
    <t>Lógica e Inferencia con Prolog</t>
  </si>
  <si>
    <t>Qué tecnologías, lenguajes de programación, plataformas, hardware o software se utilizaran</t>
  </si>
  <si>
    <t>Prolog (Python)</t>
  </si>
  <si>
    <t>Descripción de lo que se realizara</t>
  </si>
  <si>
    <t>Desarrollo de una aplicación que emplee lógica formal para modelar y resolver problemas mediante Prolog. El proyecto puede involucrar la creación de una base de conocimiento con hechos y reglas, y la implementación de inferencia lógica para realizar consultas. La resolución de un problema práctico, como un sistema de recomendaciones o diagnóstico basado en reglas lógicas, será el enfoque principal.</t>
  </si>
  <si>
    <t>2. Segundo Proyecto</t>
  </si>
  <si>
    <t>Aplicación de Realidad Aumentada</t>
  </si>
  <si>
    <t>AR (Raspberry y Python)</t>
  </si>
  <si>
    <t>Creación de una aplicación de realidad aumentada que permita interactuar con el entorno físico mediante contenido digital. El proyecto podría incluir el desarrollo de un sistema que integre modelos 3D en el mundo real o una experiencia de AR interactiva, donde el usuario pueda visualizar y manipular objetos virtuales en tiempo real.</t>
  </si>
  <si>
    <t>3. Tercer Proyecto</t>
  </si>
  <si>
    <t>Optativa</t>
  </si>
  <si>
    <t>Practicas</t>
  </si>
  <si>
    <t>La sumatoria de los puntos de los practicas debe no debe super el  20%</t>
  </si>
  <si>
    <t>1. Primera Practica</t>
  </si>
  <si>
    <t>Obligatoria</t>
  </si>
  <si>
    <t>2. Segunda Practica</t>
  </si>
  <si>
    <t>3. Tercera Practica</t>
  </si>
  <si>
    <t>4. Cuarta Practica</t>
  </si>
  <si>
    <t>5. Quinta Practica</t>
  </si>
  <si>
    <t>6. Sexta Practica</t>
  </si>
  <si>
    <t>7. Septima Practica</t>
  </si>
  <si>
    <t>Tareas</t>
  </si>
  <si>
    <t>La sumatoria de los puntos de los practicas debe no debe super el  20% de la nota</t>
  </si>
  <si>
    <t>1. Primera Tarea</t>
  </si>
  <si>
    <t>2. Segunda Tarea</t>
  </si>
  <si>
    <t>3. Tercera Tarea</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</si>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</sst>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b/>
      <sz val="13.0"/>
      <color rgb="FF4285F4"/>
      <name val="Arial"/>
    </font>
    <font>
      <b/>
      <sz val="12.0"/>
      <color rgb="FF4285F4"/>
      <name val="Arial"/>
    </font>
    <font>
      <color rgb="FFCCCCCC"/>
      <name val="Arial"/>
    </font>
    <font>
      <u/>
      <color rgb="FF000000"/>
      <name val="Arial"/>
    </font>
    <font>
      <b/>
      <sz val="12.0"/>
      <color rgb="FFFF6D01"/>
      <name val="Arial"/>
    </font>
    <font>
      <b/>
      <sz val="12.0"/>
      <color rgb="FFFFFFFF"/>
      <name val="Arial"/>
    </font>
    <font>
      <color rgb="FFD9D9D9"/>
      <name val="Arial"/>
    </font>
    <font>
      <sz val="12.0"/>
      <color rgb="FF4285F4"/>
      <name val="Arial"/>
    </font>
    <font>
      <b/>
      <sz val="12.0"/>
      <color theme="1"/>
      <name val="Arial"/>
    </font>
    <font>
      <sz val="12.0"/>
      <color rgb="FFFFFFFF"/>
      <name val="Arial"/>
    </font>
    <font>
      <sz val="12.0"/>
      <color theme="4"/>
      <name val="Arial"/>
    </font>
    <font>
      <sz val="12.0"/>
      <color theme="1"/>
      <name val="Arial"/>
    </font>
  </fonts>
  <fills count="8">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Font="1"/>
    <xf borderId="0" fillId="0" fontId="4" numFmtId="0" xfId="0" applyAlignment="1" applyFont="1">
      <alignment readingOrder="0" shrinkToFit="0" wrapText="1"/>
    </xf>
    <xf borderId="0" fillId="0" fontId="4" numFmtId="0" xfId="0" applyFont="1"/>
    <xf borderId="0" fillId="0" fontId="4" numFmtId="0" xfId="0" applyAlignment="1" applyFont="1">
      <alignment readingOrder="0"/>
    </xf>
    <xf borderId="0" fillId="0" fontId="7" numFmtId="0" xfId="0" applyFont="1"/>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3" fontId="1" numFmtId="0" xfId="0" applyAlignment="1" applyFill="1" applyFont="1">
      <alignment readingOrder="0"/>
    </xf>
    <xf borderId="0" fillId="0" fontId="11" numFmtId="0" xfId="0" applyFont="1"/>
    <xf borderId="1" fillId="4" fontId="4" numFmtId="0" xfId="0" applyAlignment="1" applyBorder="1" applyFill="1" applyFont="1">
      <alignment shrinkToFit="0" vertical="bottom" wrapText="1"/>
    </xf>
    <xf borderId="2" fillId="0" fontId="4" numFmtId="0" xfId="0" applyAlignment="1" applyBorder="1" applyFont="1">
      <alignment readingOrder="0" vertical="bottom"/>
    </xf>
    <xf borderId="1" fillId="4" fontId="4" numFmtId="0" xfId="0" applyAlignment="1" applyBorder="1" applyFont="1">
      <alignment readingOrder="0" shrinkToFit="0" vertical="bottom" wrapText="1"/>
    </xf>
    <xf borderId="0" fillId="0" fontId="4" numFmtId="0" xfId="0" applyAlignment="1" applyFont="1">
      <alignment horizontal="center" shrinkToFit="0" vertical="center" wrapText="1"/>
    </xf>
    <xf borderId="1" fillId="4" fontId="4" numFmtId="0" xfId="0" applyAlignment="1" applyBorder="1" applyFont="1">
      <alignment shrinkToFit="0" wrapText="1"/>
    </xf>
    <xf borderId="2" fillId="0" fontId="4" numFmtId="0" xfId="0" applyAlignment="1" applyBorder="1" applyFont="1">
      <alignment readingOrder="0"/>
    </xf>
    <xf borderId="1" fillId="4" fontId="4" numFmtId="0" xfId="0" applyBorder="1" applyFont="1"/>
    <xf borderId="0" fillId="0" fontId="12" numFmtId="0" xfId="0" applyFont="1"/>
    <xf borderId="0" fillId="0" fontId="7" numFmtId="0" xfId="0" applyAlignment="1" applyFont="1">
      <alignment readingOrder="0"/>
    </xf>
    <xf borderId="0" fillId="0" fontId="13" numFmtId="0" xfId="0" applyAlignment="1" applyFont="1">
      <alignment shrinkToFit="0" wrapText="1"/>
    </xf>
    <xf borderId="3" fillId="0" fontId="4" numFmtId="0" xfId="0" applyAlignment="1" applyBorder="1" applyFont="1">
      <alignment vertical="bottom"/>
    </xf>
    <xf borderId="4" fillId="0" fontId="4" numFmtId="0" xfId="0" applyAlignment="1" applyBorder="1" applyFont="1">
      <alignment vertical="bottom"/>
    </xf>
    <xf borderId="0" fillId="0" fontId="4" numFmtId="0" xfId="0" applyAlignment="1" applyFont="1">
      <alignment horizontal="left" shrinkToFit="0" vertical="center" wrapText="1"/>
    </xf>
    <xf borderId="0" fillId="3" fontId="1" numFmtId="0" xfId="0" applyFont="1"/>
    <xf borderId="0" fillId="0" fontId="14" numFmtId="0" xfId="0" applyFont="1"/>
    <xf borderId="2" fillId="0" fontId="15" numFmtId="0" xfId="0" applyAlignment="1" applyBorder="1" applyFont="1">
      <alignment readingOrder="0" vertical="bottom"/>
    </xf>
    <xf borderId="0" fillId="0" fontId="4" numFmtId="0" xfId="0" applyAlignment="1" applyFont="1">
      <alignment shrinkToFit="0" vertical="center" wrapText="1"/>
    </xf>
    <xf borderId="0" fillId="0" fontId="16" numFmtId="0" xfId="0" applyFont="1"/>
    <xf borderId="1" fillId="0" fontId="4" numFmtId="0" xfId="0" applyAlignment="1" applyBorder="1" applyFont="1">
      <alignment shrinkToFit="0" wrapText="1"/>
    </xf>
    <xf borderId="0" fillId="0" fontId="13" numFmtId="0" xfId="0" applyFont="1"/>
    <xf borderId="0" fillId="5" fontId="17" numFmtId="0" xfId="0" applyFill="1" applyFont="1"/>
    <xf borderId="2" fillId="4" fontId="4" numFmtId="0" xfId="0" applyBorder="1" applyFont="1"/>
    <xf borderId="5" fillId="0" fontId="4" numFmtId="0" xfId="0" applyAlignment="1" applyBorder="1" applyFont="1">
      <alignment readingOrder="0"/>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0" fillId="0" fontId="10" numFmtId="0" xfId="0" applyFont="1"/>
    <xf borderId="1" fillId="6" fontId="4" numFmtId="0" xfId="0" applyBorder="1" applyFill="1" applyFont="1"/>
    <xf borderId="2" fillId="6" fontId="4" numFmtId="0" xfId="0" applyBorder="1" applyFont="1"/>
    <xf borderId="1" fillId="7" fontId="4" numFmtId="0" xfId="0" applyBorder="1" applyFill="1" applyFont="1"/>
    <xf borderId="2" fillId="7" fontId="4" numFmtId="0" xfId="0" applyBorder="1" applyFont="1"/>
    <xf borderId="1" fillId="0" fontId="4" numFmtId="0" xfId="0" applyAlignment="1" applyBorder="1" applyFont="1">
      <alignment readingOrder="0"/>
    </xf>
    <xf borderId="2" fillId="0" fontId="14" numFmtId="0" xfId="0" applyAlignment="1" applyBorder="1" applyFont="1">
      <alignment readingOrder="0"/>
    </xf>
    <xf borderId="11" fillId="0" fontId="8" numFmtId="0" xfId="0" applyBorder="1" applyFont="1"/>
    <xf borderId="12" fillId="0" fontId="8" numFmtId="0" xfId="0" applyBorder="1" applyFont="1"/>
    <xf borderId="2" fillId="0" fontId="14" numFmtId="0" xfId="0" applyBorder="1" applyFont="1"/>
    <xf borderId="0" fillId="0" fontId="18" numFmtId="0" xfId="0" applyFont="1"/>
    <xf borderId="5" fillId="0" fontId="4" numFmtId="0" xfId="0" applyBorder="1" applyFont="1"/>
    <xf borderId="0" fillId="0" fontId="19" numFmtId="0" xfId="0" applyAlignment="1" applyFont="1">
      <alignment shrinkToFit="0" wrapText="1"/>
    </xf>
    <xf borderId="0" fillId="5" fontId="17" numFmtId="0" xfId="0" applyAlignment="1" applyFont="1">
      <alignment readingOrder="0"/>
    </xf>
    <xf borderId="4" fillId="0" fontId="4" numFmtId="0" xfId="0" applyBorder="1" applyFont="1"/>
    <xf borderId="3" fillId="0" fontId="4" numFmtId="0" xfId="0" applyBorder="1" applyFont="1"/>
    <xf borderId="1" fillId="0" fontId="4" numFmtId="0" xfId="0" applyAlignment="1" applyBorder="1" applyFont="1">
      <alignment readingOrder="0" vertical="bottom"/>
    </xf>
    <xf borderId="0" fillId="0" fontId="20" numFmtId="0" xfId="0" applyFont="1"/>
    <xf borderId="0" fillId="3" fontId="21" numFmtId="0" xfId="0" applyAlignment="1" applyFont="1">
      <alignment readingOrder="0"/>
    </xf>
    <xf borderId="0" fillId="0" fontId="22" numFmtId="0" xfId="0" applyFont="1"/>
    <xf borderId="0" fillId="0" fontId="5" numFmtId="0" xfId="0" applyAlignment="1" applyFont="1">
      <alignment shrinkToFit="0" wrapText="1"/>
    </xf>
    <xf borderId="0" fillId="0" fontId="23" numFmtId="0" xfId="0" applyAlignment="1" applyFont="1">
      <alignment shrinkToFit="0" wrapText="1"/>
    </xf>
    <xf borderId="0" fillId="0" fontId="23" numFmtId="0" xfId="0" applyFont="1"/>
    <xf borderId="1" fillId="6" fontId="23" numFmtId="0" xfId="0" applyAlignment="1" applyBorder="1" applyFont="1">
      <alignment shrinkToFit="0" wrapText="1"/>
    </xf>
    <xf borderId="1" fillId="6" fontId="23"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cyQDFV21dUEAiOdYenanfx4xXASPsUXGSI3wcBmX7M6zc7VA/viewform?usp=header"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22.13"/>
    <col customWidth="1" min="6" max="6" width="53.13"/>
  </cols>
  <sheetData>
    <row r="1" ht="15.75" customHeight="1"/>
    <row r="2" ht="15.75" customHeight="1">
      <c r="A2" s="1">
        <f>VALUE(LEFT(C4,FIND(" - ",C4)-1))</f>
        <v>972</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t="s">
        <v>13</v>
      </c>
      <c r="E9" s="12" t="s">
        <v>14</v>
      </c>
      <c r="F9" s="12" t="s">
        <v>15</v>
      </c>
      <c r="G9" s="12" t="s">
        <v>16</v>
      </c>
      <c r="H9" s="13">
        <v>2.0</v>
      </c>
    </row>
    <row r="10" ht="15.75" customHeight="1">
      <c r="B10" s="10">
        <v>2.0</v>
      </c>
      <c r="C10" s="11" t="s">
        <v>12</v>
      </c>
      <c r="D10" s="14" t="s">
        <v>13</v>
      </c>
      <c r="E10" s="10" t="s">
        <v>14</v>
      </c>
      <c r="F10" s="14" t="s">
        <v>17</v>
      </c>
      <c r="G10" s="14" t="s">
        <v>16</v>
      </c>
      <c r="H10" s="13">
        <v>2.0</v>
      </c>
    </row>
    <row r="11" ht="15.75" customHeight="1">
      <c r="B11" s="14">
        <v>3.0</v>
      </c>
      <c r="C11" s="11" t="s">
        <v>12</v>
      </c>
      <c r="D11" s="14" t="s">
        <v>13</v>
      </c>
      <c r="E11" s="14" t="s">
        <v>18</v>
      </c>
      <c r="F11" s="14" t="s">
        <v>19</v>
      </c>
      <c r="G11" s="14" t="s">
        <v>16</v>
      </c>
      <c r="H11" s="13">
        <v>2.0</v>
      </c>
    </row>
    <row r="12" ht="15.75" customHeight="1">
      <c r="B12" s="14">
        <v>4.0</v>
      </c>
      <c r="C12" s="11" t="s">
        <v>12</v>
      </c>
      <c r="D12" s="14" t="s">
        <v>13</v>
      </c>
      <c r="E12" s="14" t="s">
        <v>18</v>
      </c>
      <c r="F12" s="14" t="s">
        <v>20</v>
      </c>
      <c r="G12" s="14" t="s">
        <v>16</v>
      </c>
      <c r="H12" s="13">
        <v>2.0</v>
      </c>
    </row>
    <row r="13" ht="15.75" customHeight="1">
      <c r="B13" s="14">
        <v>5.0</v>
      </c>
      <c r="C13" s="11" t="s">
        <v>12</v>
      </c>
      <c r="D13" s="14" t="s">
        <v>13</v>
      </c>
      <c r="E13" s="14" t="s">
        <v>21</v>
      </c>
      <c r="F13" s="14" t="s">
        <v>22</v>
      </c>
      <c r="G13" s="14" t="s">
        <v>23</v>
      </c>
      <c r="H13" s="13">
        <v>3.0</v>
      </c>
    </row>
    <row r="14" ht="15.75" customHeight="1">
      <c r="B14" s="14">
        <v>6.0</v>
      </c>
      <c r="C14" s="11" t="s">
        <v>12</v>
      </c>
      <c r="D14" s="14" t="s">
        <v>13</v>
      </c>
      <c r="E14" s="14" t="s">
        <v>21</v>
      </c>
      <c r="F14" s="14" t="s">
        <v>24</v>
      </c>
      <c r="G14" s="14" t="s">
        <v>23</v>
      </c>
      <c r="H14" s="13">
        <v>3.0</v>
      </c>
    </row>
    <row r="15" ht="15.75" customHeight="1">
      <c r="B15" s="14">
        <v>7.0</v>
      </c>
      <c r="C15" s="11" t="s">
        <v>12</v>
      </c>
      <c r="D15" s="14" t="s">
        <v>13</v>
      </c>
      <c r="E15" s="14" t="s">
        <v>25</v>
      </c>
      <c r="F15" s="14" t="s">
        <v>26</v>
      </c>
      <c r="G15" s="14" t="s">
        <v>23</v>
      </c>
      <c r="H15" s="13">
        <v>3.0</v>
      </c>
    </row>
    <row r="16" ht="15.75" customHeight="1">
      <c r="B16" s="14">
        <v>8.0</v>
      </c>
      <c r="C16" s="11" t="s">
        <v>12</v>
      </c>
      <c r="D16" s="14" t="s">
        <v>13</v>
      </c>
      <c r="E16" s="14" t="s">
        <v>25</v>
      </c>
      <c r="F16" s="14" t="s">
        <v>27</v>
      </c>
      <c r="G16" s="14" t="s">
        <v>23</v>
      </c>
      <c r="H16" s="13">
        <v>3.0</v>
      </c>
    </row>
    <row r="17" ht="15.75" customHeight="1">
      <c r="B17" s="14">
        <v>9.0</v>
      </c>
      <c r="C17" s="11" t="s">
        <v>12</v>
      </c>
      <c r="D17" s="14" t="s">
        <v>13</v>
      </c>
      <c r="E17" s="14" t="s">
        <v>28</v>
      </c>
      <c r="F17" s="14" t="s">
        <v>29</v>
      </c>
      <c r="G17" s="14" t="s">
        <v>23</v>
      </c>
      <c r="H17" s="13">
        <v>4.0</v>
      </c>
    </row>
    <row r="18" ht="15.75" customHeight="1">
      <c r="B18" s="14">
        <v>10.0</v>
      </c>
      <c r="C18" s="11" t="s">
        <v>12</v>
      </c>
      <c r="D18" s="14" t="s">
        <v>13</v>
      </c>
      <c r="E18" s="14" t="s">
        <v>28</v>
      </c>
      <c r="F18" s="14" t="s">
        <v>30</v>
      </c>
      <c r="G18" s="14" t="s">
        <v>23</v>
      </c>
      <c r="H18" s="13">
        <v>4.0</v>
      </c>
    </row>
    <row r="19" ht="15.75" customHeight="1">
      <c r="B19" s="14">
        <v>11.0</v>
      </c>
      <c r="C19" s="11" t="s">
        <v>12</v>
      </c>
      <c r="D19" s="14" t="s">
        <v>13</v>
      </c>
      <c r="E19" s="14" t="s">
        <v>31</v>
      </c>
      <c r="F19" s="14" t="s">
        <v>32</v>
      </c>
      <c r="G19" s="14" t="s">
        <v>23</v>
      </c>
      <c r="H19" s="13">
        <v>4.0</v>
      </c>
    </row>
    <row r="20" ht="15.75" customHeight="1">
      <c r="B20" s="14">
        <v>12.0</v>
      </c>
      <c r="C20" s="11" t="s">
        <v>12</v>
      </c>
      <c r="D20" s="14" t="s">
        <v>13</v>
      </c>
      <c r="E20" s="14" t="s">
        <v>31</v>
      </c>
      <c r="F20" s="14" t="s">
        <v>33</v>
      </c>
      <c r="G20" s="14" t="s">
        <v>23</v>
      </c>
      <c r="H20" s="13">
        <v>4.0</v>
      </c>
    </row>
    <row r="21" ht="15.75" customHeight="1">
      <c r="B21" s="14">
        <v>13.0</v>
      </c>
      <c r="C21" s="11" t="s">
        <v>12</v>
      </c>
      <c r="D21" s="14" t="s">
        <v>13</v>
      </c>
      <c r="E21" s="14" t="s">
        <v>34</v>
      </c>
      <c r="F21" s="14" t="s">
        <v>35</v>
      </c>
      <c r="G21" s="14" t="s">
        <v>23</v>
      </c>
      <c r="H21" s="13">
        <v>5.0</v>
      </c>
    </row>
    <row r="22" ht="15.75" customHeight="1">
      <c r="B22" s="14">
        <v>14.0</v>
      </c>
      <c r="C22" s="11" t="s">
        <v>12</v>
      </c>
      <c r="D22" s="14" t="s">
        <v>13</v>
      </c>
      <c r="E22" s="14" t="s">
        <v>34</v>
      </c>
      <c r="F22" s="14" t="s">
        <v>36</v>
      </c>
      <c r="G22" s="14" t="s">
        <v>23</v>
      </c>
      <c r="H22" s="13">
        <v>5.0</v>
      </c>
    </row>
    <row r="23" ht="15.75" customHeight="1">
      <c r="B23" s="14">
        <v>15.0</v>
      </c>
      <c r="C23" s="11" t="s">
        <v>37</v>
      </c>
      <c r="D23" s="14" t="s">
        <v>38</v>
      </c>
      <c r="E23" s="14" t="s">
        <v>39</v>
      </c>
      <c r="F23" s="14" t="s">
        <v>40</v>
      </c>
      <c r="G23" s="14" t="s">
        <v>41</v>
      </c>
      <c r="H23" s="13">
        <v>6.0</v>
      </c>
    </row>
    <row r="24" ht="15.75" customHeight="1">
      <c r="B24" s="14">
        <v>16.0</v>
      </c>
      <c r="C24" s="11" t="s">
        <v>37</v>
      </c>
      <c r="D24" s="14" t="s">
        <v>38</v>
      </c>
      <c r="E24" s="14" t="s">
        <v>39</v>
      </c>
      <c r="F24" s="14" t="s">
        <v>42</v>
      </c>
      <c r="G24" s="14" t="s">
        <v>41</v>
      </c>
      <c r="H24" s="13">
        <v>6.0</v>
      </c>
    </row>
    <row r="25" ht="15.75" customHeight="1">
      <c r="B25" s="14">
        <v>17.0</v>
      </c>
      <c r="C25" s="11" t="s">
        <v>37</v>
      </c>
      <c r="D25" s="14" t="s">
        <v>38</v>
      </c>
      <c r="E25" s="14" t="s">
        <v>43</v>
      </c>
      <c r="F25" s="14" t="s">
        <v>44</v>
      </c>
      <c r="G25" s="14" t="s">
        <v>41</v>
      </c>
      <c r="H25" s="5">
        <v>6.0</v>
      </c>
    </row>
    <row r="26" ht="15.75" customHeight="1">
      <c r="B26" s="14">
        <v>18.0</v>
      </c>
      <c r="C26" s="11" t="s">
        <v>37</v>
      </c>
      <c r="D26" s="14" t="s">
        <v>38</v>
      </c>
      <c r="E26" s="14" t="s">
        <v>43</v>
      </c>
      <c r="F26" s="14" t="s">
        <v>45</v>
      </c>
      <c r="G26" s="14" t="s">
        <v>41</v>
      </c>
      <c r="H26" s="13">
        <v>7.0</v>
      </c>
    </row>
    <row r="27" ht="15.75" customHeight="1">
      <c r="B27" s="14">
        <v>19.0</v>
      </c>
      <c r="C27" s="11" t="s">
        <v>46</v>
      </c>
      <c r="D27" s="14" t="s">
        <v>38</v>
      </c>
      <c r="E27" s="14" t="s">
        <v>47</v>
      </c>
      <c r="F27" s="14" t="s">
        <v>48</v>
      </c>
      <c r="G27" s="14" t="s">
        <v>41</v>
      </c>
      <c r="H27" s="5">
        <v>7.0</v>
      </c>
    </row>
    <row r="28" ht="15.75" customHeight="1">
      <c r="B28" s="14">
        <v>20.0</v>
      </c>
      <c r="C28" s="11" t="s">
        <v>46</v>
      </c>
      <c r="D28" s="14" t="s">
        <v>38</v>
      </c>
      <c r="E28" s="14" t="s">
        <v>47</v>
      </c>
      <c r="F28" s="14" t="s">
        <v>49</v>
      </c>
      <c r="G28" s="14" t="s">
        <v>41</v>
      </c>
      <c r="H28" s="5">
        <v>7.0</v>
      </c>
    </row>
    <row r="29" ht="15.75" customHeight="1">
      <c r="B29" s="14">
        <v>21.0</v>
      </c>
      <c r="C29" s="11" t="s">
        <v>46</v>
      </c>
      <c r="D29" s="14" t="s">
        <v>38</v>
      </c>
      <c r="E29" s="14" t="s">
        <v>50</v>
      </c>
      <c r="F29" s="14" t="s">
        <v>51</v>
      </c>
      <c r="G29" s="14" t="s">
        <v>41</v>
      </c>
      <c r="H29" s="5">
        <v>8.0</v>
      </c>
    </row>
    <row r="30" ht="15.75" customHeight="1">
      <c r="B30" s="14">
        <v>22.0</v>
      </c>
      <c r="C30" s="11" t="s">
        <v>46</v>
      </c>
      <c r="D30" s="14" t="s">
        <v>38</v>
      </c>
      <c r="E30" s="14" t="s">
        <v>50</v>
      </c>
      <c r="F30" s="14" t="s">
        <v>52</v>
      </c>
      <c r="G30" s="14" t="s">
        <v>41</v>
      </c>
      <c r="H30" s="5">
        <v>8.0</v>
      </c>
    </row>
    <row r="31" ht="15.75" customHeight="1">
      <c r="B31" s="14">
        <v>23.0</v>
      </c>
      <c r="C31" s="11" t="s">
        <v>53</v>
      </c>
      <c r="D31" s="14" t="s">
        <v>54</v>
      </c>
      <c r="E31" s="14" t="s">
        <v>55</v>
      </c>
      <c r="F31" s="14" t="s">
        <v>56</v>
      </c>
      <c r="G31" s="14" t="s">
        <v>57</v>
      </c>
      <c r="H31" s="5">
        <v>9.0</v>
      </c>
    </row>
    <row r="32" ht="15.75" customHeight="1">
      <c r="B32" s="14">
        <v>24.0</v>
      </c>
      <c r="C32" s="11" t="s">
        <v>53</v>
      </c>
      <c r="D32" s="14" t="s">
        <v>54</v>
      </c>
      <c r="E32" s="14" t="s">
        <v>55</v>
      </c>
      <c r="F32" s="14" t="s">
        <v>58</v>
      </c>
      <c r="G32" s="14" t="s">
        <v>57</v>
      </c>
      <c r="H32" s="5">
        <v>9.0</v>
      </c>
    </row>
    <row r="33" ht="15.75" customHeight="1">
      <c r="B33" s="14">
        <v>25.0</v>
      </c>
      <c r="C33" s="11" t="s">
        <v>53</v>
      </c>
      <c r="D33" s="14" t="s">
        <v>54</v>
      </c>
      <c r="E33" s="14" t="s">
        <v>59</v>
      </c>
      <c r="F33" s="14" t="s">
        <v>60</v>
      </c>
      <c r="G33" s="14" t="s">
        <v>57</v>
      </c>
      <c r="H33" s="5">
        <v>10.0</v>
      </c>
    </row>
    <row r="34" ht="15.75" customHeight="1">
      <c r="B34" s="14">
        <v>26.0</v>
      </c>
      <c r="C34" s="11" t="s">
        <v>53</v>
      </c>
      <c r="D34" s="14" t="s">
        <v>54</v>
      </c>
      <c r="E34" s="14" t="s">
        <v>59</v>
      </c>
      <c r="F34" s="14" t="s">
        <v>61</v>
      </c>
      <c r="G34" s="14" t="s">
        <v>57</v>
      </c>
      <c r="H34" s="5">
        <v>10.0</v>
      </c>
    </row>
    <row r="35" ht="15.75" customHeight="1">
      <c r="B35" s="14">
        <v>27.0</v>
      </c>
      <c r="C35" s="11" t="s">
        <v>53</v>
      </c>
      <c r="D35" s="14" t="s">
        <v>54</v>
      </c>
      <c r="E35" s="14" t="s">
        <v>62</v>
      </c>
      <c r="F35" s="14" t="s">
        <v>63</v>
      </c>
      <c r="G35" s="14" t="s">
        <v>57</v>
      </c>
      <c r="H35" s="5">
        <v>10.0</v>
      </c>
    </row>
    <row r="36" ht="15.75" customHeight="1">
      <c r="B36" s="14">
        <v>28.0</v>
      </c>
      <c r="C36" s="11" t="s">
        <v>53</v>
      </c>
      <c r="D36" s="14" t="s">
        <v>54</v>
      </c>
      <c r="E36" s="14" t="s">
        <v>62</v>
      </c>
      <c r="F36" s="14" t="s">
        <v>64</v>
      </c>
      <c r="G36" s="14" t="s">
        <v>57</v>
      </c>
      <c r="H36" s="5">
        <v>10.0</v>
      </c>
    </row>
    <row r="37" ht="15.75" customHeight="1">
      <c r="B37" s="14">
        <v>29.0</v>
      </c>
      <c r="C37" s="11" t="s">
        <v>53</v>
      </c>
      <c r="D37" s="14" t="s">
        <v>54</v>
      </c>
      <c r="E37" s="14" t="s">
        <v>65</v>
      </c>
      <c r="F37" s="14" t="s">
        <v>66</v>
      </c>
      <c r="G37" s="14" t="s">
        <v>67</v>
      </c>
      <c r="H37" s="5">
        <v>11.0</v>
      </c>
    </row>
    <row r="38" ht="15.75" customHeight="1">
      <c r="B38" s="14">
        <v>30.0</v>
      </c>
      <c r="C38" s="11" t="s">
        <v>53</v>
      </c>
      <c r="D38" s="14" t="s">
        <v>54</v>
      </c>
      <c r="E38" s="14" t="s">
        <v>65</v>
      </c>
      <c r="F38" s="14" t="s">
        <v>68</v>
      </c>
      <c r="G38" s="14" t="s">
        <v>67</v>
      </c>
      <c r="H38" s="5">
        <v>11.0</v>
      </c>
    </row>
    <row r="39" ht="15.75" customHeight="1">
      <c r="B39" s="14">
        <v>31.0</v>
      </c>
      <c r="C39" s="11" t="s">
        <v>69</v>
      </c>
      <c r="D39" s="14" t="s">
        <v>54</v>
      </c>
      <c r="E39" s="14" t="s">
        <v>70</v>
      </c>
      <c r="F39" s="14" t="s">
        <v>71</v>
      </c>
      <c r="G39" s="14" t="s">
        <v>67</v>
      </c>
      <c r="H39" s="5">
        <v>11.0</v>
      </c>
    </row>
    <row r="40" ht="15.75" customHeight="1">
      <c r="B40" s="14">
        <v>32.0</v>
      </c>
      <c r="C40" s="11" t="s">
        <v>69</v>
      </c>
      <c r="D40" s="14" t="s">
        <v>54</v>
      </c>
      <c r="E40" s="14" t="s">
        <v>70</v>
      </c>
      <c r="F40" s="14" t="s">
        <v>72</v>
      </c>
      <c r="G40" s="14" t="s">
        <v>67</v>
      </c>
      <c r="H40" s="5">
        <v>11.0</v>
      </c>
    </row>
    <row r="41" ht="15.75" customHeight="1">
      <c r="C41" s="11"/>
      <c r="H41" s="5"/>
    </row>
    <row r="42" ht="15.75" customHeight="1">
      <c r="C42" s="15"/>
      <c r="H42" s="5"/>
    </row>
    <row r="43" ht="15.75" customHeight="1">
      <c r="C43" s="15"/>
      <c r="H43" s="5"/>
    </row>
    <row r="44" ht="15.75" customHeight="1">
      <c r="C44" s="15"/>
      <c r="H44" s="5"/>
    </row>
    <row r="45" ht="15.75" customHeight="1">
      <c r="C45" s="15"/>
      <c r="H45" s="5"/>
    </row>
    <row r="46" ht="15.75" customHeight="1">
      <c r="C46" s="15"/>
      <c r="H46" s="5"/>
    </row>
    <row r="47" ht="15.75" customHeight="1">
      <c r="C47" s="15"/>
      <c r="H47" s="5"/>
    </row>
    <row r="48" ht="15.75" customHeight="1">
      <c r="C48" s="15"/>
      <c r="H48" s="5"/>
    </row>
    <row r="49" ht="15.75" customHeight="1">
      <c r="C49" s="15"/>
      <c r="H49" s="5"/>
    </row>
    <row r="50" ht="15.75" customHeight="1">
      <c r="C50" s="15"/>
      <c r="H50" s="5"/>
    </row>
    <row r="51" ht="15.75" customHeight="1">
      <c r="C51" s="15"/>
      <c r="H51" s="5"/>
    </row>
    <row r="52" ht="15.75" customHeight="1">
      <c r="C52" s="15"/>
      <c r="H52" s="5"/>
    </row>
    <row r="53" ht="15.75" customHeight="1">
      <c r="C53" s="15"/>
      <c r="H53" s="5"/>
    </row>
    <row r="54" ht="15.75" customHeight="1">
      <c r="C54" s="15"/>
      <c r="H54" s="5"/>
    </row>
    <row r="55" ht="15.75" customHeight="1">
      <c r="C55" s="15"/>
      <c r="H55" s="5"/>
    </row>
    <row r="56" ht="15.75" customHeight="1">
      <c r="C56" s="15"/>
      <c r="H56" s="5"/>
    </row>
    <row r="57" ht="15.75" customHeight="1">
      <c r="C57" s="15"/>
      <c r="H57" s="5"/>
    </row>
    <row r="58" ht="15.75" customHeight="1">
      <c r="C58" s="15"/>
      <c r="H58" s="5"/>
    </row>
    <row r="59" ht="15.75" customHeight="1">
      <c r="C59" s="15"/>
      <c r="H59" s="5"/>
    </row>
    <row r="60" ht="15.75" customHeight="1">
      <c r="C60" s="15"/>
      <c r="H60" s="5"/>
    </row>
    <row r="61" ht="15.75" customHeight="1">
      <c r="C61" s="15"/>
      <c r="H61" s="5"/>
    </row>
    <row r="62" ht="15.75" customHeight="1">
      <c r="C62" s="15"/>
      <c r="H62" s="5"/>
    </row>
    <row r="63" ht="15.75" customHeight="1">
      <c r="C63" s="15"/>
      <c r="H63" s="5"/>
    </row>
    <row r="64" ht="15.75" customHeight="1">
      <c r="C64" s="15"/>
      <c r="H64" s="5"/>
    </row>
    <row r="65" ht="15.75" customHeight="1">
      <c r="C65" s="15"/>
      <c r="H65" s="5"/>
    </row>
    <row r="66" ht="15.75" customHeight="1">
      <c r="C66" s="15"/>
      <c r="H66" s="5"/>
    </row>
    <row r="67" ht="15.75" customHeight="1">
      <c r="C67" s="15"/>
      <c r="H67" s="5"/>
    </row>
    <row r="68" ht="15.75" customHeight="1">
      <c r="C68" s="15"/>
      <c r="H68" s="5"/>
    </row>
    <row r="69" ht="15.75" customHeight="1">
      <c r="C69" s="15"/>
      <c r="H69" s="5"/>
    </row>
    <row r="70" ht="15.75" customHeight="1">
      <c r="C70" s="15"/>
      <c r="H70" s="5"/>
    </row>
    <row r="71" ht="15.75" customHeight="1">
      <c r="C71" s="15"/>
      <c r="H71" s="5"/>
    </row>
    <row r="72" ht="15.75" customHeight="1">
      <c r="C72" s="15"/>
      <c r="H72" s="5"/>
    </row>
    <row r="73" ht="15.75" customHeight="1">
      <c r="C73" s="15"/>
      <c r="H73" s="5"/>
    </row>
    <row r="74" ht="15.75" customHeight="1">
      <c r="C74" s="15"/>
      <c r="H74" s="5"/>
    </row>
    <row r="75" ht="15.75" customHeight="1">
      <c r="C75" s="15"/>
      <c r="H75" s="5"/>
    </row>
    <row r="76" ht="15.75" customHeight="1">
      <c r="C76" s="15"/>
      <c r="H76" s="5"/>
    </row>
    <row r="77" ht="15.75" customHeight="1">
      <c r="C77" s="15"/>
      <c r="H77" s="5"/>
    </row>
    <row r="78" ht="15.75" customHeight="1">
      <c r="C78" s="15"/>
      <c r="H78" s="5"/>
    </row>
    <row r="79" ht="15.75" customHeight="1">
      <c r="C79" s="15"/>
      <c r="H79" s="5"/>
    </row>
    <row r="80" ht="15.75" customHeight="1">
      <c r="C80" s="15"/>
      <c r="H80" s="5"/>
    </row>
    <row r="81" ht="15.75" customHeight="1">
      <c r="C81" s="15"/>
      <c r="H81" s="5"/>
    </row>
    <row r="82" ht="15.75" customHeight="1">
      <c r="C82" s="15"/>
      <c r="H82" s="5"/>
    </row>
    <row r="83" ht="15.75" customHeight="1">
      <c r="C83" s="15"/>
      <c r="H83" s="5"/>
    </row>
    <row r="84" ht="15.75" customHeight="1">
      <c r="C84" s="15"/>
      <c r="H84" s="5"/>
    </row>
    <row r="85" ht="15.75" customHeight="1">
      <c r="C85" s="15"/>
      <c r="H85" s="5"/>
    </row>
    <row r="86" ht="15.75" customHeight="1">
      <c r="C86" s="15"/>
      <c r="H86" s="5"/>
    </row>
    <row r="87" ht="15.75" customHeight="1">
      <c r="C87" s="15"/>
      <c r="H87" s="5"/>
    </row>
    <row r="88" ht="15.75" customHeight="1">
      <c r="C88" s="15"/>
      <c r="H88" s="5"/>
    </row>
    <row r="89" ht="15.75" customHeight="1">
      <c r="C89" s="15"/>
      <c r="H89" s="5"/>
    </row>
    <row r="90" ht="15.75" customHeight="1">
      <c r="C90" s="15"/>
      <c r="H90" s="5"/>
    </row>
    <row r="91" ht="15.75" customHeight="1">
      <c r="C91" s="15"/>
      <c r="H91" s="5"/>
    </row>
    <row r="92" ht="15.75" customHeight="1">
      <c r="C92" s="15"/>
      <c r="H92" s="5"/>
    </row>
    <row r="93" ht="15.75" customHeight="1">
      <c r="C93" s="15"/>
      <c r="H93" s="5"/>
    </row>
    <row r="94" ht="15.75" customHeight="1">
      <c r="C94" s="15"/>
      <c r="H94" s="5"/>
    </row>
    <row r="95" ht="15.75" customHeight="1">
      <c r="C95" s="15"/>
      <c r="H95" s="5"/>
    </row>
    <row r="96" ht="15.75" customHeight="1">
      <c r="C96" s="15"/>
      <c r="H96" s="5"/>
    </row>
    <row r="97" ht="15.75" customHeight="1">
      <c r="C97" s="15"/>
      <c r="H97" s="5"/>
    </row>
    <row r="98" ht="15.75" customHeight="1">
      <c r="C98" s="15"/>
      <c r="H98" s="5"/>
    </row>
    <row r="99" ht="15.75" customHeight="1">
      <c r="C99" s="15"/>
      <c r="H99" s="5"/>
    </row>
    <row r="100" ht="15.75" customHeight="1">
      <c r="C100" s="15"/>
      <c r="H100" s="5"/>
    </row>
    <row r="101" ht="15.75" customHeight="1">
      <c r="C101" s="15"/>
      <c r="H101" s="5"/>
    </row>
    <row r="102" ht="15.75" customHeight="1">
      <c r="C102" s="15"/>
      <c r="H102" s="5"/>
    </row>
    <row r="103" ht="15.75" customHeight="1">
      <c r="C103" s="15"/>
    </row>
    <row r="104" ht="15.75" customHeight="1">
      <c r="C104" s="15"/>
    </row>
    <row r="105" ht="15.75" customHeight="1">
      <c r="C105" s="15"/>
    </row>
    <row r="106" ht="15.75" customHeight="1">
      <c r="C106" s="15"/>
    </row>
    <row r="107" ht="15.75" customHeight="1">
      <c r="C107" s="15"/>
    </row>
    <row r="108" ht="15.75" customHeight="1">
      <c r="C108" s="15"/>
    </row>
    <row r="109" ht="15.75" customHeight="1">
      <c r="C109" s="15"/>
    </row>
    <row r="110" ht="15.75" customHeight="1">
      <c r="C110" s="15"/>
    </row>
    <row r="111" ht="15.75" customHeight="1">
      <c r="C111" s="15"/>
    </row>
    <row r="112" ht="15.75" customHeight="1">
      <c r="C112" s="15"/>
    </row>
    <row r="113" ht="15.75" customHeight="1">
      <c r="C113" s="15"/>
    </row>
    <row r="114" ht="15.75" customHeight="1">
      <c r="C114" s="15"/>
    </row>
    <row r="115" ht="15.75" customHeight="1">
      <c r="C115" s="15"/>
    </row>
    <row r="116" ht="15.75" customHeight="1">
      <c r="C116" s="15"/>
    </row>
    <row r="117" ht="15.75" customHeight="1">
      <c r="C117" s="15"/>
    </row>
    <row r="118" ht="15.75" customHeight="1">
      <c r="C118" s="15"/>
    </row>
    <row r="119" ht="15.75" customHeight="1">
      <c r="C119" s="15"/>
    </row>
    <row r="120" ht="15.75" customHeight="1">
      <c r="C120" s="15"/>
    </row>
    <row r="121" ht="15.75" customHeight="1">
      <c r="C121" s="15"/>
    </row>
    <row r="122" ht="15.75" customHeight="1">
      <c r="C122" s="15"/>
    </row>
    <row r="123" ht="15.75" customHeight="1">
      <c r="C123" s="15"/>
    </row>
    <row r="124" ht="15.75" customHeight="1">
      <c r="C124" s="15"/>
    </row>
    <row r="125" ht="15.75" customHeight="1">
      <c r="C125" s="15"/>
    </row>
    <row r="126" ht="15.75" customHeight="1">
      <c r="C126" s="15"/>
    </row>
    <row r="127" ht="15.75" customHeight="1">
      <c r="C127" s="15"/>
    </row>
    <row r="128" ht="15.75" customHeight="1">
      <c r="C128" s="15"/>
    </row>
    <row r="129" ht="15.75" customHeight="1">
      <c r="C129" s="15"/>
    </row>
    <row r="130" ht="15.75" customHeight="1">
      <c r="C130" s="15"/>
    </row>
    <row r="131" ht="15.75" customHeight="1">
      <c r="C131" s="15"/>
    </row>
    <row r="132" ht="15.75" customHeight="1">
      <c r="C132" s="15"/>
    </row>
    <row r="133" ht="15.75" customHeight="1">
      <c r="C133" s="15"/>
    </row>
    <row r="134" ht="15.75" customHeight="1">
      <c r="C134" s="15"/>
    </row>
    <row r="135" ht="15.75" customHeight="1">
      <c r="C135" s="15"/>
    </row>
    <row r="136" ht="15.75" customHeight="1">
      <c r="C136" s="15"/>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9:H102">
      <formula1>"2,3,4,5,6,7,8,9,10,11"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2" t="s">
        <v>0</v>
      </c>
    </row>
    <row r="3" ht="15.75" customHeight="1"/>
    <row r="4" ht="15.75" customHeight="1">
      <c r="B4" s="16" t="s">
        <v>1</v>
      </c>
      <c r="C4" s="17" t="str">
        <f>'Diseño'!C4</f>
        <v>972 - Inteligencia Artificial 1</v>
      </c>
      <c r="D4" s="18"/>
      <c r="E4" s="18"/>
      <c r="F4" s="18"/>
      <c r="G4" s="19"/>
    </row>
    <row r="5" ht="15.75" customHeight="1">
      <c r="B5" s="20" t="s">
        <v>11</v>
      </c>
      <c r="C5" s="17">
        <v>1.0</v>
      </c>
      <c r="D5" s="18"/>
      <c r="E5" s="18"/>
      <c r="F5" s="18"/>
      <c r="G5" s="19"/>
    </row>
    <row r="6" ht="15.75" customHeight="1">
      <c r="B6" s="20" t="s">
        <v>73</v>
      </c>
      <c r="C6" s="17">
        <f>B15+B22+B29+B41+B47+C48</f>
        <v>100</v>
      </c>
      <c r="D6" s="18"/>
      <c r="E6" s="18"/>
      <c r="F6" s="18"/>
      <c r="G6" s="19"/>
    </row>
    <row r="7" ht="15.75" customHeight="1"/>
    <row r="8" ht="15.75" customHeight="1"/>
    <row r="9" ht="15.75" customHeight="1">
      <c r="A9" s="21" t="s">
        <v>74</v>
      </c>
      <c r="G9" s="22" t="s">
        <v>75</v>
      </c>
      <c r="H9" s="23">
        <v>10.0</v>
      </c>
    </row>
    <row r="10" ht="15.75" customHeight="1">
      <c r="G10" s="24" t="s">
        <v>76</v>
      </c>
    </row>
    <row r="11" ht="27.0" customHeight="1">
      <c r="A11" s="25" t="s">
        <v>77</v>
      </c>
      <c r="B11" s="26" t="s">
        <v>78</v>
      </c>
      <c r="C11" s="18"/>
      <c r="D11" s="18"/>
      <c r="E11" s="18"/>
      <c r="F11" s="18"/>
      <c r="G11" s="18"/>
      <c r="H11" s="19"/>
    </row>
    <row r="12">
      <c r="A12" s="27" t="s">
        <v>79</v>
      </c>
      <c r="B12" s="26" t="s">
        <v>80</v>
      </c>
      <c r="C12" s="18"/>
      <c r="D12" s="18"/>
      <c r="E12" s="18"/>
      <c r="F12" s="18"/>
      <c r="G12" s="18"/>
      <c r="H12" s="19"/>
      <c r="K12" s="28" t="s">
        <v>81</v>
      </c>
    </row>
    <row r="13" ht="26.25" customHeight="1">
      <c r="A13" s="29" t="s">
        <v>82</v>
      </c>
      <c r="B13" s="30" t="s">
        <v>83</v>
      </c>
      <c r="C13" s="18"/>
      <c r="D13" s="18"/>
      <c r="E13" s="18"/>
      <c r="F13" s="18"/>
      <c r="G13" s="18"/>
      <c r="H13" s="19"/>
    </row>
    <row r="14" ht="33.0" customHeight="1">
      <c r="A14" s="29" t="s">
        <v>84</v>
      </c>
      <c r="B14" s="30" t="s">
        <v>85</v>
      </c>
      <c r="C14" s="18"/>
      <c r="D14" s="18"/>
      <c r="E14" s="18"/>
      <c r="F14" s="18"/>
      <c r="G14" s="18"/>
      <c r="H14" s="19"/>
    </row>
    <row r="15" ht="29.25" customHeight="1">
      <c r="A15" s="31" t="s">
        <v>86</v>
      </c>
      <c r="B15" s="30">
        <v>10.0</v>
      </c>
      <c r="C15" s="18"/>
      <c r="D15" s="18"/>
      <c r="E15" s="18"/>
      <c r="F15" s="18"/>
      <c r="G15" s="18"/>
      <c r="H15" s="19"/>
    </row>
    <row r="16" ht="15.75" customHeight="1"/>
    <row r="17" ht="15.75" customHeight="1"/>
    <row r="18" ht="15.75" customHeight="1">
      <c r="A18" s="32" t="s">
        <v>87</v>
      </c>
      <c r="G18" s="22" t="s">
        <v>75</v>
      </c>
      <c r="H18" s="23">
        <v>20.0</v>
      </c>
    </row>
    <row r="19" ht="15.75" customHeight="1">
      <c r="G19" s="24" t="s">
        <v>88</v>
      </c>
    </row>
    <row r="20" ht="15.75" customHeight="1">
      <c r="A20" s="25" t="s">
        <v>89</v>
      </c>
      <c r="B20" s="33" t="s">
        <v>90</v>
      </c>
      <c r="K20" s="28" t="s">
        <v>91</v>
      </c>
    </row>
    <row r="21" ht="15.75" customHeight="1">
      <c r="A21" s="25" t="s">
        <v>92</v>
      </c>
      <c r="B21" s="26" t="s">
        <v>93</v>
      </c>
      <c r="C21" s="18"/>
      <c r="D21" s="18"/>
      <c r="E21" s="18"/>
      <c r="F21" s="18"/>
      <c r="G21" s="18"/>
      <c r="H21" s="19"/>
    </row>
    <row r="22" ht="15.75" customHeight="1">
      <c r="A22" s="31" t="s">
        <v>86</v>
      </c>
      <c r="B22" s="30">
        <v>20.0</v>
      </c>
      <c r="C22" s="18"/>
      <c r="D22" s="18"/>
      <c r="E22" s="18"/>
      <c r="F22" s="18"/>
      <c r="G22" s="18"/>
      <c r="H22" s="19"/>
    </row>
    <row r="23" ht="15.75" customHeight="1"/>
    <row r="24" ht="15.75" customHeight="1"/>
    <row r="25" ht="15.75" customHeight="1">
      <c r="A25" s="32" t="s">
        <v>94</v>
      </c>
      <c r="G25" s="34" t="s">
        <v>75</v>
      </c>
      <c r="H25" s="23">
        <v>25.0</v>
      </c>
    </row>
    <row r="26" ht="15.75" customHeight="1">
      <c r="G26" s="24" t="s">
        <v>95</v>
      </c>
      <c r="H26" s="24"/>
      <c r="I26" s="24"/>
      <c r="J26" s="24"/>
    </row>
    <row r="27" ht="39.75" customHeight="1">
      <c r="A27" s="25" t="s">
        <v>96</v>
      </c>
      <c r="B27" s="33" t="s">
        <v>97</v>
      </c>
      <c r="C27" s="35"/>
      <c r="D27" s="35"/>
      <c r="E27" s="35"/>
      <c r="F27" s="35"/>
      <c r="G27" s="35"/>
      <c r="H27" s="36"/>
      <c r="K27" s="37" t="s">
        <v>98</v>
      </c>
    </row>
    <row r="28" ht="69.75" customHeight="1">
      <c r="A28" s="25" t="s">
        <v>99</v>
      </c>
      <c r="B28" s="26" t="s">
        <v>100</v>
      </c>
      <c r="C28" s="18"/>
      <c r="D28" s="18"/>
      <c r="E28" s="18"/>
      <c r="F28" s="18"/>
      <c r="G28" s="18"/>
      <c r="H28" s="19"/>
    </row>
    <row r="29" ht="15.75" customHeight="1">
      <c r="A29" s="31" t="s">
        <v>86</v>
      </c>
      <c r="B29" s="30">
        <v>25.0</v>
      </c>
      <c r="C29" s="18"/>
      <c r="D29" s="18"/>
      <c r="E29" s="18"/>
      <c r="F29" s="18"/>
      <c r="G29" s="18"/>
      <c r="H29" s="19"/>
    </row>
    <row r="30" ht="15.75" customHeight="1"/>
    <row r="31" ht="15.75" customHeight="1"/>
    <row r="32" ht="15.75" customHeight="1">
      <c r="A32" s="32" t="s">
        <v>101</v>
      </c>
      <c r="G32" s="34" t="s">
        <v>75</v>
      </c>
      <c r="H32" s="38">
        <f>B36</f>
        <v>5</v>
      </c>
    </row>
    <row r="33" ht="15.75" customHeight="1">
      <c r="A33" s="6" t="s">
        <v>102</v>
      </c>
      <c r="G33" s="6" t="s">
        <v>103</v>
      </c>
      <c r="H33" s="39"/>
      <c r="I33" s="39"/>
    </row>
    <row r="34" ht="47.25" customHeight="1">
      <c r="A34" s="25" t="s">
        <v>104</v>
      </c>
      <c r="B34" s="40" t="s">
        <v>105</v>
      </c>
      <c r="C34" s="18"/>
      <c r="D34" s="18"/>
      <c r="E34" s="18"/>
      <c r="F34" s="18"/>
      <c r="G34" s="18"/>
      <c r="H34" s="19"/>
      <c r="K34" s="41" t="s">
        <v>106</v>
      </c>
    </row>
    <row r="35" ht="33.75" customHeight="1">
      <c r="A35" s="25" t="s">
        <v>107</v>
      </c>
      <c r="B35" s="26" t="s">
        <v>108</v>
      </c>
      <c r="C35" s="18"/>
      <c r="D35" s="18"/>
      <c r="E35" s="18"/>
      <c r="F35" s="18"/>
      <c r="G35" s="18"/>
      <c r="H35" s="19"/>
    </row>
    <row r="36" ht="15.75" customHeight="1">
      <c r="A36" s="31" t="s">
        <v>86</v>
      </c>
      <c r="B36" s="30">
        <v>5.0</v>
      </c>
      <c r="C36" s="18"/>
      <c r="D36" s="18"/>
      <c r="E36" s="18"/>
      <c r="F36" s="18"/>
      <c r="G36" s="18"/>
      <c r="H36" s="19"/>
    </row>
    <row r="37" ht="15.75" customHeight="1"/>
    <row r="38" ht="15.75" customHeight="1"/>
    <row r="39" ht="15.75" customHeight="1">
      <c r="A39" s="32" t="s">
        <v>109</v>
      </c>
      <c r="G39" s="34" t="s">
        <v>75</v>
      </c>
      <c r="H39" s="38">
        <f>B41</f>
        <v>30</v>
      </c>
    </row>
    <row r="40" ht="15.75" customHeight="1">
      <c r="G40" s="24" t="s">
        <v>110</v>
      </c>
    </row>
    <row r="41" ht="15.75" customHeight="1">
      <c r="A41" s="31" t="s">
        <v>86</v>
      </c>
      <c r="B41" s="30">
        <v>30.0</v>
      </c>
      <c r="C41" s="18"/>
      <c r="D41" s="18"/>
      <c r="E41" s="18"/>
      <c r="F41" s="18"/>
      <c r="G41" s="18"/>
      <c r="H41" s="19"/>
    </row>
    <row r="42" ht="15.75" customHeight="1"/>
    <row r="43" ht="15.75" customHeight="1"/>
    <row r="44" ht="15.75" customHeight="1">
      <c r="A44" s="32" t="s">
        <v>111</v>
      </c>
      <c r="G44" s="34" t="s">
        <v>75</v>
      </c>
      <c r="H44" s="23">
        <f>B47</f>
        <v>15</v>
      </c>
    </row>
    <row r="45" ht="15.75" customHeight="1">
      <c r="G45" s="24" t="s">
        <v>76</v>
      </c>
    </row>
    <row r="46" ht="15.75" customHeight="1">
      <c r="A46" s="25" t="s">
        <v>112</v>
      </c>
      <c r="B46" s="26" t="s">
        <v>113</v>
      </c>
      <c r="C46" s="18"/>
      <c r="D46" s="18"/>
      <c r="E46" s="18"/>
      <c r="F46" s="18"/>
      <c r="G46" s="18"/>
      <c r="H46" s="19"/>
    </row>
    <row r="47" ht="15.75" customHeight="1">
      <c r="A47" s="31" t="s">
        <v>86</v>
      </c>
      <c r="B47" s="30">
        <v>15.0</v>
      </c>
      <c r="C47" s="18"/>
      <c r="D47" s="18"/>
      <c r="E47" s="18"/>
      <c r="F47" s="18"/>
      <c r="G47" s="18"/>
      <c r="H47" s="19"/>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A6"/>
    <mergeCell ref="C4:G4"/>
    <mergeCell ref="C5:G5"/>
    <mergeCell ref="C6:G6"/>
    <mergeCell ref="A9:F9"/>
    <mergeCell ref="G10:I10"/>
    <mergeCell ref="B11:H11"/>
    <mergeCell ref="B12:H12"/>
    <mergeCell ref="K12:M13"/>
    <mergeCell ref="B13:H13"/>
    <mergeCell ref="B14:H14"/>
    <mergeCell ref="B15:H15"/>
    <mergeCell ref="A18:F18"/>
    <mergeCell ref="G19:I19"/>
    <mergeCell ref="K20:M21"/>
    <mergeCell ref="B21:H21"/>
    <mergeCell ref="B22:H22"/>
    <mergeCell ref="A25:F25"/>
    <mergeCell ref="K27:M29"/>
    <mergeCell ref="B28:H28"/>
    <mergeCell ref="B29:H29"/>
    <mergeCell ref="G40:I40"/>
    <mergeCell ref="B41:H41"/>
    <mergeCell ref="A44:F44"/>
    <mergeCell ref="G45:I45"/>
    <mergeCell ref="B46:H46"/>
    <mergeCell ref="B47:H47"/>
    <mergeCell ref="A32:F32"/>
    <mergeCell ref="A33:F33"/>
    <mergeCell ref="B34:H34"/>
    <mergeCell ref="K34:M36"/>
    <mergeCell ref="B35:H35"/>
    <mergeCell ref="B36:H36"/>
    <mergeCell ref="A39:F39"/>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2.0</v>
      </c>
      <c r="D5" s="18"/>
      <c r="E5" s="18"/>
      <c r="F5" s="18"/>
      <c r="G5" s="19"/>
    </row>
    <row r="6" ht="15.75" customHeight="1">
      <c r="B6" s="43" t="s">
        <v>73</v>
      </c>
      <c r="C6" s="17">
        <f>H10+H21+H44+H68</f>
        <v>126</v>
      </c>
      <c r="D6" s="18"/>
      <c r="E6" s="18"/>
      <c r="F6" s="18"/>
      <c r="G6" s="19"/>
      <c r="I6" s="5"/>
    </row>
    <row r="7" ht="15.75" customHeight="1">
      <c r="B7" s="43" t="s">
        <v>115</v>
      </c>
      <c r="C7" s="17">
        <f>B49+B60</f>
        <v>3</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f>B13</f>
        <v>5</v>
      </c>
    </row>
    <row r="11" ht="15.75" customHeight="1">
      <c r="G11" s="24" t="s">
        <v>118</v>
      </c>
    </row>
    <row r="12" ht="15.75" customHeight="1">
      <c r="A12" s="29" t="s">
        <v>119</v>
      </c>
      <c r="B12" s="30" t="s">
        <v>120</v>
      </c>
      <c r="C12" s="18"/>
      <c r="D12" s="18"/>
      <c r="E12" s="18"/>
      <c r="F12" s="18"/>
      <c r="G12" s="18"/>
      <c r="H12" s="19"/>
    </row>
    <row r="13" ht="15.75" customHeight="1">
      <c r="A13" s="31" t="s">
        <v>75</v>
      </c>
      <c r="B13" s="30">
        <v>5.0</v>
      </c>
      <c r="C13" s="18"/>
      <c r="D13" s="18"/>
      <c r="E13" s="18"/>
      <c r="F13" s="18"/>
      <c r="G13" s="18"/>
      <c r="H13" s="19"/>
    </row>
    <row r="14" ht="15.75" customHeight="1">
      <c r="A14" s="46" t="s">
        <v>121</v>
      </c>
      <c r="B14" s="18"/>
      <c r="C14" s="18"/>
      <c r="D14" s="18"/>
      <c r="E14" s="18"/>
      <c r="F14" s="18"/>
      <c r="G14" s="18"/>
      <c r="H14" s="19"/>
    </row>
    <row r="15" ht="15.75" customHeight="1">
      <c r="A15" s="47" t="s">
        <v>122</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124</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12</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IFERROR(__xludf.DUMMYFUNCTION("FILTER('Diseño'!D:D,'Diseño'!H:H=$C$5)"),"Logica e Inferencia")</f>
        <v>Logica e Inferencia</v>
      </c>
      <c r="C28" s="19"/>
      <c r="D28" s="17" t="str">
        <f>IFERROR(__xludf.DUMMYFUNCTION("FILTER('Diseño'!E:E,'Diseño'!H:H=$C$5)"),"Tipos de datos y variables")</f>
        <v>Tipos de datos y variables</v>
      </c>
      <c r="E28" s="19"/>
      <c r="F28" s="17" t="str">
        <f>IFERROR(__xludf.DUMMYFUNCTION("FILTER('Diseño'!F:F,'Diseño'!H:H=$C$5)"),"Declaración de datos atómicos y compuestos")</f>
        <v>Declaración de datos atómicos y compuestos</v>
      </c>
      <c r="G28" s="18"/>
      <c r="H28" s="19"/>
    </row>
    <row r="29" ht="15.75" customHeight="1">
      <c r="A29" s="20">
        <v>2.0</v>
      </c>
      <c r="B29" s="17" t="str">
        <f>IFERROR(__xludf.DUMMYFUNCTION("""COMPUTED_VALUE"""),"Logica e Inferencia")</f>
        <v>Logica e Inferencia</v>
      </c>
      <c r="C29" s="19"/>
      <c r="D29" s="17" t="str">
        <f>IFERROR(__xludf.DUMMYFUNCTION("""COMPUTED_VALUE"""),"Tipos de datos y variables")</f>
        <v>Tipos de datos y variables</v>
      </c>
      <c r="E29" s="19"/>
      <c r="F29" s="17" t="str">
        <f>IFERROR(__xludf.DUMMYFUNCTION("""COMPUTED_VALUE"""),"Manipulación de variables en entornos lógicos")</f>
        <v>Manipulación de variables en entornos lógicos</v>
      </c>
      <c r="G29" s="18"/>
      <c r="H29" s="19"/>
    </row>
    <row r="30" ht="15.75" customHeight="1">
      <c r="A30" s="20">
        <v>3.0</v>
      </c>
      <c r="B30" s="17" t="str">
        <f>IFERROR(__xludf.DUMMYFUNCTION("""COMPUTED_VALUE"""),"Logica e Inferencia")</f>
        <v>Logica e Inferencia</v>
      </c>
      <c r="C30" s="19"/>
      <c r="D30" s="17" t="str">
        <f>IFERROR(__xludf.DUMMYFUNCTION("""COMPUTED_VALUE"""),"Reglas, Hechos y Consultas")</f>
        <v>Reglas, Hechos y Consultas</v>
      </c>
      <c r="E30" s="19"/>
      <c r="F30" s="17" t="str">
        <f>IFERROR(__xludf.DUMMYFUNCTION("""COMPUTED_VALUE"""),"Sintaxis de hechos y reglas en Prolog")</f>
        <v>Sintaxis de hechos y reglas en Prolog</v>
      </c>
      <c r="G30" s="18"/>
      <c r="H30" s="19"/>
    </row>
    <row r="31" ht="15.75" customHeight="1">
      <c r="A31" s="20">
        <v>4.0</v>
      </c>
      <c r="B31" s="17" t="str">
        <f>IFERROR(__xludf.DUMMYFUNCTION("""COMPUTED_VALUE"""),"Logica e Inferencia")</f>
        <v>Logica e Inferencia</v>
      </c>
      <c r="C31" s="19"/>
      <c r="D31" s="17" t="str">
        <f>IFERROR(__xludf.DUMMYFUNCTION("""COMPUTED_VALUE"""),"Reglas, Hechos y Consultas")</f>
        <v>Reglas, Hechos y Consultas</v>
      </c>
      <c r="E31" s="19"/>
      <c r="F31" s="17" t="str">
        <f>IFERROR(__xludf.DUMMYFUNCTION("""COMPUTED_VALUE"""),"Realización de consultas simples y compuestas")</f>
        <v>Realización de consultas simples y compuestas</v>
      </c>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58">
        <v>40.0</v>
      </c>
      <c r="D39" s="30">
        <v>30.0</v>
      </c>
      <c r="E39" s="18"/>
      <c r="F39" s="18"/>
      <c r="G39" s="18"/>
      <c r="H39" s="19"/>
    </row>
    <row r="40" ht="15.75" customHeight="1">
      <c r="A40" s="20" t="s">
        <v>138</v>
      </c>
      <c r="B40" s="20" t="s">
        <v>137</v>
      </c>
      <c r="C40" s="58">
        <v>6.0</v>
      </c>
      <c r="D40" s="30">
        <v>3.0</v>
      </c>
      <c r="E40" s="18"/>
      <c r="F40" s="18"/>
      <c r="G40" s="18"/>
      <c r="H40" s="19"/>
    </row>
    <row r="41" ht="15.75" customHeight="1">
      <c r="A41" s="20" t="s">
        <v>139</v>
      </c>
      <c r="B41" s="20" t="s">
        <v>140</v>
      </c>
      <c r="C41" s="58">
        <v>3.0</v>
      </c>
      <c r="D41" s="30">
        <v>3.0</v>
      </c>
      <c r="E41" s="18"/>
      <c r="F41" s="18"/>
      <c r="G41" s="18"/>
      <c r="H41" s="19"/>
    </row>
    <row r="42" ht="15.75" customHeight="1">
      <c r="A42" s="20" t="s">
        <v>141</v>
      </c>
      <c r="B42" s="20" t="s">
        <v>137</v>
      </c>
      <c r="C42" s="58">
        <v>30.0</v>
      </c>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53.25" customHeight="1">
      <c r="A47" s="29" t="s">
        <v>145</v>
      </c>
      <c r="B47" s="30" t="s">
        <v>12</v>
      </c>
      <c r="C47" s="18"/>
      <c r="D47" s="18"/>
      <c r="E47" s="18"/>
      <c r="F47" s="18"/>
      <c r="G47" s="18"/>
      <c r="H47" s="19"/>
    </row>
    <row r="48" ht="15.75" customHeight="1">
      <c r="A48" s="29" t="s">
        <v>146</v>
      </c>
      <c r="B48" s="30" t="s">
        <v>147</v>
      </c>
      <c r="C48" s="18"/>
      <c r="D48" s="18"/>
      <c r="E48" s="18"/>
      <c r="F48" s="18"/>
      <c r="G48" s="18"/>
      <c r="H48" s="19"/>
    </row>
    <row r="49" ht="15.75" customHeight="1">
      <c r="A49" s="29" t="s">
        <v>115</v>
      </c>
      <c r="B49" s="59">
        <v>1.0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150</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59">
        <v>2.0</v>
      </c>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65" t="s">
        <v>75</v>
      </c>
      <c r="H68" s="66">
        <v>15.0</v>
      </c>
    </row>
    <row r="69" ht="15.75" customHeight="1">
      <c r="G69" s="24" t="s">
        <v>154</v>
      </c>
    </row>
    <row r="70" ht="15.75" customHeight="1">
      <c r="A70" s="29" t="s">
        <v>75</v>
      </c>
      <c r="B70" s="59">
        <v>15.0</v>
      </c>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3.0</v>
      </c>
      <c r="D5" s="18"/>
      <c r="E5" s="18"/>
      <c r="F5" s="18"/>
      <c r="G5" s="19"/>
    </row>
    <row r="6" ht="15.75" customHeight="1">
      <c r="B6" s="43" t="s">
        <v>73</v>
      </c>
      <c r="C6" s="17">
        <f>H10+H21+H44+H68</f>
        <v>112</v>
      </c>
      <c r="D6" s="18"/>
      <c r="E6" s="18"/>
      <c r="F6" s="18"/>
      <c r="G6" s="19"/>
      <c r="I6" s="5"/>
    </row>
    <row r="7" ht="15.75" customHeight="1">
      <c r="B7" s="43" t="s">
        <v>115</v>
      </c>
      <c r="C7" s="17">
        <f>B49+B60</f>
        <v>3</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f>B13</f>
        <v>5</v>
      </c>
    </row>
    <row r="11" ht="15.75" customHeight="1">
      <c r="G11" s="24" t="s">
        <v>118</v>
      </c>
    </row>
    <row r="12" ht="15.75" customHeight="1">
      <c r="A12" s="29" t="s">
        <v>119</v>
      </c>
      <c r="B12" s="30" t="s">
        <v>157</v>
      </c>
      <c r="C12" s="18"/>
      <c r="D12" s="18"/>
      <c r="E12" s="18"/>
      <c r="F12" s="18"/>
      <c r="G12" s="18"/>
      <c r="H12" s="19"/>
    </row>
    <row r="13" ht="15.75" customHeight="1">
      <c r="A13" s="31" t="s">
        <v>75</v>
      </c>
      <c r="B13" s="30">
        <v>5.0</v>
      </c>
      <c r="C13" s="18"/>
      <c r="D13" s="18"/>
      <c r="E13" s="18"/>
      <c r="F13" s="18"/>
      <c r="G13" s="18"/>
      <c r="H13" s="19"/>
    </row>
    <row r="14" ht="15.75" customHeight="1">
      <c r="A14" s="46" t="s">
        <v>121</v>
      </c>
      <c r="B14" s="18"/>
      <c r="C14" s="18"/>
      <c r="D14" s="18"/>
      <c r="E14" s="18"/>
      <c r="F14" s="18"/>
      <c r="G14" s="18"/>
      <c r="H14" s="19"/>
    </row>
    <row r="15" ht="15.75" customHeight="1">
      <c r="A15" s="47" t="s">
        <v>158</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159</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12</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IFERROR(__xludf.DUMMYFUNCTION("FILTER('Diseño'!D:D,'Diseño'!H:H=$C$5)"),"Logica e Inferencia")</f>
        <v>Logica e Inferencia</v>
      </c>
      <c r="C28" s="19"/>
      <c r="D28" s="17" t="str">
        <f>IFERROR(__xludf.DUMMYFUNCTION("FILTER('Diseño'!E:E,'Diseño'!H:H=$C$5)"),"Expresiones y Cláusulas")</f>
        <v>Expresiones y Cláusulas</v>
      </c>
      <c r="E28" s="19"/>
      <c r="F28" s="17" t="str">
        <f>IFERROR(__xludf.DUMMYFUNCTION("FILTER('Diseño'!F:F,'Diseño'!H:H=$C$5)"),"Construcción de expresiones condicionales")</f>
        <v>Construcción de expresiones condicionales</v>
      </c>
      <c r="G28" s="18"/>
      <c r="H28" s="19"/>
    </row>
    <row r="29" ht="15.75" customHeight="1">
      <c r="A29" s="20">
        <v>2.0</v>
      </c>
      <c r="B29" s="30" t="str">
        <f>IFERROR(__xludf.DUMMYFUNCTION("""COMPUTED_VALUE"""),"Logica e Inferencia")</f>
        <v>Logica e Inferencia</v>
      </c>
      <c r="C29" s="19"/>
      <c r="D29" s="30" t="str">
        <f>IFERROR(__xludf.DUMMYFUNCTION("""COMPUTED_VALUE"""),"Expresiones y Cláusulas")</f>
        <v>Expresiones y Cláusulas</v>
      </c>
      <c r="E29" s="67"/>
      <c r="F29" s="30" t="str">
        <f>IFERROR(__xludf.DUMMYFUNCTION("""COMPUTED_VALUE"""),"Encadenamiento de cláusulas para inferencias")</f>
        <v>Encadenamiento de cláusulas para inferencias</v>
      </c>
      <c r="G29" s="68"/>
      <c r="H29" s="67"/>
    </row>
    <row r="30" ht="15.75" customHeight="1">
      <c r="A30" s="20">
        <v>3.0</v>
      </c>
      <c r="B30" s="30" t="str">
        <f>IFERROR(__xludf.DUMMYFUNCTION("""COMPUTED_VALUE"""),"Logica e Inferencia")</f>
        <v>Logica e Inferencia</v>
      </c>
      <c r="C30" s="19"/>
      <c r="D30" s="30" t="str">
        <f>IFERROR(__xludf.DUMMYFUNCTION("""COMPUTED_VALUE"""),"Predicados")</f>
        <v>Predicados</v>
      </c>
      <c r="E30" s="67"/>
      <c r="F30" s="30" t="str">
        <f>IFERROR(__xludf.DUMMYFUNCTION("""COMPUTED_VALUE"""),"Definición de predicados simples")</f>
        <v>Definición de predicados simples</v>
      </c>
      <c r="G30" s="68"/>
      <c r="H30" s="67"/>
    </row>
    <row r="31" ht="15.75" customHeight="1">
      <c r="A31" s="20">
        <v>4.0</v>
      </c>
      <c r="B31" s="30" t="str">
        <f>IFERROR(__xludf.DUMMYFUNCTION("""COMPUTED_VALUE"""),"Logica e Inferencia")</f>
        <v>Logica e Inferencia</v>
      </c>
      <c r="C31" s="19"/>
      <c r="D31" s="30" t="str">
        <f>IFERROR(__xludf.DUMMYFUNCTION("""COMPUTED_VALUE"""),"Predicados")</f>
        <v>Predicados</v>
      </c>
      <c r="E31" s="67"/>
      <c r="F31" s="30" t="str">
        <f>IFERROR(__xludf.DUMMYFUNCTION("""COMPUTED_VALUE"""),"Uso de predicados recursivos")</f>
        <v>Uso de predicados recursivos</v>
      </c>
      <c r="G31" s="68"/>
      <c r="H31" s="67"/>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58"/>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12</v>
      </c>
      <c r="C47" s="18"/>
      <c r="D47" s="18"/>
      <c r="E47" s="18"/>
      <c r="F47" s="18"/>
      <c r="G47" s="18"/>
      <c r="H47" s="19"/>
    </row>
    <row r="48" ht="15.75" customHeight="1">
      <c r="A48" s="29" t="s">
        <v>146</v>
      </c>
      <c r="B48" s="17" t="s">
        <v>161</v>
      </c>
      <c r="C48" s="18"/>
      <c r="D48" s="18"/>
      <c r="E48" s="18"/>
      <c r="F48" s="18"/>
      <c r="G48" s="18"/>
      <c r="H48" s="19"/>
    </row>
    <row r="49" ht="15.75" customHeight="1">
      <c r="A49" s="29" t="s">
        <v>115</v>
      </c>
      <c r="B49" s="59">
        <v>1.0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162</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59">
        <v>2.0</v>
      </c>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59">
        <v>10.0</v>
      </c>
      <c r="C70" s="18"/>
      <c r="D70" s="18"/>
      <c r="E70" s="18"/>
      <c r="F70" s="18"/>
      <c r="G70" s="18"/>
      <c r="H70" s="19"/>
    </row>
    <row r="71" ht="15.75" customHeight="1">
      <c r="A71" s="57" t="s">
        <v>155</v>
      </c>
      <c r="B71" s="18"/>
      <c r="C71" s="18"/>
      <c r="D71" s="18"/>
      <c r="E71" s="18"/>
      <c r="F71" s="18"/>
      <c r="G71" s="18"/>
      <c r="H71" s="19"/>
    </row>
    <row r="72" ht="15.75" customHeight="1">
      <c r="A72" s="47" t="s">
        <v>163</v>
      </c>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34:C34"/>
    <mergeCell ref="D34:E34"/>
    <mergeCell ref="F34:H34"/>
    <mergeCell ref="B29:C29"/>
    <mergeCell ref="B30:C30"/>
    <mergeCell ref="B31:C31"/>
    <mergeCell ref="B32:C32"/>
    <mergeCell ref="D32:E32"/>
    <mergeCell ref="F32:H32"/>
    <mergeCell ref="B33:C33"/>
    <mergeCell ref="D33:E33"/>
    <mergeCell ref="F33:H33"/>
    <mergeCell ref="D38:H38"/>
    <mergeCell ref="D39:H39"/>
    <mergeCell ref="D40:H40"/>
    <mergeCell ref="D41:H41"/>
    <mergeCell ref="D42:H42"/>
    <mergeCell ref="A44:F44"/>
    <mergeCell ref="B47:H47"/>
    <mergeCell ref="B48:H48"/>
    <mergeCell ref="B49:H49"/>
    <mergeCell ref="B50:H50"/>
    <mergeCell ref="A52:H52"/>
    <mergeCell ref="A53:H55"/>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4.0</v>
      </c>
      <c r="D5" s="18"/>
      <c r="E5" s="18"/>
      <c r="F5" s="18"/>
      <c r="G5" s="19"/>
    </row>
    <row r="6" ht="15.75" customHeight="1">
      <c r="B6" s="43" t="s">
        <v>73</v>
      </c>
      <c r="C6" s="17">
        <f>H10+H21+H44+H68</f>
        <v>112</v>
      </c>
      <c r="D6" s="18"/>
      <c r="E6" s="18"/>
      <c r="F6" s="18"/>
      <c r="G6" s="19"/>
      <c r="I6" s="5"/>
    </row>
    <row r="7" ht="15.75" customHeight="1">
      <c r="B7" s="43" t="s">
        <v>115</v>
      </c>
      <c r="C7" s="17">
        <f>B49+B60</f>
        <v>2</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f>B13</f>
        <v>5</v>
      </c>
    </row>
    <row r="11" ht="15.75" customHeight="1">
      <c r="G11" s="24" t="s">
        <v>118</v>
      </c>
    </row>
    <row r="12" ht="15.75" customHeight="1">
      <c r="A12" s="29" t="s">
        <v>119</v>
      </c>
      <c r="B12" s="30" t="s">
        <v>164</v>
      </c>
      <c r="C12" s="18"/>
      <c r="D12" s="18"/>
      <c r="E12" s="18"/>
      <c r="F12" s="18"/>
      <c r="G12" s="18"/>
      <c r="H12" s="19"/>
    </row>
    <row r="13" ht="15.75" customHeight="1">
      <c r="A13" s="31" t="s">
        <v>75</v>
      </c>
      <c r="B13" s="30">
        <v>5.0</v>
      </c>
      <c r="C13" s="18"/>
      <c r="D13" s="18"/>
      <c r="E13" s="18"/>
      <c r="F13" s="18"/>
      <c r="G13" s="18"/>
      <c r="H13" s="19"/>
    </row>
    <row r="14" ht="15.75" customHeight="1">
      <c r="A14" s="46" t="s">
        <v>121</v>
      </c>
      <c r="B14" s="18"/>
      <c r="C14" s="18"/>
      <c r="D14" s="18"/>
      <c r="E14" s="18"/>
      <c r="F14" s="18"/>
      <c r="G14" s="18"/>
      <c r="H14" s="19"/>
    </row>
    <row r="15" ht="15.75" customHeight="1">
      <c r="A15" s="47" t="s">
        <v>165</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166</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12</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IFERROR(__xludf.DUMMYFUNCTION("FILTER('Diseño'!D:D,'Diseño'!H:H=$C$5)"),"Logica e Inferencia")</f>
        <v>Logica e Inferencia</v>
      </c>
      <c r="C28" s="19"/>
      <c r="D28" s="17" t="str">
        <f>IFERROR(__xludf.DUMMYFUNCTION("FILTER('Diseño'!E:E,'Diseño'!H:H=$C$5)"),"Negación y Cortes")</f>
        <v>Negación y Cortes</v>
      </c>
      <c r="E28" s="19"/>
      <c r="F28" s="17" t="str">
        <f>IFERROR(__xludf.DUMMYFUNCTION("FILTER('Diseño'!F:F,'Diseño'!H:H=$C$5)"),"Implementación de negación en inferencias")</f>
        <v>Implementación de negación en inferencias</v>
      </c>
      <c r="G28" s="18"/>
      <c r="H28" s="19"/>
    </row>
    <row r="29" ht="15.75" customHeight="1">
      <c r="A29" s="20">
        <v>2.0</v>
      </c>
      <c r="B29" s="30" t="str">
        <f>IFERROR(__xludf.DUMMYFUNCTION("""COMPUTED_VALUE"""),"Logica e Inferencia")</f>
        <v>Logica e Inferencia</v>
      </c>
      <c r="C29" s="19"/>
      <c r="D29" s="69" t="str">
        <f>IFERROR(__xludf.DUMMYFUNCTION("""COMPUTED_VALUE"""),"Negación y Cortes")</f>
        <v>Negación y Cortes</v>
      </c>
      <c r="E29" s="67"/>
      <c r="F29" s="30" t="str">
        <f>IFERROR(__xludf.DUMMYFUNCTION("""COMPUTED_VALUE"""),"Control de flujo mediante cortes")</f>
        <v>Control de flujo mediante cortes</v>
      </c>
      <c r="G29" s="68"/>
      <c r="H29" s="67"/>
    </row>
    <row r="30" ht="15.75" customHeight="1">
      <c r="A30" s="20">
        <v>3.0</v>
      </c>
      <c r="B30" s="30" t="str">
        <f>IFERROR(__xludf.DUMMYFUNCTION("""COMPUTED_VALUE"""),"Logica e Inferencia")</f>
        <v>Logica e Inferencia</v>
      </c>
      <c r="C30" s="19"/>
      <c r="D30" s="69" t="str">
        <f>IFERROR(__xludf.DUMMYFUNCTION("""COMPUTED_VALUE"""),"Ciclos y Recursión")</f>
        <v>Ciclos y Recursión</v>
      </c>
      <c r="E30" s="67"/>
      <c r="F30" s="30" t="str">
        <f>IFERROR(__xludf.DUMMYFUNCTION("""COMPUTED_VALUE"""),"Definición de ciclos recursivos")</f>
        <v>Definición de ciclos recursivos</v>
      </c>
      <c r="G30" s="68"/>
      <c r="H30" s="67"/>
    </row>
    <row r="31" ht="15.75" customHeight="1">
      <c r="A31" s="20">
        <v>4.0</v>
      </c>
      <c r="B31" s="17" t="str">
        <f>IFERROR(__xludf.DUMMYFUNCTION("""COMPUTED_VALUE"""),"Logica e Inferencia")</f>
        <v>Logica e Inferencia</v>
      </c>
      <c r="C31" s="19"/>
      <c r="D31" s="17" t="str">
        <f>IFERROR(__xludf.DUMMYFUNCTION("""COMPUTED_VALUE"""),"Ciclos y Recursión")</f>
        <v>Ciclos y Recursión</v>
      </c>
      <c r="E31" s="19"/>
      <c r="F31" s="17" t="str">
        <f>IFERROR(__xludf.DUMMYFUNCTION("""COMPUTED_VALUE"""),"Resolución de problemas mediante recursividad")</f>
        <v>Resolución de problemas mediante recursividad</v>
      </c>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12</v>
      </c>
      <c r="C47" s="18"/>
      <c r="D47" s="18"/>
      <c r="E47" s="18"/>
      <c r="F47" s="18"/>
      <c r="G47" s="18"/>
      <c r="H47" s="19"/>
    </row>
    <row r="48" ht="15.75" customHeight="1">
      <c r="A48" s="29" t="s">
        <v>146</v>
      </c>
      <c r="B48" s="30" t="s">
        <v>167</v>
      </c>
      <c r="C48" s="18"/>
      <c r="D48" s="18"/>
      <c r="E48" s="18"/>
      <c r="F48" s="18"/>
      <c r="G48" s="18"/>
      <c r="H48" s="19"/>
    </row>
    <row r="49" ht="15.75" customHeight="1">
      <c r="A49" s="29" t="s">
        <v>115</v>
      </c>
      <c r="B49" s="59">
        <v>2.0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168</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59">
        <v>1.0</v>
      </c>
      <c r="C70" s="18"/>
      <c r="D70" s="18"/>
      <c r="E70" s="18"/>
      <c r="F70" s="18"/>
      <c r="G70" s="18"/>
      <c r="H70" s="19"/>
    </row>
    <row r="71" ht="15.75" customHeight="1">
      <c r="A71" s="57" t="s">
        <v>155</v>
      </c>
      <c r="B71" s="18"/>
      <c r="C71" s="18"/>
      <c r="D71" s="18"/>
      <c r="E71" s="18"/>
      <c r="F71" s="18"/>
      <c r="G71" s="18"/>
      <c r="H71" s="19"/>
    </row>
    <row r="72" ht="15.75" customHeight="1">
      <c r="A72" s="47" t="s">
        <v>169</v>
      </c>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B30:C30"/>
    <mergeCell ref="B31:C31"/>
    <mergeCell ref="D31:E31"/>
    <mergeCell ref="F31:H31"/>
    <mergeCell ref="D32:E32"/>
    <mergeCell ref="F32:H32"/>
    <mergeCell ref="B32:C32"/>
    <mergeCell ref="B33:C33"/>
    <mergeCell ref="D33:E33"/>
    <mergeCell ref="F33:H33"/>
    <mergeCell ref="B34:C34"/>
    <mergeCell ref="D34:E34"/>
    <mergeCell ref="F34:H34"/>
    <mergeCell ref="D38:H38"/>
    <mergeCell ref="D39:H39"/>
    <mergeCell ref="D40:H40"/>
    <mergeCell ref="D41:H41"/>
    <mergeCell ref="D42:H42"/>
    <mergeCell ref="A44:F44"/>
    <mergeCell ref="B47:H47"/>
    <mergeCell ref="B60:H60"/>
    <mergeCell ref="B61:H61"/>
    <mergeCell ref="A63:H63"/>
    <mergeCell ref="A64:H66"/>
    <mergeCell ref="A68:F68"/>
    <mergeCell ref="B70:H70"/>
    <mergeCell ref="A71:H71"/>
    <mergeCell ref="A72:H73"/>
    <mergeCell ref="B48:H48"/>
    <mergeCell ref="B49:H49"/>
    <mergeCell ref="B50:H50"/>
    <mergeCell ref="A52:H52"/>
    <mergeCell ref="A53:H55"/>
    <mergeCell ref="B58:H58"/>
    <mergeCell ref="B59:H59"/>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5.0</v>
      </c>
      <c r="D5" s="18"/>
      <c r="E5" s="18"/>
      <c r="F5" s="18"/>
      <c r="G5" s="19"/>
    </row>
    <row r="6" ht="15.75" customHeight="1">
      <c r="B6" s="43" t="s">
        <v>73</v>
      </c>
      <c r="C6" s="17">
        <f>H10+H21+H44+H68</f>
        <v>110</v>
      </c>
      <c r="D6" s="18"/>
      <c r="E6" s="18"/>
      <c r="F6" s="18"/>
      <c r="G6" s="19"/>
      <c r="I6" s="5"/>
    </row>
    <row r="7" ht="15.75" customHeight="1">
      <c r="B7" s="43" t="s">
        <v>115</v>
      </c>
      <c r="C7" s="17">
        <f>B49+B60</f>
        <v>3</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f>B13</f>
        <v>3</v>
      </c>
    </row>
    <row r="11" ht="15.75" customHeight="1">
      <c r="G11" s="24" t="s">
        <v>118</v>
      </c>
    </row>
    <row r="12" ht="15.75" customHeight="1">
      <c r="A12" s="29" t="s">
        <v>119</v>
      </c>
      <c r="B12" s="30" t="s">
        <v>170</v>
      </c>
      <c r="C12" s="18"/>
      <c r="D12" s="18"/>
      <c r="E12" s="18"/>
      <c r="F12" s="18"/>
      <c r="G12" s="18"/>
      <c r="H12" s="19"/>
    </row>
    <row r="13" ht="15.75" customHeight="1">
      <c r="A13" s="31" t="s">
        <v>75</v>
      </c>
      <c r="B13" s="30">
        <v>3.0</v>
      </c>
      <c r="C13" s="18"/>
      <c r="D13" s="18"/>
      <c r="E13" s="18"/>
      <c r="F13" s="18"/>
      <c r="G13" s="18"/>
      <c r="H13" s="19"/>
    </row>
    <row r="14" ht="15.75" customHeight="1">
      <c r="A14" s="46" t="s">
        <v>121</v>
      </c>
      <c r="B14" s="18"/>
      <c r="C14" s="18"/>
      <c r="D14" s="18"/>
      <c r="E14" s="18"/>
      <c r="F14" s="18"/>
      <c r="G14" s="18"/>
      <c r="H14" s="19"/>
    </row>
    <row r="15" ht="15.75" customHeight="1">
      <c r="A15" s="47" t="s">
        <v>171</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172</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12</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IFERROR(__xludf.DUMMYFUNCTION("FILTER('Diseño'!D:D,'Diseño'!H:H=$C$5)"),"Logica e Inferencia")</f>
        <v>Logica e Inferencia</v>
      </c>
      <c r="C28" s="19"/>
      <c r="D28" s="17" t="str">
        <f>IFERROR(__xludf.DUMMYFUNCTION("FILTER('Diseño'!E:E,'Diseño'!H:H=$C$5)"),"Átomos, Listas y Unificación")</f>
        <v>Átomos, Listas y Unificación</v>
      </c>
      <c r="E28" s="19"/>
      <c r="F28" s="17" t="str">
        <f>IFERROR(__xludf.DUMMYFUNCTION("FILTER('Diseño'!F:F,'Diseño'!H:H=$C$5)"),"Manejo de átomos y listas")</f>
        <v>Manejo de átomos y listas</v>
      </c>
      <c r="G28" s="18"/>
      <c r="H28" s="19"/>
    </row>
    <row r="29" ht="15.75" customHeight="1">
      <c r="A29" s="20">
        <v>2.0</v>
      </c>
      <c r="B29" s="30" t="str">
        <f>IFERROR(__xludf.DUMMYFUNCTION("""COMPUTED_VALUE"""),"Logica e Inferencia")</f>
        <v>Logica e Inferencia</v>
      </c>
      <c r="C29" s="19"/>
      <c r="D29" s="30" t="str">
        <f>IFERROR(__xludf.DUMMYFUNCTION("""COMPUTED_VALUE"""),"Átomos, Listas y Unificación")</f>
        <v>Átomos, Listas y Unificación</v>
      </c>
      <c r="E29" s="67"/>
      <c r="F29" s="30" t="str">
        <f>IFERROR(__xludf.DUMMYFUNCTION("""COMPUTED_VALUE"""),"Principios de unificación de términos")</f>
        <v>Principios de unificación de términos</v>
      </c>
      <c r="G29" s="68"/>
      <c r="H29" s="67"/>
    </row>
    <row r="30" ht="15.75" customHeight="1">
      <c r="A30" s="20">
        <v>3.0</v>
      </c>
      <c r="B30" s="17"/>
      <c r="C30" s="19"/>
      <c r="D30" s="17"/>
      <c r="E30" s="19"/>
      <c r="F30" s="17"/>
      <c r="G30" s="18"/>
      <c r="H30" s="19"/>
    </row>
    <row r="31" ht="15.75" customHeight="1">
      <c r="A31" s="20">
        <v>4.0</v>
      </c>
      <c r="B31" s="17"/>
      <c r="C31" s="19"/>
      <c r="D31" s="17"/>
      <c r="E31" s="19"/>
      <c r="F31" s="17"/>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173</v>
      </c>
      <c r="C47" s="18"/>
      <c r="D47" s="18"/>
      <c r="E47" s="18"/>
      <c r="F47" s="18"/>
      <c r="G47" s="18"/>
      <c r="H47" s="19"/>
    </row>
    <row r="48" ht="15.75" customHeight="1">
      <c r="A48" s="29" t="s">
        <v>146</v>
      </c>
      <c r="B48" s="17" t="s">
        <v>161</v>
      </c>
      <c r="C48" s="18"/>
      <c r="D48" s="18"/>
      <c r="E48" s="18"/>
      <c r="F48" s="18"/>
      <c r="G48" s="18"/>
      <c r="H48" s="19"/>
    </row>
    <row r="49" ht="15.75" customHeight="1">
      <c r="A49" s="29" t="s">
        <v>115</v>
      </c>
      <c r="B49" s="59">
        <v>3.0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174</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62"/>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 ref="A44:F44"/>
    <mergeCell ref="B47:H47"/>
    <mergeCell ref="B48:H48"/>
    <mergeCell ref="B49:H49"/>
    <mergeCell ref="B50:H50"/>
    <mergeCell ref="A52:H52"/>
    <mergeCell ref="A53:H55"/>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6.0</v>
      </c>
      <c r="D5" s="18"/>
      <c r="E5" s="18"/>
      <c r="F5" s="18"/>
      <c r="G5" s="19"/>
    </row>
    <row r="6" ht="15.75" customHeight="1">
      <c r="B6" s="43" t="s">
        <v>73</v>
      </c>
      <c r="C6" s="17">
        <f>H10+H21+H44+H68</f>
        <v>110</v>
      </c>
      <c r="D6" s="18"/>
      <c r="E6" s="18"/>
      <c r="F6" s="18"/>
      <c r="G6" s="19"/>
      <c r="I6" s="5"/>
    </row>
    <row r="7" ht="15.75" customHeight="1">
      <c r="B7" s="43" t="s">
        <v>115</v>
      </c>
      <c r="C7" s="17">
        <f>B49+B60</f>
        <v>2</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f>B13</f>
        <v>3</v>
      </c>
    </row>
    <row r="11" ht="15.75" customHeight="1">
      <c r="G11" s="24" t="s">
        <v>118</v>
      </c>
    </row>
    <row r="12" ht="15.75" customHeight="1">
      <c r="A12" s="29" t="s">
        <v>119</v>
      </c>
      <c r="B12" s="30" t="s">
        <v>175</v>
      </c>
      <c r="C12" s="18"/>
      <c r="D12" s="18"/>
      <c r="E12" s="18"/>
      <c r="F12" s="18"/>
      <c r="G12" s="18"/>
      <c r="H12" s="19"/>
    </row>
    <row r="13" ht="15.75" customHeight="1">
      <c r="A13" s="31" t="s">
        <v>75</v>
      </c>
      <c r="B13" s="30">
        <v>3.0</v>
      </c>
      <c r="C13" s="18"/>
      <c r="D13" s="18"/>
      <c r="E13" s="18"/>
      <c r="F13" s="18"/>
      <c r="G13" s="18"/>
      <c r="H13" s="19"/>
    </row>
    <row r="14" ht="15.75" customHeight="1">
      <c r="A14" s="46" t="s">
        <v>121</v>
      </c>
      <c r="B14" s="18"/>
      <c r="C14" s="18"/>
      <c r="D14" s="18"/>
      <c r="E14" s="18"/>
      <c r="F14" s="18"/>
      <c r="G14" s="18"/>
      <c r="H14" s="19"/>
    </row>
    <row r="15" ht="15.75" customHeight="1">
      <c r="A15" s="47" t="s">
        <v>176</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177</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46</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IFERROR(__xludf.DUMMYFUNCTION("FILTER('Diseño'!D:D,'Diseño'!H:H=$C$5)"),"Realidad Aumentada")</f>
        <v>Realidad Aumentada</v>
      </c>
      <c r="C28" s="19"/>
      <c r="D28" s="17" t="str">
        <f>IFERROR(__xludf.DUMMYFUNCTION("FILTER('Diseño'!E:E,'Diseño'!H:H=$C$5)"),"Introducción a la Realidad Aumentada")</f>
        <v>Introducción a la Realidad Aumentada</v>
      </c>
      <c r="E28" s="19"/>
      <c r="F28" s="17" t="str">
        <f>IFERROR(__xludf.DUMMYFUNCTION("FILTER('Diseño'!F:F,'Diseño'!H:H=$C$5)"),"Definición y aplicaciones de la AR")</f>
        <v>Definición y aplicaciones de la AR</v>
      </c>
      <c r="G28" s="18"/>
      <c r="H28" s="19"/>
    </row>
    <row r="29" ht="15.75" customHeight="1">
      <c r="A29" s="20">
        <v>2.0</v>
      </c>
      <c r="B29" s="30" t="str">
        <f>IFERROR(__xludf.DUMMYFUNCTION("""COMPUTED_VALUE"""),"Realidad Aumentada")</f>
        <v>Realidad Aumentada</v>
      </c>
      <c r="C29" s="19"/>
      <c r="D29" s="30" t="str">
        <f>IFERROR(__xludf.DUMMYFUNCTION("""COMPUTED_VALUE"""),"Introducción a la Realidad Aumentada")</f>
        <v>Introducción a la Realidad Aumentada</v>
      </c>
      <c r="E29" s="67"/>
      <c r="F29" s="30" t="str">
        <f>IFERROR(__xludf.DUMMYFUNCTION("""COMPUTED_VALUE"""),"Componentes básicos de un sistema de AR")</f>
        <v>Componentes básicos de un sistema de AR</v>
      </c>
      <c r="G29" s="68"/>
      <c r="H29" s="67"/>
    </row>
    <row r="30" ht="15.75" customHeight="1">
      <c r="A30" s="20">
        <v>3.0</v>
      </c>
      <c r="B30" s="17" t="str">
        <f>IFERROR(__xludf.DUMMYFUNCTION("""COMPUTED_VALUE"""),"Realidad Aumentada")</f>
        <v>Realidad Aumentada</v>
      </c>
      <c r="C30" s="19"/>
      <c r="D30" s="17" t="str">
        <f>IFERROR(__xludf.DUMMYFUNCTION("""COMPUTED_VALUE"""),"Plataformas de Desarrollo de AR")</f>
        <v>Plataformas de Desarrollo de AR</v>
      </c>
      <c r="E30" s="19"/>
      <c r="F30" s="17" t="str">
        <f>IFERROR(__xludf.DUMMYFUNCTION("""COMPUTED_VALUE"""),"Plataformas de desarrollo de AR")</f>
        <v>Plataformas de desarrollo de AR</v>
      </c>
      <c r="G30" s="18"/>
      <c r="H30" s="19"/>
    </row>
    <row r="31" ht="15.75" customHeight="1">
      <c r="A31" s="20">
        <v>4.0</v>
      </c>
      <c r="B31" s="17"/>
      <c r="C31" s="19"/>
      <c r="D31" s="17"/>
      <c r="E31" s="19"/>
      <c r="F31" s="17"/>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37</v>
      </c>
      <c r="C47" s="18"/>
      <c r="D47" s="18"/>
      <c r="E47" s="18"/>
      <c r="F47" s="18"/>
      <c r="G47" s="18"/>
      <c r="H47" s="19"/>
    </row>
    <row r="48" ht="15.75" customHeight="1">
      <c r="A48" s="29" t="s">
        <v>146</v>
      </c>
      <c r="B48" s="17" t="s">
        <v>161</v>
      </c>
      <c r="C48" s="18"/>
      <c r="D48" s="18"/>
      <c r="E48" s="18"/>
      <c r="F48" s="18"/>
      <c r="G48" s="18"/>
      <c r="H48" s="19"/>
    </row>
    <row r="49" ht="15.75" customHeight="1">
      <c r="A49" s="29" t="s">
        <v>115</v>
      </c>
      <c r="B49" s="59">
        <v>2.0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178</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62"/>
      <c r="C70" s="18"/>
      <c r="D70" s="18"/>
      <c r="E70" s="18"/>
      <c r="F70" s="18"/>
      <c r="G70" s="18"/>
      <c r="H70" s="19"/>
    </row>
    <row r="71" ht="15.75" customHeight="1">
      <c r="A71" s="57" t="s">
        <v>155</v>
      </c>
      <c r="B71" s="18"/>
      <c r="C71" s="18"/>
      <c r="D71" s="18"/>
      <c r="E71" s="18"/>
      <c r="F71" s="18"/>
      <c r="G71" s="18"/>
      <c r="H71" s="19"/>
    </row>
    <row r="72" ht="15.75" customHeight="1">
      <c r="A72" s="47" t="s">
        <v>179</v>
      </c>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 ref="A44:F44"/>
    <mergeCell ref="B47:H47"/>
    <mergeCell ref="B48:H48"/>
    <mergeCell ref="B49:H49"/>
    <mergeCell ref="B50:H50"/>
    <mergeCell ref="A52:H52"/>
    <mergeCell ref="A53:H55"/>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7.0</v>
      </c>
      <c r="D5" s="18"/>
      <c r="E5" s="18"/>
      <c r="F5" s="18"/>
      <c r="G5" s="19"/>
    </row>
    <row r="6" ht="15.75" customHeight="1">
      <c r="B6" s="43" t="s">
        <v>73</v>
      </c>
      <c r="C6" s="17">
        <f>H10+H21+H44+H68</f>
        <v>108</v>
      </c>
      <c r="D6" s="18"/>
      <c r="E6" s="18"/>
      <c r="F6" s="18"/>
      <c r="G6" s="19"/>
      <c r="I6" s="5"/>
    </row>
    <row r="7" ht="15.75" customHeight="1">
      <c r="B7" s="43" t="s">
        <v>115</v>
      </c>
      <c r="C7" s="17">
        <f>B49+B60</f>
        <v>2</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66">
        <v>1.0</v>
      </c>
    </row>
    <row r="11" ht="15.75" customHeight="1">
      <c r="G11" s="24" t="s">
        <v>118</v>
      </c>
    </row>
    <row r="12" ht="15.75" customHeight="1">
      <c r="A12" s="29" t="s">
        <v>119</v>
      </c>
      <c r="B12" s="30" t="s">
        <v>180</v>
      </c>
      <c r="C12" s="18"/>
      <c r="D12" s="18"/>
      <c r="E12" s="18"/>
      <c r="F12" s="18"/>
      <c r="G12" s="18"/>
      <c r="H12" s="19"/>
    </row>
    <row r="13" ht="15.75" customHeight="1">
      <c r="A13" s="31" t="s">
        <v>75</v>
      </c>
      <c r="B13" s="30">
        <v>5.0</v>
      </c>
      <c r="C13" s="18"/>
      <c r="D13" s="18"/>
      <c r="E13" s="18"/>
      <c r="F13" s="18"/>
      <c r="G13" s="18"/>
      <c r="H13" s="19"/>
    </row>
    <row r="14" ht="15.75" customHeight="1">
      <c r="A14" s="46" t="s">
        <v>121</v>
      </c>
      <c r="B14" s="18"/>
      <c r="C14" s="18"/>
      <c r="D14" s="18"/>
      <c r="E14" s="18"/>
      <c r="F14" s="18"/>
      <c r="G14" s="18"/>
      <c r="H14" s="19"/>
    </row>
    <row r="15" ht="15.75" customHeight="1">
      <c r="A15" s="47" t="s">
        <v>181</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182</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46</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IFERROR(__xludf.DUMMYFUNCTION("FILTER('Diseño'!D:D,'Diseño'!H:H=$C$5)"),"Realidad Aumentada")</f>
        <v>Realidad Aumentada</v>
      </c>
      <c r="C28" s="19"/>
      <c r="D28" s="17" t="str">
        <f>IFERROR(__xludf.DUMMYFUNCTION("FILTER('Diseño'!E:E,'Diseño'!H:H=$C$5)"),"Plataformas de Desarrollo de AR")</f>
        <v>Plataformas de Desarrollo de AR</v>
      </c>
      <c r="E28" s="19"/>
      <c r="F28" s="17" t="str">
        <f>IFERROR(__xludf.DUMMYFUNCTION("FILTER('Diseño'!F:F,'Diseño'!H:H=$C$5)"),"Librerías de AR para entornos web")</f>
        <v>Librerías de AR para entornos web</v>
      </c>
      <c r="G28" s="18"/>
      <c r="H28" s="19"/>
    </row>
    <row r="29" ht="15.75" customHeight="1">
      <c r="A29" s="20">
        <v>2.0</v>
      </c>
      <c r="B29" s="30" t="str">
        <f>IFERROR(__xludf.DUMMYFUNCTION("""COMPUTED_VALUE"""),"Realidad Aumentada")</f>
        <v>Realidad Aumentada</v>
      </c>
      <c r="C29" s="19"/>
      <c r="D29" s="30" t="str">
        <f>IFERROR(__xludf.DUMMYFUNCTION("""COMPUTED_VALUE"""),"Diseño de Aplicaciones de Realidad Aumentada")</f>
        <v>Diseño de Aplicaciones de Realidad Aumentada</v>
      </c>
      <c r="E29" s="67"/>
      <c r="F29" s="30" t="str">
        <f>IFERROR(__xludf.DUMMYFUNCTION("""COMPUTED_VALUE"""),"Planeación de flujos de usuario en AR")</f>
        <v>Planeación de flujos de usuario en AR</v>
      </c>
      <c r="G29" s="68"/>
      <c r="H29" s="67"/>
    </row>
    <row r="30" ht="15.75" customHeight="1">
      <c r="A30" s="20">
        <v>3.0</v>
      </c>
      <c r="B30" s="17" t="str">
        <f>IFERROR(__xludf.DUMMYFUNCTION("""COMPUTED_VALUE"""),"Realidad Aumentada")</f>
        <v>Realidad Aumentada</v>
      </c>
      <c r="C30" s="19"/>
      <c r="D30" s="17" t="str">
        <f>IFERROR(__xludf.DUMMYFUNCTION("""COMPUTED_VALUE"""),"Diseño de Aplicaciones de Realidad Aumentada")</f>
        <v>Diseño de Aplicaciones de Realidad Aumentada</v>
      </c>
      <c r="E30" s="19"/>
      <c r="F30" s="17" t="str">
        <f>IFERROR(__xludf.DUMMYFUNCTION("""COMPUTED_VALUE"""),"Integración de interacción digital en entornos reales")</f>
        <v>Integración de interacción digital en entornos reales</v>
      </c>
      <c r="G30" s="18"/>
      <c r="H30" s="19"/>
    </row>
    <row r="31" ht="15.75" customHeight="1">
      <c r="A31" s="20">
        <v>4.0</v>
      </c>
      <c r="B31" s="17"/>
      <c r="C31" s="19"/>
      <c r="D31" s="17"/>
      <c r="E31" s="19"/>
      <c r="F31" s="17"/>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46</v>
      </c>
      <c r="C47" s="18"/>
      <c r="D47" s="18"/>
      <c r="E47" s="18"/>
      <c r="F47" s="18"/>
      <c r="G47" s="18"/>
      <c r="H47" s="19"/>
    </row>
    <row r="48" ht="15.75" customHeight="1">
      <c r="A48" s="29" t="s">
        <v>146</v>
      </c>
      <c r="B48" s="17" t="s">
        <v>161</v>
      </c>
      <c r="C48" s="18"/>
      <c r="D48" s="18"/>
      <c r="E48" s="18"/>
      <c r="F48" s="18"/>
      <c r="G48" s="18"/>
      <c r="H48" s="19"/>
    </row>
    <row r="49" ht="15.75" customHeight="1">
      <c r="A49" s="29" t="s">
        <v>115</v>
      </c>
      <c r="B49" s="59">
        <v>2.0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183</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62"/>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 ref="A44:F44"/>
    <mergeCell ref="B47:H47"/>
    <mergeCell ref="B48:H48"/>
    <mergeCell ref="B49:H49"/>
    <mergeCell ref="B50:H50"/>
    <mergeCell ref="A52:H52"/>
    <mergeCell ref="A53:H55"/>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8.0</v>
      </c>
      <c r="D5" s="18"/>
      <c r="E5" s="18"/>
      <c r="F5" s="18"/>
      <c r="G5" s="19"/>
    </row>
    <row r="6" ht="15.75" customHeight="1">
      <c r="B6" s="43" t="s">
        <v>73</v>
      </c>
      <c r="C6" s="17">
        <f>H10+H21+H44+H68</f>
        <v>107</v>
      </c>
      <c r="D6" s="18"/>
      <c r="E6" s="18"/>
      <c r="F6" s="18"/>
      <c r="G6" s="19"/>
      <c r="I6" s="5"/>
    </row>
    <row r="7" ht="15.75" customHeight="1">
      <c r="B7" s="43" t="s">
        <v>115</v>
      </c>
      <c r="C7" s="17">
        <f>B49+B60</f>
        <v>3</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t="str">
        <f>B13</f>
        <v/>
      </c>
    </row>
    <row r="11" ht="15.75" customHeight="1">
      <c r="G11" s="24" t="s">
        <v>118</v>
      </c>
    </row>
    <row r="12" ht="15.75" customHeight="1">
      <c r="A12" s="29" t="s">
        <v>119</v>
      </c>
      <c r="B12" s="30" t="s">
        <v>184</v>
      </c>
      <c r="C12" s="18"/>
      <c r="D12" s="18"/>
      <c r="E12" s="18"/>
      <c r="F12" s="18"/>
      <c r="G12" s="18"/>
      <c r="H12" s="19"/>
    </row>
    <row r="13" ht="15.75" customHeight="1">
      <c r="A13" s="31" t="s">
        <v>75</v>
      </c>
      <c r="B13" s="17"/>
      <c r="C13" s="18"/>
      <c r="D13" s="18"/>
      <c r="E13" s="18"/>
      <c r="F13" s="18"/>
      <c r="G13" s="18"/>
      <c r="H13" s="19"/>
    </row>
    <row r="14" ht="15.75" customHeight="1">
      <c r="A14" s="46" t="s">
        <v>121</v>
      </c>
      <c r="B14" s="18"/>
      <c r="C14" s="18"/>
      <c r="D14" s="18"/>
      <c r="E14" s="18"/>
      <c r="F14" s="18"/>
      <c r="G14" s="18"/>
      <c r="H14" s="19"/>
    </row>
    <row r="15" ht="15.75" customHeight="1">
      <c r="A15" s="47" t="s">
        <v>185</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186</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46</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IFERROR(__xludf.DUMMYFUNCTION("FILTER('Diseño'!D:D,'Diseño'!H:H=$C$5)"),"Realidad Aumentada")</f>
        <v>Realidad Aumentada</v>
      </c>
      <c r="C28" s="19"/>
      <c r="D28" s="17" t="str">
        <f>IFERROR(__xludf.DUMMYFUNCTION("FILTER('Diseño'!E:E,'Diseño'!H:H=$C$5)"),"Creación de Contenido Digital para AR")</f>
        <v>Creación de Contenido Digital para AR</v>
      </c>
      <c r="E28" s="19"/>
      <c r="F28" s="17" t="str">
        <f>IFERROR(__xludf.DUMMYFUNCTION("FILTER('Diseño'!F:F,'Diseño'!H:H=$C$5)"),"Modelado de objetos 2D y 3D para AR")</f>
        <v>Modelado de objetos 2D y 3D para AR</v>
      </c>
      <c r="G28" s="18"/>
      <c r="H28" s="19"/>
    </row>
    <row r="29" ht="15.75" customHeight="1">
      <c r="A29" s="20">
        <v>2.0</v>
      </c>
      <c r="B29" s="30" t="str">
        <f>IFERROR(__xludf.DUMMYFUNCTION("""COMPUTED_VALUE"""),"Realidad Aumentada")</f>
        <v>Realidad Aumentada</v>
      </c>
      <c r="C29" s="19"/>
      <c r="D29" s="30" t="str">
        <f>IFERROR(__xludf.DUMMYFUNCTION("""COMPUTED_VALUE"""),"Creación de Contenido Digital para AR")</f>
        <v>Creación de Contenido Digital para AR</v>
      </c>
      <c r="E29" s="67"/>
      <c r="F29" s="30" t="str">
        <f>IFERROR(__xludf.DUMMYFUNCTION("""COMPUTED_VALUE"""),"Técnicas de optimización de contenido digital")</f>
        <v>Técnicas de optimización de contenido digital</v>
      </c>
      <c r="G29" s="68"/>
      <c r="H29" s="67"/>
    </row>
    <row r="30" ht="15.75" customHeight="1">
      <c r="A30" s="20">
        <v>3.0</v>
      </c>
      <c r="B30" s="17"/>
      <c r="C30" s="19"/>
      <c r="D30" s="17"/>
      <c r="E30" s="19"/>
      <c r="F30" s="17"/>
      <c r="G30" s="18"/>
      <c r="H30" s="19"/>
    </row>
    <row r="31" ht="15.75" customHeight="1">
      <c r="A31" s="20">
        <v>4.0</v>
      </c>
      <c r="B31" s="17"/>
      <c r="C31" s="19"/>
      <c r="D31" s="17"/>
      <c r="E31" s="19"/>
      <c r="F31" s="17"/>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187</v>
      </c>
      <c r="C47" s="18"/>
      <c r="D47" s="18"/>
      <c r="E47" s="18"/>
      <c r="F47" s="18"/>
      <c r="G47" s="18"/>
      <c r="H47" s="19"/>
    </row>
    <row r="48" ht="15.75" customHeight="1">
      <c r="A48" s="29" t="s">
        <v>146</v>
      </c>
      <c r="B48" s="30" t="s">
        <v>188</v>
      </c>
      <c r="C48" s="18"/>
      <c r="D48" s="18"/>
      <c r="E48" s="18"/>
      <c r="F48" s="18"/>
      <c r="G48" s="18"/>
      <c r="H48" s="19"/>
    </row>
    <row r="49" ht="15.75" customHeight="1">
      <c r="A49" s="29" t="s">
        <v>115</v>
      </c>
      <c r="B49" s="59">
        <v>3.0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189</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62"/>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9">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B30:C30"/>
    <mergeCell ref="D30:E30"/>
    <mergeCell ref="F30:H30"/>
    <mergeCell ref="B31:C31"/>
    <mergeCell ref="D31:E31"/>
    <mergeCell ref="F31:H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 ref="A44:F44"/>
    <mergeCell ref="B47:H47"/>
    <mergeCell ref="B48:H48"/>
    <mergeCell ref="B49:H49"/>
    <mergeCell ref="B50:H50"/>
    <mergeCell ref="A52:H52"/>
    <mergeCell ref="A53:H55"/>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9.0</v>
      </c>
      <c r="D5" s="18"/>
      <c r="E5" s="18"/>
      <c r="F5" s="18"/>
      <c r="G5" s="19"/>
    </row>
    <row r="6" ht="15.75" customHeight="1">
      <c r="B6" s="43" t="s">
        <v>73</v>
      </c>
      <c r="C6" s="17">
        <f>H10+H21+H44+H68</f>
        <v>107</v>
      </c>
      <c r="D6" s="18"/>
      <c r="E6" s="18"/>
      <c r="F6" s="18"/>
      <c r="G6" s="19"/>
      <c r="I6" s="5"/>
    </row>
    <row r="7" ht="15.75" customHeight="1">
      <c r="B7" s="43" t="s">
        <v>115</v>
      </c>
      <c r="C7" s="17">
        <f>B49+B60</f>
        <v>2</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t="str">
        <f>B13</f>
        <v/>
      </c>
    </row>
    <row r="11" ht="15.75" customHeight="1">
      <c r="G11" s="24" t="s">
        <v>118</v>
      </c>
    </row>
    <row r="12" ht="15.75" customHeight="1">
      <c r="A12" s="29" t="s">
        <v>119</v>
      </c>
      <c r="B12" s="30" t="s">
        <v>190</v>
      </c>
      <c r="C12" s="18"/>
      <c r="D12" s="18"/>
      <c r="E12" s="18"/>
      <c r="F12" s="18"/>
      <c r="G12" s="18"/>
      <c r="H12" s="19"/>
    </row>
    <row r="13" ht="15.75" customHeight="1">
      <c r="A13" s="31" t="s">
        <v>75</v>
      </c>
      <c r="B13" s="17"/>
      <c r="C13" s="18"/>
      <c r="D13" s="18"/>
      <c r="E13" s="18"/>
      <c r="F13" s="18"/>
      <c r="G13" s="18"/>
      <c r="H13" s="19"/>
    </row>
    <row r="14" ht="15.75" customHeight="1">
      <c r="A14" s="46" t="s">
        <v>121</v>
      </c>
      <c r="B14" s="18"/>
      <c r="C14" s="18"/>
      <c r="D14" s="18"/>
      <c r="E14" s="18"/>
      <c r="F14" s="18"/>
      <c r="G14" s="18"/>
      <c r="H14" s="19"/>
    </row>
    <row r="15" ht="15.75" customHeight="1">
      <c r="A15" s="47" t="s">
        <v>191</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192</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56</v>
      </c>
      <c r="I21" s="5"/>
    </row>
    <row r="22" ht="15.75" customHeight="1">
      <c r="G22" s="24" t="s">
        <v>126</v>
      </c>
    </row>
    <row r="23" ht="15.75" customHeight="1">
      <c r="A23" s="29" t="s">
        <v>127</v>
      </c>
      <c r="B23" s="30" t="s">
        <v>53</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IFERROR(__xludf.DUMMYFUNCTION("FILTER('Diseño'!D:D,'Diseño'!H:H=$C$5)"),"Simulación de Robots")</f>
        <v>Simulación de Robots</v>
      </c>
      <c r="C28" s="19"/>
      <c r="D28" s="17" t="str">
        <f>IFERROR(__xludf.DUMMYFUNCTION("FILTER('Diseño'!E:E,'Diseño'!H:H=$C$5)"),"Introducción a la Simulación Robótica")</f>
        <v>Introducción a la Simulación Robótica</v>
      </c>
      <c r="E28" s="19"/>
      <c r="F28" s="17" t="str">
        <f>IFERROR(__xludf.DUMMYFUNCTION("FILTER('Diseño'!F:F,'Diseño'!H:H=$C$5)"),"Definición y aplicaciones de la simulación de robots")</f>
        <v>Definición y aplicaciones de la simulación de robots</v>
      </c>
      <c r="G28" s="18"/>
      <c r="H28" s="19"/>
    </row>
    <row r="29" ht="15.75" customHeight="1">
      <c r="A29" s="20">
        <v>2.0</v>
      </c>
      <c r="B29" s="30" t="str">
        <f>IFERROR(__xludf.DUMMYFUNCTION("""COMPUTED_VALUE"""),"Simulación de Robots")</f>
        <v>Simulación de Robots</v>
      </c>
      <c r="C29" s="19"/>
      <c r="D29" s="30" t="str">
        <f>IFERROR(__xludf.DUMMYFUNCTION("""COMPUTED_VALUE"""),"Introducción a la Simulación Robótica")</f>
        <v>Introducción a la Simulación Robótica</v>
      </c>
      <c r="E29" s="19"/>
      <c r="F29" s="30" t="str">
        <f>IFERROR(__xludf.DUMMYFUNCTION("""COMPUTED_VALUE"""),"Plataformas y bibliotecas de simulación 3D y 2D")</f>
        <v>Plataformas y bibliotecas de simulación 3D y 2D</v>
      </c>
      <c r="G29" s="68"/>
      <c r="H29" s="67"/>
    </row>
    <row r="30" ht="15.75" customHeight="1">
      <c r="A30" s="20">
        <v>3.0</v>
      </c>
      <c r="B30" s="17"/>
      <c r="C30" s="19"/>
      <c r="D30" s="17"/>
      <c r="E30" s="19"/>
      <c r="F30" s="17"/>
      <c r="G30" s="18"/>
      <c r="H30" s="19"/>
    </row>
    <row r="31" ht="15.75" customHeight="1">
      <c r="A31" s="20">
        <v>4.0</v>
      </c>
      <c r="B31" s="17"/>
      <c r="C31" s="19"/>
      <c r="D31" s="17"/>
      <c r="E31" s="19"/>
      <c r="F31" s="17"/>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30.0</v>
      </c>
      <c r="E39" s="18"/>
      <c r="F39" s="18"/>
      <c r="G39" s="18"/>
      <c r="H39" s="19"/>
    </row>
    <row r="40" ht="15.75" customHeight="1">
      <c r="A40" s="20" t="s">
        <v>138</v>
      </c>
      <c r="B40" s="20" t="s">
        <v>137</v>
      </c>
      <c r="C40" s="20" t="s">
        <v>160</v>
      </c>
      <c r="D40" s="30">
        <v>3.0</v>
      </c>
      <c r="E40" s="18"/>
      <c r="F40" s="18"/>
      <c r="G40" s="18"/>
      <c r="H40" s="19"/>
    </row>
    <row r="41" ht="15.75" customHeight="1">
      <c r="A41" s="20" t="s">
        <v>139</v>
      </c>
      <c r="B41" s="20" t="s">
        <v>140</v>
      </c>
      <c r="C41" s="20"/>
      <c r="D41" s="30">
        <v>3.0</v>
      </c>
      <c r="E41" s="18"/>
      <c r="F41" s="18"/>
      <c r="G41" s="18"/>
      <c r="H41" s="19"/>
    </row>
    <row r="42" ht="15.75" customHeight="1">
      <c r="A42" s="20" t="s">
        <v>141</v>
      </c>
      <c r="B42" s="20" t="s">
        <v>137</v>
      </c>
      <c r="C42" s="20"/>
      <c r="D42" s="30">
        <v>20.0</v>
      </c>
      <c r="E42" s="18"/>
      <c r="F42" s="18"/>
      <c r="G42" s="18"/>
      <c r="H42" s="19"/>
    </row>
    <row r="43" ht="15.75" customHeight="1"/>
    <row r="44" ht="15.75" customHeight="1">
      <c r="A44" s="44" t="s">
        <v>142</v>
      </c>
      <c r="G44" s="34" t="s">
        <v>75</v>
      </c>
      <c r="H44" s="45">
        <f>B50+B61</f>
        <v>50</v>
      </c>
    </row>
    <row r="45" ht="15.75" customHeight="1">
      <c r="G45" s="24" t="s">
        <v>143</v>
      </c>
    </row>
    <row r="46" ht="15.75" customHeight="1">
      <c r="A46" s="24" t="s">
        <v>144</v>
      </c>
    </row>
    <row r="47" ht="15.75" customHeight="1">
      <c r="A47" s="29" t="s">
        <v>145</v>
      </c>
      <c r="B47" s="30" t="s">
        <v>53</v>
      </c>
      <c r="C47" s="18"/>
      <c r="D47" s="18"/>
      <c r="E47" s="18"/>
      <c r="F47" s="18"/>
      <c r="G47" s="18"/>
      <c r="H47" s="19"/>
    </row>
    <row r="48" ht="15.75" customHeight="1">
      <c r="A48" s="29" t="s">
        <v>146</v>
      </c>
      <c r="B48" s="17" t="s">
        <v>161</v>
      </c>
      <c r="C48" s="18"/>
      <c r="D48" s="18"/>
      <c r="E48" s="18"/>
      <c r="F48" s="18"/>
      <c r="G48" s="18"/>
      <c r="H48" s="19"/>
    </row>
    <row r="49" ht="15.75" customHeight="1">
      <c r="A49" s="29" t="s">
        <v>115</v>
      </c>
      <c r="B49" s="59">
        <v>2.0</v>
      </c>
      <c r="C49" s="18"/>
      <c r="D49" s="18"/>
      <c r="E49" s="18"/>
      <c r="F49" s="18"/>
      <c r="G49" s="18"/>
      <c r="H49" s="19"/>
    </row>
    <row r="50" ht="15.75" customHeight="1">
      <c r="A50" s="29" t="s">
        <v>75</v>
      </c>
      <c r="B50" s="30">
        <v>50.0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193</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v>1.0</v>
      </c>
    </row>
    <row r="69" ht="15.75" customHeight="1">
      <c r="G69" s="24" t="s">
        <v>154</v>
      </c>
    </row>
    <row r="70" ht="15.75" customHeight="1">
      <c r="A70" s="29" t="s">
        <v>75</v>
      </c>
      <c r="B70" s="62"/>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42:H42"/>
    <mergeCell ref="A44:F44"/>
    <mergeCell ref="B47:H47"/>
    <mergeCell ref="B48:H48"/>
    <mergeCell ref="B49:H49"/>
    <mergeCell ref="B50:H50"/>
    <mergeCell ref="A52:H52"/>
    <mergeCell ref="A53:H55"/>
    <mergeCell ref="B58:H58"/>
    <mergeCell ref="B59:H59"/>
    <mergeCell ref="B60:H60"/>
    <mergeCell ref="B61:H61"/>
    <mergeCell ref="A63:H63"/>
    <mergeCell ref="A64: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D29:E29"/>
    <mergeCell ref="B30:C30"/>
    <mergeCell ref="D30:E30"/>
    <mergeCell ref="F30:H30"/>
    <mergeCell ref="D31:E31"/>
    <mergeCell ref="F31:H31"/>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A68:F68"/>
    <mergeCell ref="B70:H70"/>
    <mergeCell ref="A71:H71"/>
    <mergeCell ref="A72:H73"/>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10.0</v>
      </c>
      <c r="D5" s="18"/>
      <c r="E5" s="18"/>
      <c r="F5" s="18"/>
      <c r="G5" s="19"/>
    </row>
    <row r="6" ht="15.75" customHeight="1">
      <c r="B6" s="43" t="s">
        <v>73</v>
      </c>
      <c r="C6" s="17">
        <f>H10+H21+H44+H68</f>
        <v>105</v>
      </c>
      <c r="D6" s="18"/>
      <c r="E6" s="18"/>
      <c r="F6" s="18"/>
      <c r="G6" s="19"/>
      <c r="I6" s="5"/>
    </row>
    <row r="7" ht="15.75" customHeight="1">
      <c r="B7" s="43" t="s">
        <v>115</v>
      </c>
      <c r="C7" s="17">
        <f>B49+B60</f>
        <v>2</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66">
        <f>B13</f>
        <v>5</v>
      </c>
    </row>
    <row r="11" ht="15.75" customHeight="1">
      <c r="G11" s="24" t="s">
        <v>118</v>
      </c>
    </row>
    <row r="12" ht="15.75" customHeight="1">
      <c r="A12" s="29" t="s">
        <v>119</v>
      </c>
      <c r="B12" s="30" t="s">
        <v>194</v>
      </c>
      <c r="C12" s="18"/>
      <c r="D12" s="18"/>
      <c r="E12" s="18"/>
      <c r="F12" s="18"/>
      <c r="G12" s="18"/>
      <c r="H12" s="19"/>
    </row>
    <row r="13" ht="15.75" customHeight="1">
      <c r="A13" s="31" t="s">
        <v>75</v>
      </c>
      <c r="B13" s="30">
        <v>5.0</v>
      </c>
      <c r="C13" s="18"/>
      <c r="D13" s="18"/>
      <c r="E13" s="18"/>
      <c r="F13" s="18"/>
      <c r="G13" s="18"/>
      <c r="H13" s="19"/>
    </row>
    <row r="14" ht="15.75" customHeight="1">
      <c r="A14" s="46" t="s">
        <v>121</v>
      </c>
      <c r="B14" s="18"/>
      <c r="C14" s="18"/>
      <c r="D14" s="18"/>
      <c r="E14" s="18"/>
      <c r="F14" s="18"/>
      <c r="G14" s="18"/>
      <c r="H14" s="19"/>
    </row>
    <row r="15" ht="15.75" customHeight="1">
      <c r="A15" s="47" t="s">
        <v>195</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196</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55</v>
      </c>
      <c r="I21" s="5"/>
    </row>
    <row r="22" ht="15.75" customHeight="1">
      <c r="G22" s="24" t="s">
        <v>126</v>
      </c>
    </row>
    <row r="23" ht="15.75" customHeight="1">
      <c r="A23" s="29" t="s">
        <v>127</v>
      </c>
      <c r="B23" s="30" t="s">
        <v>53</v>
      </c>
      <c r="C23" s="18"/>
      <c r="D23" s="18"/>
      <c r="E23" s="18"/>
      <c r="F23" s="18"/>
      <c r="G23" s="18"/>
      <c r="H23" s="19"/>
    </row>
    <row r="24" ht="15.75" customHeight="1">
      <c r="A24" s="29" t="s">
        <v>127</v>
      </c>
      <c r="B24" s="17"/>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IFERROR(__xludf.DUMMYFUNCTION("FILTER('Diseño'!D:D,'Diseño'!H:H=$C$5)"),"Simulación de Robots")</f>
        <v>Simulación de Robots</v>
      </c>
      <c r="C28" s="19"/>
      <c r="D28" s="17" t="str">
        <f>IFERROR(__xludf.DUMMYFUNCTION("FILTER('Diseño'!E:E,'Diseño'!H:H=$C$5)"),"Diseño de Robots en 2D")</f>
        <v>Diseño de Robots en 2D</v>
      </c>
      <c r="E28" s="19"/>
      <c r="F28" s="17" t="str">
        <f>IFERROR(__xludf.DUMMYFUNCTION("FILTER('Diseño'!F:F,'Diseño'!H:H=$C$5)"),"Modelado de robots en entornos bidimensionales")</f>
        <v>Modelado de robots en entornos bidimensionales</v>
      </c>
      <c r="G28" s="18"/>
      <c r="H28" s="19"/>
    </row>
    <row r="29" ht="15.75" customHeight="1">
      <c r="A29" s="20">
        <v>2.0</v>
      </c>
      <c r="B29" s="17" t="str">
        <f>IFERROR(__xludf.DUMMYFUNCTION("""COMPUTED_VALUE"""),"Simulación de Robots")</f>
        <v>Simulación de Robots</v>
      </c>
      <c r="C29" s="19"/>
      <c r="D29" s="17" t="str">
        <f>IFERROR(__xludf.DUMMYFUNCTION("""COMPUTED_VALUE"""),"Diseño de Robots en 2D")</f>
        <v>Diseño de Robots en 2D</v>
      </c>
      <c r="E29" s="19"/>
      <c r="F29" s="17" t="str">
        <f>IFERROR(__xludf.DUMMYFUNCTION("""COMPUTED_VALUE"""),"Definición de acciones básicas en 2D")</f>
        <v>Definición de acciones básicas en 2D</v>
      </c>
      <c r="G29" s="18"/>
      <c r="H29" s="19"/>
    </row>
    <row r="30" ht="15.75" customHeight="1">
      <c r="A30" s="20">
        <v>3.0</v>
      </c>
      <c r="B30" s="17" t="str">
        <f>IFERROR(__xludf.DUMMYFUNCTION("""COMPUTED_VALUE"""),"Simulación de Robots")</f>
        <v>Simulación de Robots</v>
      </c>
      <c r="C30" s="19"/>
      <c r="D30" s="17" t="str">
        <f>IFERROR(__xludf.DUMMYFUNCTION("""COMPUTED_VALUE"""),"Diseño de Robots en 3D")</f>
        <v>Diseño de Robots en 3D</v>
      </c>
      <c r="E30" s="19"/>
      <c r="F30" s="17" t="str">
        <f>IFERROR(__xludf.DUMMYFUNCTION("""COMPUTED_VALUE"""),"Creación de modelos tridimensionales de robots")</f>
        <v>Creación de modelos tridimensionales de robots</v>
      </c>
      <c r="G30" s="18"/>
      <c r="H30" s="19"/>
    </row>
    <row r="31" ht="15.75" customHeight="1">
      <c r="A31" s="20">
        <v>4.0</v>
      </c>
      <c r="B31" s="17" t="str">
        <f>IFERROR(__xludf.DUMMYFUNCTION("""COMPUTED_VALUE"""),"Simulación de Robots")</f>
        <v>Simulación de Robots</v>
      </c>
      <c r="C31" s="19"/>
      <c r="D31" s="17" t="str">
        <f>IFERROR(__xludf.DUMMYFUNCTION("""COMPUTED_VALUE"""),"Diseño de Robots en 3D")</f>
        <v>Diseño de Robots en 3D</v>
      </c>
      <c r="E31" s="19"/>
      <c r="F31" s="17" t="str">
        <f>IFERROR(__xludf.DUMMYFUNCTION("""COMPUTED_VALUE"""),"Implementación de texturas y materiales")</f>
        <v>Implementación de texturas y materiales</v>
      </c>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25.0</v>
      </c>
      <c r="E39" s="18"/>
      <c r="F39" s="18"/>
      <c r="G39" s="18"/>
      <c r="H39" s="19"/>
    </row>
    <row r="40" ht="15.75" customHeight="1">
      <c r="A40" s="20" t="s">
        <v>138</v>
      </c>
      <c r="B40" s="20" t="s">
        <v>137</v>
      </c>
      <c r="C40" s="20" t="s">
        <v>160</v>
      </c>
      <c r="D40" s="30">
        <v>5.0</v>
      </c>
      <c r="E40" s="18"/>
      <c r="F40" s="18"/>
      <c r="G40" s="18"/>
      <c r="H40" s="19"/>
    </row>
    <row r="41" ht="15.75" customHeight="1">
      <c r="A41" s="20" t="s">
        <v>139</v>
      </c>
      <c r="B41" s="20" t="s">
        <v>140</v>
      </c>
      <c r="C41" s="20"/>
      <c r="D41" s="30"/>
      <c r="E41" s="18"/>
      <c r="F41" s="18"/>
      <c r="G41" s="18"/>
      <c r="H41" s="19"/>
    </row>
    <row r="42" ht="15.75" customHeight="1">
      <c r="A42" s="20" t="s">
        <v>141</v>
      </c>
      <c r="B42" s="20" t="s">
        <v>137</v>
      </c>
      <c r="C42" s="20"/>
      <c r="D42" s="30">
        <v>25.0</v>
      </c>
      <c r="E42" s="18"/>
      <c r="F42" s="18"/>
      <c r="G42" s="18"/>
      <c r="H42" s="19"/>
    </row>
    <row r="43" ht="15.75" customHeight="1"/>
    <row r="44" ht="15.75" customHeight="1">
      <c r="A44" s="44" t="s">
        <v>142</v>
      </c>
      <c r="G44" s="34" t="s">
        <v>75</v>
      </c>
      <c r="H44" s="66">
        <f>B50</f>
        <v>40</v>
      </c>
    </row>
    <row r="45" ht="15.75" customHeight="1">
      <c r="G45" s="24" t="s">
        <v>143</v>
      </c>
    </row>
    <row r="46" ht="15.75" customHeight="1">
      <c r="A46" s="24" t="s">
        <v>144</v>
      </c>
    </row>
    <row r="47" ht="36.75" customHeight="1">
      <c r="A47" s="29" t="s">
        <v>145</v>
      </c>
      <c r="B47" s="30" t="s">
        <v>53</v>
      </c>
      <c r="C47" s="18"/>
      <c r="D47" s="18"/>
      <c r="E47" s="18"/>
      <c r="F47" s="18"/>
      <c r="G47" s="18"/>
      <c r="H47" s="19"/>
    </row>
    <row r="48" ht="15.75" customHeight="1">
      <c r="A48" s="29" t="s">
        <v>146</v>
      </c>
      <c r="B48" s="30" t="s">
        <v>147</v>
      </c>
      <c r="C48" s="18"/>
      <c r="D48" s="18"/>
      <c r="E48" s="18"/>
      <c r="F48" s="18"/>
      <c r="G48" s="18"/>
      <c r="H48" s="19"/>
    </row>
    <row r="49" ht="15.75" customHeight="1">
      <c r="A49" s="29" t="s">
        <v>115</v>
      </c>
      <c r="B49" s="59">
        <v>2.0</v>
      </c>
      <c r="C49" s="18"/>
      <c r="D49" s="18"/>
      <c r="E49" s="18"/>
      <c r="F49" s="18"/>
      <c r="G49" s="18"/>
      <c r="H49" s="19"/>
    </row>
    <row r="50" ht="15.75" customHeight="1">
      <c r="A50" s="29" t="s">
        <v>75</v>
      </c>
      <c r="B50" s="30">
        <v>40.0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197</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f>B70</f>
        <v>5</v>
      </c>
    </row>
    <row r="69" ht="15.75" customHeight="1">
      <c r="G69" s="24" t="s">
        <v>154</v>
      </c>
    </row>
    <row r="70" ht="15.75" customHeight="1">
      <c r="A70" s="29" t="s">
        <v>75</v>
      </c>
      <c r="B70" s="59">
        <v>5.0</v>
      </c>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2" t="s">
        <v>114</v>
      </c>
    </row>
    <row r="3" ht="15.75" customHeight="1"/>
    <row r="4" ht="15.75" customHeight="1">
      <c r="B4" s="16" t="s">
        <v>1</v>
      </c>
      <c r="C4" s="17" t="str">
        <f>'Diseño'!C4</f>
        <v>972 - Inteligencia Artificial 1</v>
      </c>
      <c r="D4" s="18"/>
      <c r="E4" s="18"/>
      <c r="F4" s="18"/>
      <c r="G4" s="19"/>
    </row>
    <row r="5" ht="15.75" customHeight="1">
      <c r="B5" s="20" t="s">
        <v>11</v>
      </c>
      <c r="C5" s="17">
        <v>11.0</v>
      </c>
      <c r="D5" s="18"/>
      <c r="E5" s="18"/>
      <c r="F5" s="18"/>
      <c r="G5" s="19"/>
    </row>
    <row r="6" ht="15.75" customHeight="1">
      <c r="B6" s="43" t="s">
        <v>73</v>
      </c>
      <c r="C6" s="17">
        <f>H10+H21+H44+H68</f>
        <v>105</v>
      </c>
      <c r="D6" s="18"/>
      <c r="E6" s="18"/>
      <c r="F6" s="18"/>
      <c r="G6" s="19"/>
      <c r="I6" s="5"/>
    </row>
    <row r="7" ht="15.75" customHeight="1">
      <c r="B7" s="43" t="s">
        <v>115</v>
      </c>
      <c r="C7" s="17">
        <f>B49+B60</f>
        <v>3</v>
      </c>
      <c r="D7" s="18"/>
      <c r="E7" s="18"/>
      <c r="F7" s="18"/>
      <c r="G7" s="19"/>
    </row>
    <row r="8" ht="15.75" customHeight="1">
      <c r="B8" s="43" t="s">
        <v>116</v>
      </c>
      <c r="C8" s="17" t="str">
        <f>IF(H44&lt;=0, "❌ ERROR: La Actividad 1 debe tener un tiempo mayor a 0.", IF(H21&gt;60, "❌ ERROR: El 'Área de Conocimiento' no puede exceder los 60 min.", IF((H10+H21+H44)&lt;100, "❌ ERROR: El tiempo total debe ser de al menos 100 min.", "✅ VALIDACIÓN CORRECTA")))</f>
        <v>✅ VALIDACIÓN CORRECTA</v>
      </c>
      <c r="D8" s="18"/>
      <c r="E8" s="18"/>
      <c r="F8" s="18"/>
      <c r="G8" s="19"/>
      <c r="I8" s="5"/>
      <c r="J8" s="5"/>
      <c r="K8" s="5"/>
    </row>
    <row r="9" ht="15.75" customHeight="1"/>
    <row r="10" ht="15.75" customHeight="1">
      <c r="A10" s="44" t="s">
        <v>117</v>
      </c>
      <c r="G10" s="34" t="s">
        <v>75</v>
      </c>
      <c r="H10" s="45">
        <f>B13</f>
        <v>5</v>
      </c>
    </row>
    <row r="11" ht="15.75" customHeight="1">
      <c r="G11" s="24" t="s">
        <v>118</v>
      </c>
    </row>
    <row r="12" ht="15.75" customHeight="1">
      <c r="A12" s="29" t="s">
        <v>119</v>
      </c>
      <c r="B12" s="30" t="s">
        <v>198</v>
      </c>
      <c r="C12" s="18"/>
      <c r="D12" s="18"/>
      <c r="E12" s="18"/>
      <c r="F12" s="18"/>
      <c r="G12" s="18"/>
      <c r="H12" s="19"/>
    </row>
    <row r="13" ht="15.75" customHeight="1">
      <c r="A13" s="31" t="s">
        <v>75</v>
      </c>
      <c r="B13" s="30">
        <v>5.0</v>
      </c>
      <c r="C13" s="18"/>
      <c r="D13" s="18"/>
      <c r="E13" s="18"/>
      <c r="F13" s="18"/>
      <c r="G13" s="18"/>
      <c r="H13" s="19"/>
    </row>
    <row r="14" ht="15.75" customHeight="1">
      <c r="A14" s="46" t="s">
        <v>121</v>
      </c>
      <c r="B14" s="18"/>
      <c r="C14" s="18"/>
      <c r="D14" s="18"/>
      <c r="E14" s="18"/>
      <c r="F14" s="18"/>
      <c r="G14" s="18"/>
      <c r="H14" s="19"/>
    </row>
    <row r="15" ht="15.75" customHeight="1">
      <c r="A15" s="47" t="s">
        <v>199</v>
      </c>
      <c r="B15" s="48"/>
      <c r="C15" s="48"/>
      <c r="D15" s="48"/>
      <c r="E15" s="48"/>
      <c r="F15" s="48"/>
      <c r="G15" s="48"/>
      <c r="H15" s="49"/>
    </row>
    <row r="16" ht="15.75" customHeight="1">
      <c r="A16" s="50"/>
      <c r="B16" s="51"/>
      <c r="C16" s="51"/>
      <c r="D16" s="51"/>
      <c r="E16" s="51"/>
      <c r="F16" s="51"/>
      <c r="G16" s="51"/>
      <c r="H16" s="52"/>
    </row>
    <row r="17" ht="15.75" customHeight="1">
      <c r="A17" s="46" t="s">
        <v>123</v>
      </c>
      <c r="B17" s="18"/>
      <c r="C17" s="18"/>
      <c r="D17" s="18"/>
      <c r="E17" s="18"/>
      <c r="F17" s="18"/>
      <c r="G17" s="18"/>
      <c r="H17" s="19"/>
    </row>
    <row r="18" ht="15.75" customHeight="1">
      <c r="A18" s="47" t="s">
        <v>200</v>
      </c>
      <c r="B18" s="48"/>
      <c r="C18" s="48"/>
      <c r="D18" s="48"/>
      <c r="E18" s="48"/>
      <c r="F18" s="48"/>
      <c r="G18" s="48"/>
      <c r="H18" s="49"/>
    </row>
    <row r="19" ht="15.75" customHeight="1">
      <c r="A19" s="50"/>
      <c r="B19" s="51"/>
      <c r="C19" s="51"/>
      <c r="D19" s="51"/>
      <c r="E19" s="51"/>
      <c r="F19" s="51"/>
      <c r="G19" s="51"/>
      <c r="H19" s="52"/>
    </row>
    <row r="20" ht="15.75" customHeight="1"/>
    <row r="21" ht="15.75" customHeight="1">
      <c r="A21" s="44" t="s">
        <v>125</v>
      </c>
      <c r="G21" s="34" t="s">
        <v>75</v>
      </c>
      <c r="H21" s="45">
        <f>D39+D40+D41+D42</f>
        <v>50</v>
      </c>
      <c r="I21" s="5"/>
    </row>
    <row r="22" ht="15.75" customHeight="1">
      <c r="G22" s="24" t="s">
        <v>126</v>
      </c>
    </row>
    <row r="23" ht="15.75" customHeight="1">
      <c r="A23" s="29" t="s">
        <v>127</v>
      </c>
      <c r="B23" s="30" t="s">
        <v>53</v>
      </c>
      <c r="C23" s="18"/>
      <c r="D23" s="18"/>
      <c r="E23" s="18"/>
      <c r="F23" s="18"/>
      <c r="G23" s="18"/>
      <c r="H23" s="19"/>
    </row>
    <row r="24" ht="15.75" customHeight="1">
      <c r="A24" s="29" t="s">
        <v>127</v>
      </c>
      <c r="B24" s="30"/>
      <c r="C24" s="18"/>
      <c r="D24" s="18"/>
      <c r="E24" s="18"/>
      <c r="F24" s="18"/>
      <c r="G24" s="18"/>
      <c r="H24" s="19"/>
    </row>
    <row r="25" ht="15.75" customHeight="1"/>
    <row r="26" ht="15.75" customHeight="1">
      <c r="A26" s="53" t="s">
        <v>128</v>
      </c>
      <c r="B26" s="5"/>
      <c r="C26" s="5"/>
      <c r="D26" s="5"/>
    </row>
    <row r="27" ht="15.75" customHeight="1">
      <c r="A27" s="54" t="s">
        <v>5</v>
      </c>
      <c r="B27" s="55" t="s">
        <v>129</v>
      </c>
      <c r="C27" s="19"/>
      <c r="D27" s="55" t="s">
        <v>130</v>
      </c>
      <c r="E27" s="19"/>
      <c r="F27" s="55" t="s">
        <v>131</v>
      </c>
      <c r="G27" s="18"/>
      <c r="H27" s="19"/>
    </row>
    <row r="28" ht="15.75" customHeight="1">
      <c r="A28" s="20">
        <v>1.0</v>
      </c>
      <c r="B28" s="17" t="str">
        <f>IFERROR(__xludf.DUMMYFUNCTION("FILTER('Diseño'!D:D,'Diseño'!H:H=$C$5)"),"Simulación de Robots")</f>
        <v>Simulación de Robots</v>
      </c>
      <c r="C28" s="19"/>
      <c r="D28" s="17" t="str">
        <f>IFERROR(__xludf.DUMMYFUNCTION("FILTER('Diseño'!E:E,'Diseño'!H:H=$C$5)"),"Programación de Acciones Robóticas")</f>
        <v>Programación de Acciones Robóticas</v>
      </c>
      <c r="E28" s="19"/>
      <c r="F28" s="17" t="str">
        <f>IFERROR(__xludf.DUMMYFUNCTION("FILTER('Diseño'!F:F,'Diseño'!H:H=$C$5)"),"Definición de trayectorias y movimientos")</f>
        <v>Definición de trayectorias y movimientos</v>
      </c>
      <c r="G28" s="18"/>
      <c r="H28" s="19"/>
    </row>
    <row r="29" ht="15.75" customHeight="1">
      <c r="A29" s="20">
        <v>2.0</v>
      </c>
      <c r="B29" s="17" t="str">
        <f>IFERROR(__xludf.DUMMYFUNCTION("""COMPUTED_VALUE"""),"Simulación de Robots")</f>
        <v>Simulación de Robots</v>
      </c>
      <c r="C29" s="19"/>
      <c r="D29" s="17" t="str">
        <f>IFERROR(__xludf.DUMMYFUNCTION("""COMPUTED_VALUE"""),"Programación de Acciones Robóticas")</f>
        <v>Programación de Acciones Robóticas</v>
      </c>
      <c r="E29" s="19"/>
      <c r="F29" s="17" t="str">
        <f>IFERROR(__xludf.DUMMYFUNCTION("""COMPUTED_VALUE"""),"Respuesta a eventos en simulaciones robóticas")</f>
        <v>Respuesta a eventos en simulaciones robóticas</v>
      </c>
      <c r="G29" s="18"/>
      <c r="H29" s="19"/>
    </row>
    <row r="30" ht="15.75" customHeight="1">
      <c r="A30" s="20">
        <v>3.0</v>
      </c>
      <c r="B30" s="17" t="str">
        <f>IFERROR(__xludf.DUMMYFUNCTION("""COMPUTED_VALUE"""),"Simulación de Robots")</f>
        <v>Simulación de Robots</v>
      </c>
      <c r="C30" s="19"/>
      <c r="D30" s="17" t="str">
        <f>IFERROR(__xludf.DUMMYFUNCTION("""COMPUTED_VALUE"""),"Simulación de Entornos Robóticos")</f>
        <v>Simulación de Entornos Robóticos</v>
      </c>
      <c r="E30" s="19"/>
      <c r="F30" s="17" t="str">
        <f>IFERROR(__xludf.DUMMYFUNCTION("""COMPUTED_VALUE"""),"Implementación de simuladores básicos (p5.js, Three.js)")</f>
        <v>Implementación de simuladores básicos (p5.js, Three.js)</v>
      </c>
      <c r="G30" s="18"/>
      <c r="H30" s="19"/>
    </row>
    <row r="31" ht="15.75" customHeight="1">
      <c r="A31" s="20">
        <v>4.0</v>
      </c>
      <c r="B31" s="17" t="str">
        <f>IFERROR(__xludf.DUMMYFUNCTION("""COMPUTED_VALUE"""),"Simulación de Robots")</f>
        <v>Simulación de Robots</v>
      </c>
      <c r="C31" s="19"/>
      <c r="D31" s="17" t="str">
        <f>IFERROR(__xludf.DUMMYFUNCTION("""COMPUTED_VALUE"""),"Simulación de Entornos Robóticos")</f>
        <v>Simulación de Entornos Robóticos</v>
      </c>
      <c r="E31" s="19"/>
      <c r="F31" s="17" t="str">
        <f>IFERROR(__xludf.DUMMYFUNCTION("""COMPUTED_VALUE"""),"Interacción de múltiples robots en un mismo entorno")</f>
        <v>Interacción de múltiples robots en un mismo entorno</v>
      </c>
      <c r="G31" s="18"/>
      <c r="H31" s="19"/>
    </row>
    <row r="32" ht="15.75" customHeight="1">
      <c r="A32" s="20">
        <v>5.0</v>
      </c>
      <c r="B32" s="17"/>
      <c r="C32" s="19"/>
      <c r="D32" s="17"/>
      <c r="E32" s="19"/>
      <c r="F32" s="17"/>
      <c r="G32" s="18"/>
      <c r="H32" s="19"/>
    </row>
    <row r="33" ht="15.75" customHeight="1">
      <c r="A33" s="20">
        <v>6.0</v>
      </c>
      <c r="B33" s="17"/>
      <c r="C33" s="19"/>
      <c r="D33" s="17"/>
      <c r="E33" s="19"/>
      <c r="F33" s="17"/>
      <c r="G33" s="18"/>
      <c r="H33" s="19"/>
    </row>
    <row r="34" ht="15.75" customHeight="1">
      <c r="A34" s="20">
        <v>7.0</v>
      </c>
      <c r="B34" s="17"/>
      <c r="C34" s="19"/>
      <c r="D34" s="17"/>
      <c r="E34" s="19"/>
      <c r="F34" s="17"/>
      <c r="G34" s="18"/>
      <c r="H34" s="19"/>
    </row>
    <row r="35" ht="15.75" customHeight="1"/>
    <row r="36" ht="15.75" customHeight="1">
      <c r="A36" s="53" t="s">
        <v>132</v>
      </c>
    </row>
    <row r="37" ht="15.75" customHeight="1">
      <c r="A37" s="5"/>
      <c r="B37" s="5"/>
      <c r="C37" s="5"/>
      <c r="D37" s="5"/>
      <c r="E37" s="5"/>
      <c r="F37" s="5"/>
      <c r="G37" s="5"/>
      <c r="H37" s="5"/>
    </row>
    <row r="38" ht="15.75" customHeight="1">
      <c r="A38" s="54" t="s">
        <v>133</v>
      </c>
      <c r="B38" s="54" t="s">
        <v>134</v>
      </c>
      <c r="C38" s="56" t="s">
        <v>135</v>
      </c>
      <c r="D38" s="57" t="s">
        <v>75</v>
      </c>
      <c r="E38" s="18"/>
      <c r="F38" s="18"/>
      <c r="G38" s="18"/>
      <c r="H38" s="19"/>
    </row>
    <row r="39" ht="15.75" customHeight="1">
      <c r="A39" s="20" t="s">
        <v>136</v>
      </c>
      <c r="B39" s="20" t="s">
        <v>137</v>
      </c>
      <c r="C39" s="20"/>
      <c r="D39" s="30">
        <v>25.0</v>
      </c>
      <c r="E39" s="18"/>
      <c r="F39" s="18"/>
      <c r="G39" s="18"/>
      <c r="H39" s="19"/>
    </row>
    <row r="40" ht="15.75" customHeight="1">
      <c r="A40" s="20" t="s">
        <v>138</v>
      </c>
      <c r="B40" s="20" t="s">
        <v>137</v>
      </c>
      <c r="C40" s="20" t="s">
        <v>160</v>
      </c>
      <c r="D40" s="30">
        <v>5.0</v>
      </c>
      <c r="E40" s="18"/>
      <c r="F40" s="18"/>
      <c r="G40" s="18"/>
      <c r="H40" s="19"/>
    </row>
    <row r="41" ht="15.75" customHeight="1">
      <c r="A41" s="20" t="s">
        <v>139</v>
      </c>
      <c r="B41" s="20" t="s">
        <v>140</v>
      </c>
      <c r="C41" s="20"/>
      <c r="D41" s="30">
        <v>10.0</v>
      </c>
      <c r="E41" s="18"/>
      <c r="F41" s="18"/>
      <c r="G41" s="18"/>
      <c r="H41" s="19"/>
    </row>
    <row r="42" ht="15.75" customHeight="1">
      <c r="A42" s="20" t="s">
        <v>141</v>
      </c>
      <c r="B42" s="20" t="s">
        <v>137</v>
      </c>
      <c r="C42" s="20"/>
      <c r="D42" s="30">
        <v>10.0</v>
      </c>
      <c r="E42" s="18"/>
      <c r="F42" s="18"/>
      <c r="G42" s="18"/>
      <c r="H42" s="19"/>
    </row>
    <row r="43" ht="15.75" customHeight="1"/>
    <row r="44" ht="15.75" customHeight="1">
      <c r="A44" s="44" t="s">
        <v>142</v>
      </c>
      <c r="G44" s="34" t="s">
        <v>75</v>
      </c>
      <c r="H44" s="45">
        <f>B50+B61</f>
        <v>45</v>
      </c>
    </row>
    <row r="45" ht="15.75" customHeight="1">
      <c r="G45" s="24" t="s">
        <v>143</v>
      </c>
    </row>
    <row r="46" ht="15.75" customHeight="1">
      <c r="A46" s="24" t="s">
        <v>144</v>
      </c>
    </row>
    <row r="47" ht="15.75" customHeight="1">
      <c r="A47" s="29" t="s">
        <v>145</v>
      </c>
      <c r="B47" s="30" t="s">
        <v>46</v>
      </c>
      <c r="C47" s="18"/>
      <c r="D47" s="18"/>
      <c r="E47" s="18"/>
      <c r="F47" s="18"/>
      <c r="G47" s="18"/>
      <c r="H47" s="19"/>
    </row>
    <row r="48" ht="15.75" customHeight="1">
      <c r="A48" s="29" t="s">
        <v>146</v>
      </c>
      <c r="B48" s="30" t="s">
        <v>188</v>
      </c>
      <c r="C48" s="18"/>
      <c r="D48" s="18"/>
      <c r="E48" s="18"/>
      <c r="F48" s="18"/>
      <c r="G48" s="18"/>
      <c r="H48" s="19"/>
    </row>
    <row r="49" ht="15.75" customHeight="1">
      <c r="A49" s="29" t="s">
        <v>115</v>
      </c>
      <c r="B49" s="59">
        <v>3.0</v>
      </c>
      <c r="C49" s="18"/>
      <c r="D49" s="18"/>
      <c r="E49" s="18"/>
      <c r="F49" s="18"/>
      <c r="G49" s="18"/>
      <c r="H49" s="19"/>
    </row>
    <row r="50" ht="15.75" customHeight="1">
      <c r="A50" s="29" t="s">
        <v>75</v>
      </c>
      <c r="B50" s="30">
        <v>45.0</v>
      </c>
      <c r="C50" s="18"/>
      <c r="D50" s="18"/>
      <c r="E50" s="18"/>
      <c r="F50" s="18"/>
      <c r="G50" s="18"/>
      <c r="H50" s="19"/>
    </row>
    <row r="51" ht="15.75" customHeight="1">
      <c r="A51" s="39" t="s">
        <v>148</v>
      </c>
      <c r="B51" s="5"/>
      <c r="C51" s="5"/>
      <c r="D51" s="5"/>
      <c r="E51" s="5"/>
      <c r="F51" s="5"/>
      <c r="G51" s="5"/>
      <c r="H51" s="5"/>
    </row>
    <row r="52" ht="15.75" customHeight="1">
      <c r="A52" s="46" t="s">
        <v>149</v>
      </c>
      <c r="B52" s="18"/>
      <c r="C52" s="18"/>
      <c r="D52" s="18"/>
      <c r="E52" s="18"/>
      <c r="F52" s="18"/>
      <c r="G52" s="18"/>
      <c r="H52" s="19"/>
    </row>
    <row r="53" ht="15.75" customHeight="1">
      <c r="A53" s="47" t="s">
        <v>201</v>
      </c>
      <c r="B53" s="48"/>
      <c r="C53" s="48"/>
      <c r="D53" s="48"/>
      <c r="E53" s="48"/>
      <c r="F53" s="48"/>
      <c r="G53" s="48"/>
      <c r="H53" s="49"/>
    </row>
    <row r="54" ht="15.75" customHeight="1">
      <c r="A54" s="60"/>
      <c r="H54" s="61"/>
    </row>
    <row r="55" ht="15.75" customHeight="1">
      <c r="A55" s="50"/>
      <c r="B55" s="51"/>
      <c r="C55" s="51"/>
      <c r="D55" s="51"/>
      <c r="E55" s="51"/>
      <c r="F55" s="51"/>
      <c r="G55" s="51"/>
      <c r="H55" s="52"/>
    </row>
    <row r="56" ht="15.75" customHeight="1"/>
    <row r="57" ht="15.75" customHeight="1">
      <c r="A57" s="24" t="s">
        <v>151</v>
      </c>
    </row>
    <row r="58" ht="15.75" customHeight="1">
      <c r="A58" s="29" t="s">
        <v>145</v>
      </c>
      <c r="B58" s="17"/>
      <c r="C58" s="18"/>
      <c r="D58" s="18"/>
      <c r="E58" s="18"/>
      <c r="F58" s="18"/>
      <c r="G58" s="18"/>
      <c r="H58" s="19"/>
    </row>
    <row r="59" ht="15.75" customHeight="1">
      <c r="A59" s="29" t="s">
        <v>146</v>
      </c>
      <c r="B59" s="17"/>
      <c r="C59" s="18"/>
      <c r="D59" s="18"/>
      <c r="E59" s="18"/>
      <c r="F59" s="18"/>
      <c r="G59" s="18"/>
      <c r="H59" s="19"/>
    </row>
    <row r="60" ht="15.75" customHeight="1">
      <c r="A60" s="29" t="s">
        <v>115</v>
      </c>
      <c r="B60" s="62"/>
      <c r="C60" s="18"/>
      <c r="D60" s="18"/>
      <c r="E60" s="18"/>
      <c r="F60" s="18"/>
      <c r="G60" s="18"/>
      <c r="H60" s="19"/>
    </row>
    <row r="61" ht="15.75" customHeight="1">
      <c r="A61" s="29" t="s">
        <v>75</v>
      </c>
      <c r="B61" s="62"/>
      <c r="C61" s="18"/>
      <c r="D61" s="18"/>
      <c r="E61" s="18"/>
      <c r="F61" s="18"/>
      <c r="G61" s="18"/>
      <c r="H61" s="19"/>
    </row>
    <row r="62" ht="15.75" customHeight="1">
      <c r="A62" s="63" t="s">
        <v>152</v>
      </c>
      <c r="B62" s="5"/>
      <c r="C62" s="5"/>
      <c r="D62" s="5"/>
      <c r="E62" s="5"/>
      <c r="F62" s="5"/>
      <c r="G62" s="5"/>
      <c r="H62" s="5"/>
    </row>
    <row r="63" ht="15.75" customHeight="1">
      <c r="A63" s="46" t="s">
        <v>149</v>
      </c>
      <c r="B63" s="18"/>
      <c r="C63" s="18"/>
      <c r="D63" s="18"/>
      <c r="E63" s="18"/>
      <c r="F63" s="18"/>
      <c r="G63" s="18"/>
      <c r="H63" s="19"/>
    </row>
    <row r="64" ht="15.75" customHeight="1">
      <c r="A64" s="64"/>
      <c r="B64" s="48"/>
      <c r="C64" s="48"/>
      <c r="D64" s="48"/>
      <c r="E64" s="48"/>
      <c r="F64" s="48"/>
      <c r="G64" s="48"/>
      <c r="H64" s="49"/>
    </row>
    <row r="65" ht="15.75" customHeight="1">
      <c r="A65" s="60"/>
      <c r="H65" s="61"/>
    </row>
    <row r="66" ht="15.75" customHeight="1">
      <c r="A66" s="50"/>
      <c r="B66" s="51"/>
      <c r="C66" s="51"/>
      <c r="D66" s="51"/>
      <c r="E66" s="51"/>
      <c r="F66" s="51"/>
      <c r="G66" s="51"/>
      <c r="H66" s="52"/>
    </row>
    <row r="67" ht="15.75" customHeight="1"/>
    <row r="68" ht="15.75" customHeight="1">
      <c r="A68" s="44" t="s">
        <v>153</v>
      </c>
      <c r="G68" s="34" t="s">
        <v>75</v>
      </c>
      <c r="H68" s="66">
        <f>B70</f>
        <v>5</v>
      </c>
    </row>
    <row r="69" ht="15.75" customHeight="1">
      <c r="G69" s="24" t="s">
        <v>154</v>
      </c>
    </row>
    <row r="70" ht="15.75" customHeight="1">
      <c r="A70" s="29" t="s">
        <v>75</v>
      </c>
      <c r="B70" s="59">
        <v>5.0</v>
      </c>
      <c r="C70" s="18"/>
      <c r="D70" s="18"/>
      <c r="E70" s="18"/>
      <c r="F70" s="18"/>
      <c r="G70" s="18"/>
      <c r="H70" s="19"/>
    </row>
    <row r="71" ht="15.75" customHeight="1">
      <c r="A71" s="57" t="s">
        <v>155</v>
      </c>
      <c r="B71" s="18"/>
      <c r="C71" s="18"/>
      <c r="D71" s="18"/>
      <c r="E71" s="18"/>
      <c r="F71" s="18"/>
      <c r="G71" s="18"/>
      <c r="H71" s="19"/>
    </row>
    <row r="72" ht="15.75" customHeight="1">
      <c r="A72" s="64"/>
      <c r="B72" s="48"/>
      <c r="C72" s="48"/>
      <c r="D72" s="48"/>
      <c r="E72" s="48"/>
      <c r="F72" s="48"/>
      <c r="G72" s="48"/>
      <c r="H72" s="49"/>
    </row>
    <row r="73" ht="15.75" customHeight="1">
      <c r="A73" s="50"/>
      <c r="B73" s="51"/>
      <c r="C73" s="51"/>
      <c r="D73" s="51"/>
      <c r="E73" s="51"/>
      <c r="F73" s="51"/>
      <c r="G73" s="51"/>
      <c r="H73" s="52"/>
    </row>
    <row r="74" ht="15.75" customHeight="1">
      <c r="A74" s="24" t="s">
        <v>156</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202</v>
      </c>
    </row>
    <row r="3" ht="15.75" customHeight="1"/>
    <row r="4" ht="15.75" customHeight="1">
      <c r="B4" s="16" t="s">
        <v>1</v>
      </c>
      <c r="C4" s="17" t="str">
        <f>'Diseño'!C4</f>
        <v>972 - Inteligencia Artificial 1</v>
      </c>
      <c r="D4" s="18"/>
      <c r="E4" s="18"/>
      <c r="F4" s="18"/>
      <c r="G4" s="19"/>
    </row>
    <row r="5" ht="15.75" customHeight="1">
      <c r="B5" s="43" t="s">
        <v>73</v>
      </c>
      <c r="C5" s="17">
        <f>H9+H26+H43</f>
        <v>108</v>
      </c>
      <c r="D5" s="18"/>
      <c r="E5" s="18"/>
      <c r="F5" s="18"/>
      <c r="G5" s="19"/>
    </row>
    <row r="6" ht="15.75" customHeight="1">
      <c r="B6" s="43" t="s">
        <v>115</v>
      </c>
      <c r="C6" s="17">
        <f>F9+F26+F43</f>
        <v>70</v>
      </c>
      <c r="D6" s="18"/>
      <c r="E6" s="18"/>
      <c r="F6" s="18"/>
      <c r="G6" s="19"/>
    </row>
    <row r="7" ht="15.75" customHeight="1">
      <c r="B7" s="6" t="s">
        <v>203</v>
      </c>
    </row>
    <row r="8" ht="15.75" customHeight="1"/>
    <row r="9" ht="15.75" customHeight="1">
      <c r="A9" s="44" t="s">
        <v>204</v>
      </c>
      <c r="E9" s="34" t="s">
        <v>115</v>
      </c>
      <c r="F9" s="66">
        <v>30.0</v>
      </c>
      <c r="G9" s="34" t="s">
        <v>205</v>
      </c>
      <c r="H9" s="66">
        <v>50.0</v>
      </c>
    </row>
    <row r="10" ht="15.75" customHeight="1">
      <c r="A10" s="6" t="s">
        <v>137</v>
      </c>
    </row>
    <row r="11" ht="15.75" customHeight="1">
      <c r="A11" s="54" t="s">
        <v>127</v>
      </c>
      <c r="B11" s="30" t="s">
        <v>206</v>
      </c>
      <c r="C11" s="18"/>
      <c r="D11" s="18"/>
      <c r="E11" s="18"/>
      <c r="F11" s="18"/>
      <c r="G11" s="18"/>
      <c r="H11" s="19"/>
    </row>
    <row r="12" ht="15.75" customHeight="1">
      <c r="A12" s="54" t="s">
        <v>127</v>
      </c>
      <c r="B12" s="30" t="s">
        <v>207</v>
      </c>
      <c r="C12" s="18"/>
      <c r="D12" s="18"/>
      <c r="E12" s="18"/>
      <c r="F12" s="18"/>
      <c r="G12" s="18"/>
      <c r="H12" s="19"/>
    </row>
    <row r="13" ht="15.75" customHeight="1">
      <c r="A13" s="54" t="s">
        <v>127</v>
      </c>
      <c r="B13" s="30" t="s">
        <v>12</v>
      </c>
      <c r="C13" s="18"/>
      <c r="D13" s="18"/>
      <c r="E13" s="18"/>
      <c r="F13" s="18"/>
      <c r="G13" s="18"/>
      <c r="H13" s="19"/>
    </row>
    <row r="14" ht="15.75" customHeight="1">
      <c r="A14" s="54" t="s">
        <v>208</v>
      </c>
      <c r="B14" s="30" t="s">
        <v>209</v>
      </c>
      <c r="C14" s="18"/>
      <c r="D14" s="18"/>
      <c r="E14" s="18"/>
      <c r="F14" s="18"/>
      <c r="G14" s="18"/>
      <c r="H14" s="19"/>
    </row>
    <row r="15" ht="15.75" customHeight="1">
      <c r="A15" s="46" t="s">
        <v>210</v>
      </c>
      <c r="B15" s="18"/>
      <c r="C15" s="18"/>
      <c r="D15" s="18"/>
      <c r="E15" s="18"/>
      <c r="F15" s="18"/>
      <c r="G15" s="18"/>
      <c r="H15" s="19"/>
    </row>
    <row r="16" ht="15.75" customHeight="1">
      <c r="A16" s="47" t="s">
        <v>211</v>
      </c>
      <c r="B16" s="48"/>
      <c r="C16" s="48"/>
      <c r="D16" s="48"/>
      <c r="E16" s="48"/>
      <c r="F16" s="48"/>
      <c r="G16" s="48"/>
      <c r="H16" s="49"/>
    </row>
    <row r="17" ht="15.75" customHeight="1">
      <c r="A17" s="60"/>
      <c r="H17" s="61"/>
    </row>
    <row r="18" ht="15.75" customHeight="1">
      <c r="A18" s="50"/>
      <c r="B18" s="51"/>
      <c r="C18" s="51"/>
      <c r="D18" s="51"/>
      <c r="E18" s="51"/>
      <c r="F18" s="51"/>
      <c r="G18" s="51"/>
      <c r="H18" s="52"/>
    </row>
    <row r="19" ht="15.75" customHeight="1">
      <c r="A19" s="46" t="s">
        <v>212</v>
      </c>
      <c r="B19" s="18"/>
      <c r="C19" s="18"/>
      <c r="D19" s="18"/>
      <c r="E19" s="18"/>
      <c r="F19" s="18"/>
      <c r="G19" s="18"/>
      <c r="H19" s="19"/>
    </row>
    <row r="20" ht="15.75" customHeight="1">
      <c r="A20" s="47" t="s">
        <v>213</v>
      </c>
      <c r="B20" s="48"/>
      <c r="C20" s="48"/>
      <c r="D20" s="48"/>
      <c r="E20" s="48"/>
      <c r="F20" s="48"/>
      <c r="G20" s="48"/>
      <c r="H20" s="49"/>
    </row>
    <row r="21" ht="15.75" customHeight="1">
      <c r="A21" s="60"/>
      <c r="H21" s="61"/>
    </row>
    <row r="22" ht="15.75" customHeight="1">
      <c r="A22" s="60"/>
      <c r="H22" s="61"/>
    </row>
    <row r="23" ht="15.75" customHeight="1">
      <c r="A23" s="50"/>
      <c r="B23" s="51"/>
      <c r="C23" s="51"/>
      <c r="D23" s="51"/>
      <c r="E23" s="51"/>
      <c r="F23" s="51"/>
      <c r="G23" s="51"/>
      <c r="H23" s="52"/>
    </row>
    <row r="24" ht="15.75" customHeight="1"/>
    <row r="25" ht="15.75" customHeight="1"/>
    <row r="26" ht="15.75" customHeight="1">
      <c r="A26" s="44" t="s">
        <v>214</v>
      </c>
      <c r="E26" s="34" t="s">
        <v>115</v>
      </c>
      <c r="F26" s="66">
        <v>40.0</v>
      </c>
      <c r="G26" s="34" t="s">
        <v>205</v>
      </c>
      <c r="H26" s="66">
        <v>58.0</v>
      </c>
    </row>
    <row r="27" ht="15.75" customHeight="1">
      <c r="A27" s="6" t="s">
        <v>137</v>
      </c>
    </row>
    <row r="28" ht="15.75" customHeight="1">
      <c r="A28" s="54" t="s">
        <v>127</v>
      </c>
      <c r="B28" s="30" t="s">
        <v>206</v>
      </c>
      <c r="C28" s="18"/>
      <c r="D28" s="18"/>
      <c r="E28" s="18"/>
      <c r="F28" s="18"/>
      <c r="G28" s="18"/>
      <c r="H28" s="19"/>
    </row>
    <row r="29" ht="15.75" customHeight="1">
      <c r="A29" s="54" t="s">
        <v>127</v>
      </c>
      <c r="B29" s="30" t="s">
        <v>207</v>
      </c>
      <c r="C29" s="18"/>
      <c r="D29" s="18"/>
      <c r="E29" s="18"/>
      <c r="F29" s="18"/>
      <c r="G29" s="18"/>
      <c r="H29" s="19"/>
    </row>
    <row r="30" ht="15.75" customHeight="1">
      <c r="A30" s="54" t="s">
        <v>127</v>
      </c>
      <c r="B30" s="30" t="s">
        <v>46</v>
      </c>
      <c r="C30" s="18"/>
      <c r="D30" s="18"/>
      <c r="E30" s="18"/>
      <c r="F30" s="18"/>
      <c r="G30" s="18"/>
      <c r="H30" s="19"/>
    </row>
    <row r="31" ht="15.75" customHeight="1">
      <c r="A31" s="54" t="s">
        <v>208</v>
      </c>
      <c r="B31" s="30" t="s">
        <v>215</v>
      </c>
      <c r="C31" s="18"/>
      <c r="D31" s="18"/>
      <c r="E31" s="18"/>
      <c r="F31" s="18"/>
      <c r="G31" s="18"/>
      <c r="H31" s="19"/>
    </row>
    <row r="32" ht="15.75" customHeight="1">
      <c r="A32" s="46" t="s">
        <v>210</v>
      </c>
      <c r="B32" s="18"/>
      <c r="C32" s="18"/>
      <c r="D32" s="18"/>
      <c r="E32" s="18"/>
      <c r="F32" s="18"/>
      <c r="G32" s="18"/>
      <c r="H32" s="19"/>
    </row>
    <row r="33" ht="15.75" customHeight="1">
      <c r="A33" s="47" t="s">
        <v>216</v>
      </c>
      <c r="B33" s="48"/>
      <c r="C33" s="48"/>
      <c r="D33" s="48"/>
      <c r="E33" s="48"/>
      <c r="F33" s="48"/>
      <c r="G33" s="48"/>
      <c r="H33" s="49"/>
    </row>
    <row r="34" ht="15.75" customHeight="1">
      <c r="A34" s="60"/>
      <c r="H34" s="61"/>
    </row>
    <row r="35" ht="15.75" customHeight="1">
      <c r="A35" s="50"/>
      <c r="B35" s="51"/>
      <c r="C35" s="51"/>
      <c r="D35" s="51"/>
      <c r="E35" s="51"/>
      <c r="F35" s="51"/>
      <c r="G35" s="51"/>
      <c r="H35" s="52"/>
    </row>
    <row r="36" ht="15.75" customHeight="1">
      <c r="A36" s="46" t="s">
        <v>212</v>
      </c>
      <c r="B36" s="18"/>
      <c r="C36" s="18"/>
      <c r="D36" s="18"/>
      <c r="E36" s="18"/>
      <c r="F36" s="18"/>
      <c r="G36" s="18"/>
      <c r="H36" s="19"/>
    </row>
    <row r="37" ht="15.75" customHeight="1">
      <c r="A37" s="47" t="s">
        <v>217</v>
      </c>
      <c r="B37" s="48"/>
      <c r="C37" s="48"/>
      <c r="D37" s="48"/>
      <c r="E37" s="48"/>
      <c r="F37" s="48"/>
      <c r="G37" s="48"/>
      <c r="H37" s="49"/>
    </row>
    <row r="38" ht="15.75" customHeight="1">
      <c r="A38" s="60"/>
      <c r="H38" s="61"/>
    </row>
    <row r="39" ht="15.75" customHeight="1">
      <c r="A39" s="60"/>
      <c r="H39" s="61"/>
    </row>
    <row r="40" ht="15.75" customHeight="1">
      <c r="A40" s="50"/>
      <c r="B40" s="51"/>
      <c r="C40" s="51"/>
      <c r="D40" s="51"/>
      <c r="E40" s="51"/>
      <c r="F40" s="51"/>
      <c r="G40" s="51"/>
      <c r="H40" s="52"/>
    </row>
    <row r="41" ht="15.75" customHeight="1"/>
    <row r="42" ht="15.75" customHeight="1"/>
    <row r="43" ht="15.75" customHeight="1">
      <c r="A43" s="44" t="s">
        <v>218</v>
      </c>
      <c r="E43" s="34" t="s">
        <v>115</v>
      </c>
      <c r="F43" s="45"/>
      <c r="G43" s="34" t="s">
        <v>205</v>
      </c>
      <c r="H43" s="45"/>
    </row>
    <row r="44" ht="15.75" customHeight="1">
      <c r="A44" s="39" t="s">
        <v>219</v>
      </c>
    </row>
    <row r="45" ht="15.75" customHeight="1">
      <c r="A45" s="54" t="s">
        <v>127</v>
      </c>
      <c r="B45" s="17"/>
      <c r="C45" s="18"/>
      <c r="D45" s="18"/>
      <c r="E45" s="18"/>
      <c r="F45" s="18"/>
      <c r="G45" s="18"/>
      <c r="H45" s="19"/>
    </row>
    <row r="46" ht="15.75" customHeight="1">
      <c r="A46" s="54" t="s">
        <v>127</v>
      </c>
      <c r="B46" s="17"/>
      <c r="C46" s="18"/>
      <c r="D46" s="18"/>
      <c r="E46" s="18"/>
      <c r="F46" s="18"/>
      <c r="G46" s="18"/>
      <c r="H46" s="19"/>
    </row>
    <row r="47" ht="15.75" customHeight="1">
      <c r="A47" s="54" t="s">
        <v>127</v>
      </c>
      <c r="B47" s="17"/>
      <c r="C47" s="18"/>
      <c r="D47" s="18"/>
      <c r="E47" s="18"/>
      <c r="F47" s="18"/>
      <c r="G47" s="18"/>
      <c r="H47" s="19"/>
    </row>
    <row r="48" ht="15.75" customHeight="1">
      <c r="A48" s="54" t="s">
        <v>208</v>
      </c>
      <c r="B48" s="17"/>
      <c r="C48" s="18"/>
      <c r="D48" s="18"/>
      <c r="E48" s="18"/>
      <c r="F48" s="18"/>
      <c r="G48" s="18"/>
      <c r="H48" s="19"/>
    </row>
    <row r="49" ht="15.75" customHeight="1">
      <c r="A49" s="46" t="s">
        <v>210</v>
      </c>
      <c r="B49" s="18"/>
      <c r="C49" s="18"/>
      <c r="D49" s="18"/>
      <c r="E49" s="18"/>
      <c r="F49" s="18"/>
      <c r="G49" s="18"/>
      <c r="H49" s="19"/>
    </row>
    <row r="50" ht="15.75" customHeight="1">
      <c r="A50" s="64"/>
      <c r="B50" s="48"/>
      <c r="C50" s="48"/>
      <c r="D50" s="48"/>
      <c r="E50" s="48"/>
      <c r="F50" s="48"/>
      <c r="G50" s="48"/>
      <c r="H50" s="49"/>
    </row>
    <row r="51" ht="15.75" customHeight="1">
      <c r="A51" s="60"/>
      <c r="H51" s="61"/>
    </row>
    <row r="52" ht="15.75" customHeight="1">
      <c r="A52" s="50"/>
      <c r="B52" s="51"/>
      <c r="C52" s="51"/>
      <c r="D52" s="51"/>
      <c r="E52" s="51"/>
      <c r="F52" s="51"/>
      <c r="G52" s="51"/>
      <c r="H52" s="52"/>
    </row>
    <row r="53" ht="15.75" customHeight="1">
      <c r="A53" s="46" t="s">
        <v>212</v>
      </c>
      <c r="B53" s="18"/>
      <c r="C53" s="18"/>
      <c r="D53" s="18"/>
      <c r="E53" s="18"/>
      <c r="F53" s="18"/>
      <c r="G53" s="18"/>
      <c r="H53" s="19"/>
    </row>
    <row r="54" ht="15.75" customHeight="1">
      <c r="A54" s="64"/>
      <c r="B54" s="48"/>
      <c r="C54" s="48"/>
      <c r="D54" s="48"/>
      <c r="E54" s="48"/>
      <c r="F54" s="48"/>
      <c r="G54" s="48"/>
      <c r="H54" s="49"/>
    </row>
    <row r="55" ht="15.75" customHeight="1">
      <c r="A55" s="60"/>
      <c r="H55" s="61"/>
    </row>
    <row r="56" ht="15.75" customHeight="1">
      <c r="A56" s="60"/>
      <c r="H56" s="61"/>
    </row>
    <row r="57" ht="15.75" customHeight="1">
      <c r="A57" s="50"/>
      <c r="B57" s="51"/>
      <c r="C57" s="51"/>
      <c r="D57" s="51"/>
      <c r="E57" s="51"/>
      <c r="F57" s="51"/>
      <c r="G57" s="51"/>
      <c r="H57" s="52"/>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220</v>
      </c>
    </row>
    <row r="3" ht="15.75" customHeight="1"/>
    <row r="4" ht="15.75" customHeight="1">
      <c r="B4" s="16" t="s">
        <v>1</v>
      </c>
      <c r="C4" s="17" t="str">
        <f>'Diseño'!C4</f>
        <v>972 - Inteligencia Artificial 1</v>
      </c>
      <c r="D4" s="18"/>
      <c r="E4" s="18"/>
      <c r="F4" s="18"/>
      <c r="G4" s="19"/>
    </row>
    <row r="5" ht="15.75" customHeight="1">
      <c r="B5" s="43" t="s">
        <v>73</v>
      </c>
      <c r="C5" s="17">
        <f>H9+H26+H43+H60+H77+H94+H111</f>
        <v>0</v>
      </c>
      <c r="D5" s="18"/>
      <c r="E5" s="18"/>
      <c r="F5" s="18"/>
      <c r="G5" s="19"/>
    </row>
    <row r="6" ht="15.75" customHeight="1">
      <c r="B6" s="43" t="s">
        <v>115</v>
      </c>
      <c r="C6" s="17">
        <f>F9+F26+F43+F60+F77+F94+F111</f>
        <v>0</v>
      </c>
      <c r="D6" s="18"/>
      <c r="E6" s="18"/>
      <c r="F6" s="18"/>
      <c r="G6" s="19"/>
    </row>
    <row r="7" ht="15.75" customHeight="1">
      <c r="B7" s="6" t="s">
        <v>221</v>
      </c>
    </row>
    <row r="8" ht="15.75" customHeight="1"/>
    <row r="9" ht="15.75" customHeight="1">
      <c r="A9" s="44" t="s">
        <v>222</v>
      </c>
      <c r="E9" s="34" t="s">
        <v>115</v>
      </c>
      <c r="F9" s="45"/>
      <c r="G9" s="34" t="s">
        <v>205</v>
      </c>
      <c r="H9" s="45"/>
    </row>
    <row r="10" ht="15.75" customHeight="1">
      <c r="A10" s="6" t="s">
        <v>223</v>
      </c>
    </row>
    <row r="11" ht="15.75" customHeight="1">
      <c r="A11" s="54" t="s">
        <v>127</v>
      </c>
      <c r="B11" s="17"/>
      <c r="C11" s="18"/>
      <c r="D11" s="18"/>
      <c r="E11" s="18"/>
      <c r="F11" s="18"/>
      <c r="G11" s="18"/>
      <c r="H11" s="19"/>
    </row>
    <row r="12" ht="15.75" customHeight="1">
      <c r="A12" s="54" t="s">
        <v>127</v>
      </c>
      <c r="B12" s="17"/>
      <c r="C12" s="18"/>
      <c r="D12" s="18"/>
      <c r="E12" s="18"/>
      <c r="F12" s="18"/>
      <c r="G12" s="18"/>
      <c r="H12" s="19"/>
    </row>
    <row r="13" ht="15.75" customHeight="1">
      <c r="A13" s="54" t="s">
        <v>127</v>
      </c>
      <c r="B13" s="17"/>
      <c r="C13" s="18"/>
      <c r="D13" s="18"/>
      <c r="E13" s="18"/>
      <c r="F13" s="18"/>
      <c r="G13" s="18"/>
      <c r="H13" s="19"/>
    </row>
    <row r="14" ht="15.75" customHeight="1">
      <c r="A14" s="54" t="s">
        <v>208</v>
      </c>
      <c r="B14" s="17"/>
      <c r="C14" s="18"/>
      <c r="D14" s="18"/>
      <c r="E14" s="18"/>
      <c r="F14" s="18"/>
      <c r="G14" s="18"/>
      <c r="H14" s="19"/>
    </row>
    <row r="15" ht="15.75" customHeight="1">
      <c r="A15" s="46" t="s">
        <v>210</v>
      </c>
      <c r="B15" s="18"/>
      <c r="C15" s="18"/>
      <c r="D15" s="18"/>
      <c r="E15" s="18"/>
      <c r="F15" s="18"/>
      <c r="G15" s="18"/>
      <c r="H15" s="19"/>
    </row>
    <row r="16" ht="15.75" customHeight="1">
      <c r="A16" s="64"/>
      <c r="B16" s="48"/>
      <c r="C16" s="48"/>
      <c r="D16" s="48"/>
      <c r="E16" s="48"/>
      <c r="F16" s="48"/>
      <c r="G16" s="48"/>
      <c r="H16" s="49"/>
    </row>
    <row r="17" ht="15.75" customHeight="1">
      <c r="A17" s="60"/>
      <c r="H17" s="61"/>
    </row>
    <row r="18" ht="15.75" customHeight="1">
      <c r="A18" s="50"/>
      <c r="B18" s="51"/>
      <c r="C18" s="51"/>
      <c r="D18" s="51"/>
      <c r="E18" s="51"/>
      <c r="F18" s="51"/>
      <c r="G18" s="51"/>
      <c r="H18" s="52"/>
    </row>
    <row r="19" ht="15.75" customHeight="1">
      <c r="A19" s="46" t="s">
        <v>212</v>
      </c>
      <c r="B19" s="18"/>
      <c r="C19" s="18"/>
      <c r="D19" s="18"/>
      <c r="E19" s="18"/>
      <c r="F19" s="18"/>
      <c r="G19" s="18"/>
      <c r="H19" s="19"/>
    </row>
    <row r="20" ht="15.75" customHeight="1">
      <c r="A20" s="64"/>
      <c r="B20" s="48"/>
      <c r="C20" s="48"/>
      <c r="D20" s="48"/>
      <c r="E20" s="48"/>
      <c r="F20" s="48"/>
      <c r="G20" s="48"/>
      <c r="H20" s="49"/>
    </row>
    <row r="21" ht="15.75" customHeight="1">
      <c r="A21" s="60"/>
      <c r="H21" s="61"/>
    </row>
    <row r="22" ht="15.75" customHeight="1">
      <c r="A22" s="60"/>
      <c r="H22" s="61"/>
    </row>
    <row r="23" ht="15.75" customHeight="1">
      <c r="A23" s="50"/>
      <c r="B23" s="51"/>
      <c r="C23" s="51"/>
      <c r="D23" s="51"/>
      <c r="E23" s="51"/>
      <c r="F23" s="51"/>
      <c r="G23" s="51"/>
      <c r="H23" s="52"/>
    </row>
    <row r="24" ht="15.75" customHeight="1"/>
    <row r="25" ht="15.75" customHeight="1"/>
    <row r="26" ht="15.75" customHeight="1">
      <c r="A26" s="44" t="s">
        <v>224</v>
      </c>
      <c r="E26" s="34" t="s">
        <v>115</v>
      </c>
      <c r="F26" s="45"/>
      <c r="G26" s="34" t="s">
        <v>205</v>
      </c>
      <c r="H26" s="45"/>
    </row>
    <row r="27" ht="15.75" customHeight="1">
      <c r="A27" s="39" t="s">
        <v>219</v>
      </c>
    </row>
    <row r="28" ht="15.75" customHeight="1">
      <c r="A28" s="54" t="s">
        <v>127</v>
      </c>
      <c r="B28" s="17"/>
      <c r="C28" s="18"/>
      <c r="D28" s="18"/>
      <c r="E28" s="18"/>
      <c r="F28" s="18"/>
      <c r="G28" s="18"/>
      <c r="H28" s="19"/>
    </row>
    <row r="29" ht="15.75" customHeight="1">
      <c r="A29" s="54" t="s">
        <v>127</v>
      </c>
      <c r="B29" s="17"/>
      <c r="C29" s="18"/>
      <c r="D29" s="18"/>
      <c r="E29" s="18"/>
      <c r="F29" s="18"/>
      <c r="G29" s="18"/>
      <c r="H29" s="19"/>
    </row>
    <row r="30" ht="15.75" customHeight="1">
      <c r="A30" s="54" t="s">
        <v>127</v>
      </c>
      <c r="B30" s="17"/>
      <c r="C30" s="18"/>
      <c r="D30" s="18"/>
      <c r="E30" s="18"/>
      <c r="F30" s="18"/>
      <c r="G30" s="18"/>
      <c r="H30" s="19"/>
    </row>
    <row r="31" ht="15.75" customHeight="1">
      <c r="A31" s="54" t="s">
        <v>208</v>
      </c>
      <c r="B31" s="17"/>
      <c r="C31" s="18"/>
      <c r="D31" s="18"/>
      <c r="E31" s="18"/>
      <c r="F31" s="18"/>
      <c r="G31" s="18"/>
      <c r="H31" s="19"/>
    </row>
    <row r="32" ht="15.75" customHeight="1">
      <c r="A32" s="46" t="s">
        <v>210</v>
      </c>
      <c r="B32" s="18"/>
      <c r="C32" s="18"/>
      <c r="D32" s="18"/>
      <c r="E32" s="18"/>
      <c r="F32" s="18"/>
      <c r="G32" s="18"/>
      <c r="H32" s="19"/>
    </row>
    <row r="33" ht="15.75" customHeight="1">
      <c r="A33" s="64"/>
      <c r="B33" s="48"/>
      <c r="C33" s="48"/>
      <c r="D33" s="48"/>
      <c r="E33" s="48"/>
      <c r="F33" s="48"/>
      <c r="G33" s="48"/>
      <c r="H33" s="49"/>
    </row>
    <row r="34" ht="15.75" customHeight="1">
      <c r="A34" s="60"/>
      <c r="H34" s="61"/>
    </row>
    <row r="35" ht="15.75" customHeight="1">
      <c r="A35" s="50"/>
      <c r="B35" s="51"/>
      <c r="C35" s="51"/>
      <c r="D35" s="51"/>
      <c r="E35" s="51"/>
      <c r="F35" s="51"/>
      <c r="G35" s="51"/>
      <c r="H35" s="52"/>
    </row>
    <row r="36" ht="15.75" customHeight="1">
      <c r="A36" s="46" t="s">
        <v>212</v>
      </c>
      <c r="B36" s="18"/>
      <c r="C36" s="18"/>
      <c r="D36" s="18"/>
      <c r="E36" s="18"/>
      <c r="F36" s="18"/>
      <c r="G36" s="18"/>
      <c r="H36" s="19"/>
    </row>
    <row r="37" ht="15.75" customHeight="1">
      <c r="A37" s="64"/>
      <c r="B37" s="48"/>
      <c r="C37" s="48"/>
      <c r="D37" s="48"/>
      <c r="E37" s="48"/>
      <c r="F37" s="48"/>
      <c r="G37" s="48"/>
      <c r="H37" s="49"/>
    </row>
    <row r="38" ht="15.75" customHeight="1">
      <c r="A38" s="60"/>
      <c r="H38" s="61"/>
    </row>
    <row r="39" ht="15.75" customHeight="1">
      <c r="A39" s="60"/>
      <c r="H39" s="61"/>
    </row>
    <row r="40" ht="15.75" customHeight="1">
      <c r="A40" s="50"/>
      <c r="B40" s="51"/>
      <c r="C40" s="51"/>
      <c r="D40" s="51"/>
      <c r="E40" s="51"/>
      <c r="F40" s="51"/>
      <c r="G40" s="51"/>
      <c r="H40" s="52"/>
    </row>
    <row r="41" ht="15.75" customHeight="1"/>
    <row r="42" ht="15.75" customHeight="1"/>
    <row r="43" ht="15.75" customHeight="1">
      <c r="A43" s="44" t="s">
        <v>225</v>
      </c>
      <c r="E43" s="34" t="s">
        <v>115</v>
      </c>
      <c r="F43" s="45"/>
      <c r="G43" s="34" t="s">
        <v>205</v>
      </c>
      <c r="H43" s="45"/>
    </row>
    <row r="44" ht="15.75" customHeight="1">
      <c r="A44" s="39" t="s">
        <v>219</v>
      </c>
    </row>
    <row r="45" ht="15.75" customHeight="1">
      <c r="A45" s="54" t="s">
        <v>127</v>
      </c>
      <c r="B45" s="17"/>
      <c r="C45" s="18"/>
      <c r="D45" s="18"/>
      <c r="E45" s="18"/>
      <c r="F45" s="18"/>
      <c r="G45" s="18"/>
      <c r="H45" s="19"/>
    </row>
    <row r="46" ht="15.75" customHeight="1">
      <c r="A46" s="54" t="s">
        <v>127</v>
      </c>
      <c r="B46" s="17"/>
      <c r="C46" s="18"/>
      <c r="D46" s="18"/>
      <c r="E46" s="18"/>
      <c r="F46" s="18"/>
      <c r="G46" s="18"/>
      <c r="H46" s="19"/>
    </row>
    <row r="47" ht="15.75" customHeight="1">
      <c r="A47" s="54" t="s">
        <v>127</v>
      </c>
      <c r="B47" s="17"/>
      <c r="C47" s="18"/>
      <c r="D47" s="18"/>
      <c r="E47" s="18"/>
      <c r="F47" s="18"/>
      <c r="G47" s="18"/>
      <c r="H47" s="19"/>
    </row>
    <row r="48" ht="15.75" customHeight="1">
      <c r="A48" s="54" t="s">
        <v>208</v>
      </c>
      <c r="B48" s="17"/>
      <c r="C48" s="18"/>
      <c r="D48" s="18"/>
      <c r="E48" s="18"/>
      <c r="F48" s="18"/>
      <c r="G48" s="18"/>
      <c r="H48" s="19"/>
    </row>
    <row r="49" ht="15.75" customHeight="1">
      <c r="A49" s="46" t="s">
        <v>210</v>
      </c>
      <c r="B49" s="18"/>
      <c r="C49" s="18"/>
      <c r="D49" s="18"/>
      <c r="E49" s="18"/>
      <c r="F49" s="18"/>
      <c r="G49" s="18"/>
      <c r="H49" s="19"/>
    </row>
    <row r="50" ht="15.75" customHeight="1">
      <c r="A50" s="64"/>
      <c r="B50" s="48"/>
      <c r="C50" s="48"/>
      <c r="D50" s="48"/>
      <c r="E50" s="48"/>
      <c r="F50" s="48"/>
      <c r="G50" s="48"/>
      <c r="H50" s="49"/>
    </row>
    <row r="51" ht="15.75" customHeight="1">
      <c r="A51" s="60"/>
      <c r="H51" s="61"/>
    </row>
    <row r="52" ht="15.75" customHeight="1">
      <c r="A52" s="50"/>
      <c r="B52" s="51"/>
      <c r="C52" s="51"/>
      <c r="D52" s="51"/>
      <c r="E52" s="51"/>
      <c r="F52" s="51"/>
      <c r="G52" s="51"/>
      <c r="H52" s="52"/>
    </row>
    <row r="53" ht="15.75" customHeight="1">
      <c r="A53" s="46" t="s">
        <v>212</v>
      </c>
      <c r="B53" s="18"/>
      <c r="C53" s="18"/>
      <c r="D53" s="18"/>
      <c r="E53" s="18"/>
      <c r="F53" s="18"/>
      <c r="G53" s="18"/>
      <c r="H53" s="19"/>
    </row>
    <row r="54" ht="15.75" customHeight="1">
      <c r="A54" s="64"/>
      <c r="B54" s="48"/>
      <c r="C54" s="48"/>
      <c r="D54" s="48"/>
      <c r="E54" s="48"/>
      <c r="F54" s="48"/>
      <c r="G54" s="48"/>
      <c r="H54" s="49"/>
    </row>
    <row r="55" ht="15.75" customHeight="1">
      <c r="A55" s="60"/>
      <c r="H55" s="61"/>
    </row>
    <row r="56" ht="15.75" customHeight="1">
      <c r="A56" s="60"/>
      <c r="H56" s="61"/>
    </row>
    <row r="57" ht="15.75" customHeight="1">
      <c r="A57" s="50"/>
      <c r="B57" s="51"/>
      <c r="C57" s="51"/>
      <c r="D57" s="51"/>
      <c r="E57" s="51"/>
      <c r="F57" s="51"/>
      <c r="G57" s="51"/>
      <c r="H57" s="52"/>
    </row>
    <row r="58" ht="15.75" customHeight="1"/>
    <row r="59" ht="15.75" customHeight="1"/>
    <row r="60" ht="15.75" customHeight="1">
      <c r="A60" s="44" t="s">
        <v>226</v>
      </c>
      <c r="E60" s="34" t="s">
        <v>115</v>
      </c>
      <c r="F60" s="45"/>
      <c r="G60" s="34" t="s">
        <v>205</v>
      </c>
      <c r="H60" s="45"/>
    </row>
    <row r="61" ht="15.75" customHeight="1">
      <c r="A61" s="39" t="s">
        <v>219</v>
      </c>
    </row>
    <row r="62" ht="15.75" customHeight="1">
      <c r="A62" s="54" t="s">
        <v>127</v>
      </c>
      <c r="B62" s="17"/>
      <c r="C62" s="18"/>
      <c r="D62" s="18"/>
      <c r="E62" s="18"/>
      <c r="F62" s="18"/>
      <c r="G62" s="18"/>
      <c r="H62" s="19"/>
    </row>
    <row r="63" ht="15.75" customHeight="1">
      <c r="A63" s="54" t="s">
        <v>127</v>
      </c>
      <c r="B63" s="17"/>
      <c r="C63" s="18"/>
      <c r="D63" s="18"/>
      <c r="E63" s="18"/>
      <c r="F63" s="18"/>
      <c r="G63" s="18"/>
      <c r="H63" s="19"/>
    </row>
    <row r="64" ht="15.75" customHeight="1">
      <c r="A64" s="54" t="s">
        <v>127</v>
      </c>
      <c r="B64" s="17"/>
      <c r="C64" s="18"/>
      <c r="D64" s="18"/>
      <c r="E64" s="18"/>
      <c r="F64" s="18"/>
      <c r="G64" s="18"/>
      <c r="H64" s="19"/>
    </row>
    <row r="65" ht="15.75" customHeight="1">
      <c r="A65" s="54" t="s">
        <v>208</v>
      </c>
      <c r="B65" s="17"/>
      <c r="C65" s="18"/>
      <c r="D65" s="18"/>
      <c r="E65" s="18"/>
      <c r="F65" s="18"/>
      <c r="G65" s="18"/>
      <c r="H65" s="19"/>
    </row>
    <row r="66" ht="15.75" customHeight="1">
      <c r="A66" s="46" t="s">
        <v>210</v>
      </c>
      <c r="B66" s="18"/>
      <c r="C66" s="18"/>
      <c r="D66" s="18"/>
      <c r="E66" s="18"/>
      <c r="F66" s="18"/>
      <c r="G66" s="18"/>
      <c r="H66" s="19"/>
    </row>
    <row r="67" ht="15.75" customHeight="1">
      <c r="A67" s="64"/>
      <c r="B67" s="48"/>
      <c r="C67" s="48"/>
      <c r="D67" s="48"/>
      <c r="E67" s="48"/>
      <c r="F67" s="48"/>
      <c r="G67" s="48"/>
      <c r="H67" s="49"/>
    </row>
    <row r="68" ht="15.75" customHeight="1">
      <c r="A68" s="60"/>
      <c r="H68" s="61"/>
    </row>
    <row r="69" ht="15.75" customHeight="1">
      <c r="A69" s="50"/>
      <c r="B69" s="51"/>
      <c r="C69" s="51"/>
      <c r="D69" s="51"/>
      <c r="E69" s="51"/>
      <c r="F69" s="51"/>
      <c r="G69" s="51"/>
      <c r="H69" s="52"/>
    </row>
    <row r="70" ht="15.75" customHeight="1">
      <c r="A70" s="46" t="s">
        <v>212</v>
      </c>
      <c r="B70" s="18"/>
      <c r="C70" s="18"/>
      <c r="D70" s="18"/>
      <c r="E70" s="18"/>
      <c r="F70" s="18"/>
      <c r="G70" s="18"/>
      <c r="H70" s="19"/>
    </row>
    <row r="71" ht="15.75" customHeight="1">
      <c r="A71" s="64"/>
      <c r="B71" s="48"/>
      <c r="C71" s="48"/>
      <c r="D71" s="48"/>
      <c r="E71" s="48"/>
      <c r="F71" s="48"/>
      <c r="G71" s="48"/>
      <c r="H71" s="49"/>
    </row>
    <row r="72" ht="15.75" customHeight="1">
      <c r="A72" s="60"/>
      <c r="H72" s="61"/>
    </row>
    <row r="73" ht="15.75" customHeight="1">
      <c r="A73" s="60"/>
      <c r="H73" s="61"/>
    </row>
    <row r="74" ht="15.75" customHeight="1">
      <c r="A74" s="50"/>
      <c r="B74" s="51"/>
      <c r="C74" s="51"/>
      <c r="D74" s="51"/>
      <c r="E74" s="51"/>
      <c r="F74" s="51"/>
      <c r="G74" s="51"/>
      <c r="H74" s="52"/>
    </row>
    <row r="75" ht="15.75" customHeight="1"/>
    <row r="76" ht="15.75" customHeight="1"/>
    <row r="77" ht="15.75" customHeight="1">
      <c r="A77" s="44" t="s">
        <v>227</v>
      </c>
      <c r="E77" s="34" t="s">
        <v>115</v>
      </c>
      <c r="F77" s="45"/>
      <c r="G77" s="34" t="s">
        <v>205</v>
      </c>
      <c r="H77" s="45"/>
    </row>
    <row r="78" ht="15.75" customHeight="1">
      <c r="A78" s="39" t="s">
        <v>219</v>
      </c>
    </row>
    <row r="79" ht="15.75" customHeight="1">
      <c r="A79" s="54" t="s">
        <v>127</v>
      </c>
      <c r="B79" s="17"/>
      <c r="C79" s="18"/>
      <c r="D79" s="18"/>
      <c r="E79" s="18"/>
      <c r="F79" s="18"/>
      <c r="G79" s="18"/>
      <c r="H79" s="19"/>
    </row>
    <row r="80" ht="15.75" customHeight="1">
      <c r="A80" s="54" t="s">
        <v>127</v>
      </c>
      <c r="B80" s="17"/>
      <c r="C80" s="18"/>
      <c r="D80" s="18"/>
      <c r="E80" s="18"/>
      <c r="F80" s="18"/>
      <c r="G80" s="18"/>
      <c r="H80" s="19"/>
    </row>
    <row r="81" ht="15.75" customHeight="1">
      <c r="A81" s="54" t="s">
        <v>127</v>
      </c>
      <c r="B81" s="17"/>
      <c r="C81" s="18"/>
      <c r="D81" s="18"/>
      <c r="E81" s="18"/>
      <c r="F81" s="18"/>
      <c r="G81" s="18"/>
      <c r="H81" s="19"/>
    </row>
    <row r="82" ht="15.75" customHeight="1">
      <c r="A82" s="54" t="s">
        <v>208</v>
      </c>
      <c r="B82" s="17"/>
      <c r="C82" s="18"/>
      <c r="D82" s="18"/>
      <c r="E82" s="18"/>
      <c r="F82" s="18"/>
      <c r="G82" s="18"/>
      <c r="H82" s="19"/>
    </row>
    <row r="83" ht="15.75" customHeight="1">
      <c r="A83" s="46" t="s">
        <v>210</v>
      </c>
      <c r="B83" s="18"/>
      <c r="C83" s="18"/>
      <c r="D83" s="18"/>
      <c r="E83" s="18"/>
      <c r="F83" s="18"/>
      <c r="G83" s="18"/>
      <c r="H83" s="19"/>
    </row>
    <row r="84" ht="15.75" customHeight="1">
      <c r="A84" s="64"/>
      <c r="B84" s="48"/>
      <c r="C84" s="48"/>
      <c r="D84" s="48"/>
      <c r="E84" s="48"/>
      <c r="F84" s="48"/>
      <c r="G84" s="48"/>
      <c r="H84" s="49"/>
    </row>
    <row r="85" ht="15.75" customHeight="1">
      <c r="A85" s="60"/>
      <c r="H85" s="61"/>
    </row>
    <row r="86" ht="15.75" customHeight="1">
      <c r="A86" s="50"/>
      <c r="B86" s="51"/>
      <c r="C86" s="51"/>
      <c r="D86" s="51"/>
      <c r="E86" s="51"/>
      <c r="F86" s="51"/>
      <c r="G86" s="51"/>
      <c r="H86" s="52"/>
    </row>
    <row r="87" ht="15.75" customHeight="1">
      <c r="A87" s="46" t="s">
        <v>212</v>
      </c>
      <c r="B87" s="18"/>
      <c r="C87" s="18"/>
      <c r="D87" s="18"/>
      <c r="E87" s="18"/>
      <c r="F87" s="18"/>
      <c r="G87" s="18"/>
      <c r="H87" s="19"/>
    </row>
    <row r="88" ht="15.75" customHeight="1">
      <c r="A88" s="64"/>
      <c r="B88" s="48"/>
      <c r="C88" s="48"/>
      <c r="D88" s="48"/>
      <c r="E88" s="48"/>
      <c r="F88" s="48"/>
      <c r="G88" s="48"/>
      <c r="H88" s="49"/>
    </row>
    <row r="89" ht="15.75" customHeight="1">
      <c r="A89" s="60"/>
      <c r="H89" s="61"/>
    </row>
    <row r="90" ht="15.75" customHeight="1">
      <c r="A90" s="60"/>
      <c r="H90" s="61"/>
    </row>
    <row r="91" ht="15.75" customHeight="1">
      <c r="A91" s="50"/>
      <c r="B91" s="51"/>
      <c r="C91" s="51"/>
      <c r="D91" s="51"/>
      <c r="E91" s="51"/>
      <c r="F91" s="51"/>
      <c r="G91" s="51"/>
      <c r="H91" s="52"/>
    </row>
    <row r="92" ht="15.75" customHeight="1"/>
    <row r="93" ht="15.75" customHeight="1"/>
    <row r="94" ht="15.75" customHeight="1">
      <c r="A94" s="44" t="s">
        <v>228</v>
      </c>
      <c r="E94" s="34" t="s">
        <v>115</v>
      </c>
      <c r="F94" s="45"/>
      <c r="G94" s="34" t="s">
        <v>205</v>
      </c>
      <c r="H94" s="45"/>
    </row>
    <row r="95" ht="15.75" customHeight="1">
      <c r="A95" s="39" t="s">
        <v>219</v>
      </c>
    </row>
    <row r="96" ht="15.75" customHeight="1">
      <c r="A96" s="54" t="s">
        <v>127</v>
      </c>
      <c r="B96" s="17"/>
      <c r="C96" s="18"/>
      <c r="D96" s="18"/>
      <c r="E96" s="18"/>
      <c r="F96" s="18"/>
      <c r="G96" s="18"/>
      <c r="H96" s="19"/>
    </row>
    <row r="97" ht="15.75" customHeight="1">
      <c r="A97" s="54" t="s">
        <v>127</v>
      </c>
      <c r="B97" s="17"/>
      <c r="C97" s="18"/>
      <c r="D97" s="18"/>
      <c r="E97" s="18"/>
      <c r="F97" s="18"/>
      <c r="G97" s="18"/>
      <c r="H97" s="19"/>
    </row>
    <row r="98" ht="15.75" customHeight="1">
      <c r="A98" s="54" t="s">
        <v>127</v>
      </c>
      <c r="B98" s="17"/>
      <c r="C98" s="18"/>
      <c r="D98" s="18"/>
      <c r="E98" s="18"/>
      <c r="F98" s="18"/>
      <c r="G98" s="18"/>
      <c r="H98" s="19"/>
    </row>
    <row r="99" ht="15.75" customHeight="1">
      <c r="A99" s="54" t="s">
        <v>208</v>
      </c>
      <c r="B99" s="17"/>
      <c r="C99" s="18"/>
      <c r="D99" s="18"/>
      <c r="E99" s="18"/>
      <c r="F99" s="18"/>
      <c r="G99" s="18"/>
      <c r="H99" s="19"/>
    </row>
    <row r="100" ht="15.75" customHeight="1">
      <c r="A100" s="46" t="s">
        <v>210</v>
      </c>
      <c r="B100" s="18"/>
      <c r="C100" s="18"/>
      <c r="D100" s="18"/>
      <c r="E100" s="18"/>
      <c r="F100" s="18"/>
      <c r="G100" s="18"/>
      <c r="H100" s="19"/>
    </row>
    <row r="101" ht="15.75" customHeight="1">
      <c r="A101" s="64"/>
      <c r="B101" s="48"/>
      <c r="C101" s="48"/>
      <c r="D101" s="48"/>
      <c r="E101" s="48"/>
      <c r="F101" s="48"/>
      <c r="G101" s="48"/>
      <c r="H101" s="49"/>
    </row>
    <row r="102" ht="15.75" customHeight="1">
      <c r="A102" s="60"/>
      <c r="H102" s="61"/>
    </row>
    <row r="103" ht="15.75" customHeight="1">
      <c r="A103" s="50"/>
      <c r="B103" s="51"/>
      <c r="C103" s="51"/>
      <c r="D103" s="51"/>
      <c r="E103" s="51"/>
      <c r="F103" s="51"/>
      <c r="G103" s="51"/>
      <c r="H103" s="52"/>
    </row>
    <row r="104" ht="15.75" customHeight="1">
      <c r="A104" s="46" t="s">
        <v>212</v>
      </c>
      <c r="B104" s="18"/>
      <c r="C104" s="18"/>
      <c r="D104" s="18"/>
      <c r="E104" s="18"/>
      <c r="F104" s="18"/>
      <c r="G104" s="18"/>
      <c r="H104" s="19"/>
    </row>
    <row r="105" ht="15.75" customHeight="1">
      <c r="A105" s="64"/>
      <c r="B105" s="48"/>
      <c r="C105" s="48"/>
      <c r="D105" s="48"/>
      <c r="E105" s="48"/>
      <c r="F105" s="48"/>
      <c r="G105" s="48"/>
      <c r="H105" s="49"/>
    </row>
    <row r="106" ht="15.75" customHeight="1">
      <c r="A106" s="60"/>
      <c r="H106" s="61"/>
    </row>
    <row r="107" ht="15.75" customHeight="1">
      <c r="A107" s="60"/>
      <c r="H107" s="61"/>
    </row>
    <row r="108" ht="15.75" customHeight="1">
      <c r="A108" s="50"/>
      <c r="B108" s="51"/>
      <c r="C108" s="51"/>
      <c r="D108" s="51"/>
      <c r="E108" s="51"/>
      <c r="F108" s="51"/>
      <c r="G108" s="51"/>
      <c r="H108" s="52"/>
    </row>
    <row r="109" ht="15.75" customHeight="1"/>
    <row r="110" ht="15.75" customHeight="1"/>
    <row r="111" ht="15.75" customHeight="1">
      <c r="A111" s="44" t="s">
        <v>229</v>
      </c>
      <c r="E111" s="34" t="s">
        <v>115</v>
      </c>
      <c r="F111" s="45"/>
      <c r="G111" s="34" t="s">
        <v>205</v>
      </c>
      <c r="H111" s="45"/>
    </row>
    <row r="112" ht="15.75" customHeight="1">
      <c r="A112" s="39" t="s">
        <v>219</v>
      </c>
    </row>
    <row r="113" ht="15.75" customHeight="1">
      <c r="A113" s="54" t="s">
        <v>127</v>
      </c>
      <c r="B113" s="17"/>
      <c r="C113" s="18"/>
      <c r="D113" s="18"/>
      <c r="E113" s="18"/>
      <c r="F113" s="18"/>
      <c r="G113" s="18"/>
      <c r="H113" s="19"/>
    </row>
    <row r="114" ht="15.75" customHeight="1">
      <c r="A114" s="54" t="s">
        <v>127</v>
      </c>
      <c r="B114" s="17"/>
      <c r="C114" s="18"/>
      <c r="D114" s="18"/>
      <c r="E114" s="18"/>
      <c r="F114" s="18"/>
      <c r="G114" s="18"/>
      <c r="H114" s="19"/>
    </row>
    <row r="115" ht="15.75" customHeight="1">
      <c r="A115" s="54" t="s">
        <v>127</v>
      </c>
      <c r="B115" s="17"/>
      <c r="C115" s="18"/>
      <c r="D115" s="18"/>
      <c r="E115" s="18"/>
      <c r="F115" s="18"/>
      <c r="G115" s="18"/>
      <c r="H115" s="19"/>
    </row>
    <row r="116" ht="15.75" customHeight="1">
      <c r="A116" s="54" t="s">
        <v>208</v>
      </c>
      <c r="B116" s="17"/>
      <c r="C116" s="18"/>
      <c r="D116" s="18"/>
      <c r="E116" s="18"/>
      <c r="F116" s="18"/>
      <c r="G116" s="18"/>
      <c r="H116" s="19"/>
    </row>
    <row r="117" ht="15.75" customHeight="1">
      <c r="A117" s="46" t="s">
        <v>210</v>
      </c>
      <c r="B117" s="18"/>
      <c r="C117" s="18"/>
      <c r="D117" s="18"/>
      <c r="E117" s="18"/>
      <c r="F117" s="18"/>
      <c r="G117" s="18"/>
      <c r="H117" s="19"/>
    </row>
    <row r="118" ht="15.75" customHeight="1">
      <c r="A118" s="64"/>
      <c r="B118" s="48"/>
      <c r="C118" s="48"/>
      <c r="D118" s="48"/>
      <c r="E118" s="48"/>
      <c r="F118" s="48"/>
      <c r="G118" s="48"/>
      <c r="H118" s="49"/>
    </row>
    <row r="119" ht="15.75" customHeight="1">
      <c r="A119" s="60"/>
      <c r="H119" s="61"/>
    </row>
    <row r="120" ht="15.75" customHeight="1">
      <c r="A120" s="50"/>
      <c r="B120" s="51"/>
      <c r="C120" s="51"/>
      <c r="D120" s="51"/>
      <c r="E120" s="51"/>
      <c r="F120" s="51"/>
      <c r="G120" s="51"/>
      <c r="H120" s="52"/>
    </row>
    <row r="121" ht="15.75" customHeight="1">
      <c r="A121" s="46" t="s">
        <v>212</v>
      </c>
      <c r="B121" s="18"/>
      <c r="C121" s="18"/>
      <c r="D121" s="18"/>
      <c r="E121" s="18"/>
      <c r="F121" s="18"/>
      <c r="G121" s="18"/>
      <c r="H121" s="19"/>
    </row>
    <row r="122" ht="15.75" customHeight="1">
      <c r="A122" s="64"/>
      <c r="B122" s="48"/>
      <c r="C122" s="48"/>
      <c r="D122" s="48"/>
      <c r="E122" s="48"/>
      <c r="F122" s="48"/>
      <c r="G122" s="48"/>
      <c r="H122" s="49"/>
    </row>
    <row r="123" ht="15.75" customHeight="1">
      <c r="A123" s="60"/>
      <c r="H123" s="61"/>
    </row>
    <row r="124" ht="15.75" customHeight="1">
      <c r="A124" s="60"/>
      <c r="H124" s="61"/>
    </row>
    <row r="125" ht="15.75" customHeight="1">
      <c r="A125" s="50"/>
      <c r="B125" s="51"/>
      <c r="C125" s="51"/>
      <c r="D125" s="51"/>
      <c r="E125" s="51"/>
      <c r="F125" s="51"/>
      <c r="G125" s="51"/>
      <c r="H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2" t="s">
        <v>230</v>
      </c>
    </row>
    <row r="3" ht="15.75" customHeight="1"/>
    <row r="4" ht="15.75" customHeight="1">
      <c r="B4" s="16" t="s">
        <v>1</v>
      </c>
      <c r="C4" s="17" t="str">
        <f>'Diseño'!C4</f>
        <v>972 - Inteligencia Artificial 1</v>
      </c>
      <c r="D4" s="18"/>
      <c r="E4" s="18"/>
      <c r="F4" s="18"/>
      <c r="G4" s="19"/>
    </row>
    <row r="5" ht="15.75" customHeight="1">
      <c r="B5" s="43" t="s">
        <v>73</v>
      </c>
      <c r="C5" s="17">
        <f>H9+H26+H43+H60+H77+H94+H111</f>
        <v>0</v>
      </c>
      <c r="D5" s="18"/>
      <c r="E5" s="18"/>
      <c r="F5" s="18"/>
      <c r="G5" s="19"/>
    </row>
    <row r="6" ht="15.75" customHeight="1">
      <c r="B6" s="43" t="s">
        <v>115</v>
      </c>
      <c r="C6" s="17">
        <f>F9+F26+F43+F60+F77+F94+F111</f>
        <v>0</v>
      </c>
      <c r="D6" s="18"/>
      <c r="E6" s="18"/>
      <c r="F6" s="18"/>
      <c r="G6" s="19"/>
    </row>
    <row r="7" ht="15.75" customHeight="1">
      <c r="B7" s="6" t="s">
        <v>231</v>
      </c>
    </row>
    <row r="8" ht="15.75" customHeight="1"/>
    <row r="9" ht="15.75" customHeight="1">
      <c r="A9" s="44" t="s">
        <v>232</v>
      </c>
      <c r="E9" s="34" t="s">
        <v>115</v>
      </c>
      <c r="F9" s="45"/>
      <c r="G9" s="34" t="s">
        <v>205</v>
      </c>
      <c r="H9" s="45"/>
    </row>
    <row r="10" ht="15.75" customHeight="1">
      <c r="A10" s="6" t="s">
        <v>223</v>
      </c>
    </row>
    <row r="11" ht="15.75" customHeight="1">
      <c r="A11" s="54" t="s">
        <v>127</v>
      </c>
      <c r="B11" s="17"/>
      <c r="C11" s="18"/>
      <c r="D11" s="18"/>
      <c r="E11" s="18"/>
      <c r="F11" s="18"/>
      <c r="G11" s="18"/>
      <c r="H11" s="19"/>
    </row>
    <row r="12" ht="15.75" customHeight="1">
      <c r="A12" s="54" t="s">
        <v>127</v>
      </c>
      <c r="B12" s="17"/>
      <c r="C12" s="18"/>
      <c r="D12" s="18"/>
      <c r="E12" s="18"/>
      <c r="F12" s="18"/>
      <c r="G12" s="18"/>
      <c r="H12" s="19"/>
    </row>
    <row r="13" ht="15.75" customHeight="1">
      <c r="A13" s="54" t="s">
        <v>127</v>
      </c>
      <c r="B13" s="17"/>
      <c r="C13" s="18"/>
      <c r="D13" s="18"/>
      <c r="E13" s="18"/>
      <c r="F13" s="18"/>
      <c r="G13" s="18"/>
      <c r="H13" s="19"/>
    </row>
    <row r="14" ht="15.75" customHeight="1">
      <c r="A14" s="54" t="s">
        <v>208</v>
      </c>
      <c r="B14" s="17"/>
      <c r="C14" s="18"/>
      <c r="D14" s="18"/>
      <c r="E14" s="18"/>
      <c r="F14" s="18"/>
      <c r="G14" s="18"/>
      <c r="H14" s="19"/>
    </row>
    <row r="15" ht="15.75" customHeight="1">
      <c r="A15" s="46" t="s">
        <v>210</v>
      </c>
      <c r="B15" s="18"/>
      <c r="C15" s="18"/>
      <c r="D15" s="18"/>
      <c r="E15" s="18"/>
      <c r="F15" s="18"/>
      <c r="G15" s="18"/>
      <c r="H15" s="19"/>
    </row>
    <row r="16" ht="15.75" customHeight="1">
      <c r="A16" s="64"/>
      <c r="B16" s="48"/>
      <c r="C16" s="48"/>
      <c r="D16" s="48"/>
      <c r="E16" s="48"/>
      <c r="F16" s="48"/>
      <c r="G16" s="48"/>
      <c r="H16" s="49"/>
    </row>
    <row r="17" ht="15.75" customHeight="1">
      <c r="A17" s="60"/>
      <c r="H17" s="61"/>
    </row>
    <row r="18" ht="15.75" customHeight="1">
      <c r="A18" s="50"/>
      <c r="B18" s="51"/>
      <c r="C18" s="51"/>
      <c r="D18" s="51"/>
      <c r="E18" s="51"/>
      <c r="F18" s="51"/>
      <c r="G18" s="51"/>
      <c r="H18" s="52"/>
    </row>
    <row r="19" ht="15.75" customHeight="1">
      <c r="A19" s="46" t="s">
        <v>212</v>
      </c>
      <c r="B19" s="18"/>
      <c r="C19" s="18"/>
      <c r="D19" s="18"/>
      <c r="E19" s="18"/>
      <c r="F19" s="18"/>
      <c r="G19" s="18"/>
      <c r="H19" s="19"/>
    </row>
    <row r="20" ht="15.75" customHeight="1">
      <c r="A20" s="64"/>
      <c r="B20" s="48"/>
      <c r="C20" s="48"/>
      <c r="D20" s="48"/>
      <c r="E20" s="48"/>
      <c r="F20" s="48"/>
      <c r="G20" s="48"/>
      <c r="H20" s="49"/>
    </row>
    <row r="21" ht="15.75" customHeight="1">
      <c r="A21" s="60"/>
      <c r="H21" s="61"/>
    </row>
    <row r="22" ht="15.75" customHeight="1">
      <c r="A22" s="60"/>
      <c r="H22" s="61"/>
    </row>
    <row r="23" ht="15.75" customHeight="1">
      <c r="A23" s="50"/>
      <c r="B23" s="51"/>
      <c r="C23" s="51"/>
      <c r="D23" s="51"/>
      <c r="E23" s="51"/>
      <c r="F23" s="51"/>
      <c r="G23" s="51"/>
      <c r="H23" s="52"/>
    </row>
    <row r="24" ht="15.75" customHeight="1"/>
    <row r="25" ht="15.75" customHeight="1"/>
    <row r="26" ht="15.75" customHeight="1">
      <c r="A26" s="44" t="s">
        <v>233</v>
      </c>
      <c r="E26" s="34" t="s">
        <v>115</v>
      </c>
      <c r="F26" s="45"/>
      <c r="G26" s="34" t="s">
        <v>205</v>
      </c>
      <c r="H26" s="45"/>
    </row>
    <row r="27" ht="15.75" customHeight="1">
      <c r="A27" s="6" t="s">
        <v>223</v>
      </c>
    </row>
    <row r="28" ht="15.75" customHeight="1">
      <c r="A28" s="54" t="s">
        <v>127</v>
      </c>
      <c r="B28" s="17"/>
      <c r="C28" s="18"/>
      <c r="D28" s="18"/>
      <c r="E28" s="18"/>
      <c r="F28" s="18"/>
      <c r="G28" s="18"/>
      <c r="H28" s="19"/>
    </row>
    <row r="29" ht="15.75" customHeight="1">
      <c r="A29" s="54" t="s">
        <v>127</v>
      </c>
      <c r="B29" s="17"/>
      <c r="C29" s="18"/>
      <c r="D29" s="18"/>
      <c r="E29" s="18"/>
      <c r="F29" s="18"/>
      <c r="G29" s="18"/>
      <c r="H29" s="19"/>
    </row>
    <row r="30" ht="15.75" customHeight="1">
      <c r="A30" s="54" t="s">
        <v>127</v>
      </c>
      <c r="B30" s="17"/>
      <c r="C30" s="18"/>
      <c r="D30" s="18"/>
      <c r="E30" s="18"/>
      <c r="F30" s="18"/>
      <c r="G30" s="18"/>
      <c r="H30" s="19"/>
    </row>
    <row r="31" ht="15.75" customHeight="1">
      <c r="A31" s="54" t="s">
        <v>208</v>
      </c>
      <c r="B31" s="17"/>
      <c r="C31" s="18"/>
      <c r="D31" s="18"/>
      <c r="E31" s="18"/>
      <c r="F31" s="18"/>
      <c r="G31" s="18"/>
      <c r="H31" s="19"/>
    </row>
    <row r="32" ht="15.75" customHeight="1">
      <c r="A32" s="46" t="s">
        <v>210</v>
      </c>
      <c r="B32" s="18"/>
      <c r="C32" s="18"/>
      <c r="D32" s="18"/>
      <c r="E32" s="18"/>
      <c r="F32" s="18"/>
      <c r="G32" s="18"/>
      <c r="H32" s="19"/>
    </row>
    <row r="33" ht="15.75" customHeight="1">
      <c r="A33" s="64"/>
      <c r="B33" s="48"/>
      <c r="C33" s="48"/>
      <c r="D33" s="48"/>
      <c r="E33" s="48"/>
      <c r="F33" s="48"/>
      <c r="G33" s="48"/>
      <c r="H33" s="49"/>
    </row>
    <row r="34" ht="15.75" customHeight="1">
      <c r="A34" s="60"/>
      <c r="H34" s="61"/>
    </row>
    <row r="35" ht="15.75" customHeight="1">
      <c r="A35" s="50"/>
      <c r="B35" s="51"/>
      <c r="C35" s="51"/>
      <c r="D35" s="51"/>
      <c r="E35" s="51"/>
      <c r="F35" s="51"/>
      <c r="G35" s="51"/>
      <c r="H35" s="52"/>
    </row>
    <row r="36" ht="15.75" customHeight="1">
      <c r="A36" s="46" t="s">
        <v>212</v>
      </c>
      <c r="B36" s="18"/>
      <c r="C36" s="18"/>
      <c r="D36" s="18"/>
      <c r="E36" s="18"/>
      <c r="F36" s="18"/>
      <c r="G36" s="18"/>
      <c r="H36" s="19"/>
    </row>
    <row r="37" ht="15.75" customHeight="1">
      <c r="A37" s="64"/>
      <c r="B37" s="48"/>
      <c r="C37" s="48"/>
      <c r="D37" s="48"/>
      <c r="E37" s="48"/>
      <c r="F37" s="48"/>
      <c r="G37" s="48"/>
      <c r="H37" s="49"/>
    </row>
    <row r="38" ht="15.75" customHeight="1">
      <c r="A38" s="60"/>
      <c r="H38" s="61"/>
    </row>
    <row r="39" ht="15.75" customHeight="1">
      <c r="A39" s="60"/>
      <c r="H39" s="61"/>
    </row>
    <row r="40" ht="15.75" customHeight="1">
      <c r="A40" s="50"/>
      <c r="B40" s="51"/>
      <c r="C40" s="51"/>
      <c r="D40" s="51"/>
      <c r="E40" s="51"/>
      <c r="F40" s="51"/>
      <c r="G40" s="51"/>
      <c r="H40" s="52"/>
    </row>
    <row r="41" ht="15.75" customHeight="1"/>
    <row r="42" ht="15.75" customHeight="1"/>
    <row r="43" ht="15.75" customHeight="1">
      <c r="A43" s="44" t="s">
        <v>234</v>
      </c>
      <c r="E43" s="34" t="s">
        <v>115</v>
      </c>
      <c r="F43" s="45"/>
      <c r="G43" s="34" t="s">
        <v>205</v>
      </c>
      <c r="H43" s="45"/>
    </row>
    <row r="44" ht="15.75" customHeight="1">
      <c r="A44" s="39" t="s">
        <v>219</v>
      </c>
    </row>
    <row r="45" ht="15.75" customHeight="1">
      <c r="A45" s="54" t="s">
        <v>127</v>
      </c>
      <c r="B45" s="17"/>
      <c r="C45" s="18"/>
      <c r="D45" s="18"/>
      <c r="E45" s="18"/>
      <c r="F45" s="18"/>
      <c r="G45" s="18"/>
      <c r="H45" s="19"/>
    </row>
    <row r="46" ht="15.75" customHeight="1">
      <c r="A46" s="54" t="s">
        <v>127</v>
      </c>
      <c r="B46" s="17"/>
      <c r="C46" s="18"/>
      <c r="D46" s="18"/>
      <c r="E46" s="18"/>
      <c r="F46" s="18"/>
      <c r="G46" s="18"/>
      <c r="H46" s="19"/>
    </row>
    <row r="47" ht="15.75" customHeight="1">
      <c r="A47" s="54" t="s">
        <v>127</v>
      </c>
      <c r="B47" s="17"/>
      <c r="C47" s="18"/>
      <c r="D47" s="18"/>
      <c r="E47" s="18"/>
      <c r="F47" s="18"/>
      <c r="G47" s="18"/>
      <c r="H47" s="19"/>
    </row>
    <row r="48" ht="15.75" customHeight="1">
      <c r="A48" s="54" t="s">
        <v>208</v>
      </c>
      <c r="B48" s="17"/>
      <c r="C48" s="18"/>
      <c r="D48" s="18"/>
      <c r="E48" s="18"/>
      <c r="F48" s="18"/>
      <c r="G48" s="18"/>
      <c r="H48" s="19"/>
    </row>
    <row r="49" ht="15.75" customHeight="1">
      <c r="A49" s="46" t="s">
        <v>210</v>
      </c>
      <c r="B49" s="18"/>
      <c r="C49" s="18"/>
      <c r="D49" s="18"/>
      <c r="E49" s="18"/>
      <c r="F49" s="18"/>
      <c r="G49" s="18"/>
      <c r="H49" s="19"/>
    </row>
    <row r="50" ht="15.75" customHeight="1">
      <c r="A50" s="64"/>
      <c r="B50" s="48"/>
      <c r="C50" s="48"/>
      <c r="D50" s="48"/>
      <c r="E50" s="48"/>
      <c r="F50" s="48"/>
      <c r="G50" s="48"/>
      <c r="H50" s="49"/>
    </row>
    <row r="51" ht="15.75" customHeight="1">
      <c r="A51" s="60"/>
      <c r="H51" s="61"/>
    </row>
    <row r="52" ht="15.75" customHeight="1">
      <c r="A52" s="50"/>
      <c r="B52" s="51"/>
      <c r="C52" s="51"/>
      <c r="D52" s="51"/>
      <c r="E52" s="51"/>
      <c r="F52" s="51"/>
      <c r="G52" s="51"/>
      <c r="H52" s="52"/>
    </row>
    <row r="53" ht="15.75" customHeight="1">
      <c r="A53" s="46" t="s">
        <v>212</v>
      </c>
      <c r="B53" s="18"/>
      <c r="C53" s="18"/>
      <c r="D53" s="18"/>
      <c r="E53" s="18"/>
      <c r="F53" s="18"/>
      <c r="G53" s="18"/>
      <c r="H53" s="19"/>
    </row>
    <row r="54" ht="15.75" customHeight="1">
      <c r="A54" s="64"/>
      <c r="B54" s="48"/>
      <c r="C54" s="48"/>
      <c r="D54" s="48"/>
      <c r="E54" s="48"/>
      <c r="F54" s="48"/>
      <c r="G54" s="48"/>
      <c r="H54" s="49"/>
    </row>
    <row r="55" ht="15.75" customHeight="1">
      <c r="A55" s="60"/>
      <c r="H55" s="61"/>
    </row>
    <row r="56" ht="15.75" customHeight="1">
      <c r="A56" s="60"/>
      <c r="H56" s="61"/>
    </row>
    <row r="57" ht="15.75" customHeight="1">
      <c r="A57" s="50"/>
      <c r="B57" s="51"/>
      <c r="C57" s="51"/>
      <c r="D57" s="51"/>
      <c r="E57" s="51"/>
      <c r="F57" s="51"/>
      <c r="G57" s="51"/>
      <c r="H57" s="52"/>
    </row>
    <row r="58" ht="15.75" customHeight="1"/>
    <row r="59" ht="15.75" customHeight="1"/>
    <row r="60" ht="15.75" customHeight="1">
      <c r="A60" s="44" t="s">
        <v>235</v>
      </c>
      <c r="E60" s="34" t="s">
        <v>115</v>
      </c>
      <c r="F60" s="45"/>
      <c r="G60" s="34" t="s">
        <v>205</v>
      </c>
      <c r="H60" s="45"/>
    </row>
    <row r="61" ht="15.75" customHeight="1">
      <c r="A61" s="39" t="s">
        <v>219</v>
      </c>
    </row>
    <row r="62" ht="15.75" customHeight="1">
      <c r="A62" s="54" t="s">
        <v>127</v>
      </c>
      <c r="B62" s="17"/>
      <c r="C62" s="18"/>
      <c r="D62" s="18"/>
      <c r="E62" s="18"/>
      <c r="F62" s="18"/>
      <c r="G62" s="18"/>
      <c r="H62" s="19"/>
    </row>
    <row r="63" ht="15.75" customHeight="1">
      <c r="A63" s="54" t="s">
        <v>127</v>
      </c>
      <c r="B63" s="17"/>
      <c r="C63" s="18"/>
      <c r="D63" s="18"/>
      <c r="E63" s="18"/>
      <c r="F63" s="18"/>
      <c r="G63" s="18"/>
      <c r="H63" s="19"/>
    </row>
    <row r="64" ht="15.75" customHeight="1">
      <c r="A64" s="54" t="s">
        <v>127</v>
      </c>
      <c r="B64" s="17"/>
      <c r="C64" s="18"/>
      <c r="D64" s="18"/>
      <c r="E64" s="18"/>
      <c r="F64" s="18"/>
      <c r="G64" s="18"/>
      <c r="H64" s="19"/>
    </row>
    <row r="65" ht="15.75" customHeight="1">
      <c r="A65" s="54" t="s">
        <v>208</v>
      </c>
      <c r="B65" s="17"/>
      <c r="C65" s="18"/>
      <c r="D65" s="18"/>
      <c r="E65" s="18"/>
      <c r="F65" s="18"/>
      <c r="G65" s="18"/>
      <c r="H65" s="19"/>
    </row>
    <row r="66" ht="15.75" customHeight="1">
      <c r="A66" s="46" t="s">
        <v>210</v>
      </c>
      <c r="B66" s="18"/>
      <c r="C66" s="18"/>
      <c r="D66" s="18"/>
      <c r="E66" s="18"/>
      <c r="F66" s="18"/>
      <c r="G66" s="18"/>
      <c r="H66" s="19"/>
    </row>
    <row r="67" ht="15.75" customHeight="1">
      <c r="A67" s="64"/>
      <c r="B67" s="48"/>
      <c r="C67" s="48"/>
      <c r="D67" s="48"/>
      <c r="E67" s="48"/>
      <c r="F67" s="48"/>
      <c r="G67" s="48"/>
      <c r="H67" s="49"/>
    </row>
    <row r="68" ht="15.75" customHeight="1">
      <c r="A68" s="60"/>
      <c r="H68" s="61"/>
    </row>
    <row r="69" ht="15.75" customHeight="1">
      <c r="A69" s="50"/>
      <c r="B69" s="51"/>
      <c r="C69" s="51"/>
      <c r="D69" s="51"/>
      <c r="E69" s="51"/>
      <c r="F69" s="51"/>
      <c r="G69" s="51"/>
      <c r="H69" s="52"/>
    </row>
    <row r="70" ht="15.75" customHeight="1">
      <c r="A70" s="46" t="s">
        <v>212</v>
      </c>
      <c r="B70" s="18"/>
      <c r="C70" s="18"/>
      <c r="D70" s="18"/>
      <c r="E70" s="18"/>
      <c r="F70" s="18"/>
      <c r="G70" s="18"/>
      <c r="H70" s="19"/>
    </row>
    <row r="71" ht="15.75" customHeight="1">
      <c r="A71" s="64"/>
      <c r="B71" s="48"/>
      <c r="C71" s="48"/>
      <c r="D71" s="48"/>
      <c r="E71" s="48"/>
      <c r="F71" s="48"/>
      <c r="G71" s="48"/>
      <c r="H71" s="49"/>
    </row>
    <row r="72" ht="15.75" customHeight="1">
      <c r="A72" s="60"/>
      <c r="H72" s="61"/>
    </row>
    <row r="73" ht="15.75" customHeight="1">
      <c r="A73" s="60"/>
      <c r="H73" s="61"/>
    </row>
    <row r="74" ht="15.75" customHeight="1">
      <c r="A74" s="50"/>
      <c r="B74" s="51"/>
      <c r="C74" s="51"/>
      <c r="D74" s="51"/>
      <c r="E74" s="51"/>
      <c r="F74" s="51"/>
      <c r="G74" s="51"/>
      <c r="H74" s="52"/>
    </row>
    <row r="75" ht="15.75" customHeight="1"/>
    <row r="76" ht="15.75" customHeight="1"/>
    <row r="77" ht="15.75" customHeight="1">
      <c r="A77" s="44" t="s">
        <v>236</v>
      </c>
      <c r="E77" s="34" t="s">
        <v>115</v>
      </c>
      <c r="F77" s="45"/>
      <c r="G77" s="34" t="s">
        <v>205</v>
      </c>
      <c r="H77" s="45"/>
    </row>
    <row r="78" ht="15.75" customHeight="1">
      <c r="A78" s="39" t="s">
        <v>219</v>
      </c>
    </row>
    <row r="79" ht="15.75" customHeight="1">
      <c r="A79" s="54" t="s">
        <v>127</v>
      </c>
      <c r="B79" s="17"/>
      <c r="C79" s="18"/>
      <c r="D79" s="18"/>
      <c r="E79" s="18"/>
      <c r="F79" s="18"/>
      <c r="G79" s="18"/>
      <c r="H79" s="19"/>
    </row>
    <row r="80" ht="15.75" customHeight="1">
      <c r="A80" s="54" t="s">
        <v>127</v>
      </c>
      <c r="B80" s="17"/>
      <c r="C80" s="18"/>
      <c r="D80" s="18"/>
      <c r="E80" s="18"/>
      <c r="F80" s="18"/>
      <c r="G80" s="18"/>
      <c r="H80" s="19"/>
    </row>
    <row r="81" ht="15.75" customHeight="1">
      <c r="A81" s="54" t="s">
        <v>127</v>
      </c>
      <c r="B81" s="17"/>
      <c r="C81" s="18"/>
      <c r="D81" s="18"/>
      <c r="E81" s="18"/>
      <c r="F81" s="18"/>
      <c r="G81" s="18"/>
      <c r="H81" s="19"/>
    </row>
    <row r="82" ht="15.75" customHeight="1">
      <c r="A82" s="54" t="s">
        <v>208</v>
      </c>
      <c r="B82" s="17"/>
      <c r="C82" s="18"/>
      <c r="D82" s="18"/>
      <c r="E82" s="18"/>
      <c r="F82" s="18"/>
      <c r="G82" s="18"/>
      <c r="H82" s="19"/>
    </row>
    <row r="83" ht="15.75" customHeight="1">
      <c r="A83" s="46" t="s">
        <v>210</v>
      </c>
      <c r="B83" s="18"/>
      <c r="C83" s="18"/>
      <c r="D83" s="18"/>
      <c r="E83" s="18"/>
      <c r="F83" s="18"/>
      <c r="G83" s="18"/>
      <c r="H83" s="19"/>
    </row>
    <row r="84" ht="15.75" customHeight="1">
      <c r="A84" s="64"/>
      <c r="B84" s="48"/>
      <c r="C84" s="48"/>
      <c r="D84" s="48"/>
      <c r="E84" s="48"/>
      <c r="F84" s="48"/>
      <c r="G84" s="48"/>
      <c r="H84" s="49"/>
    </row>
    <row r="85" ht="15.75" customHeight="1">
      <c r="A85" s="60"/>
      <c r="H85" s="61"/>
    </row>
    <row r="86" ht="15.75" customHeight="1">
      <c r="A86" s="50"/>
      <c r="B86" s="51"/>
      <c r="C86" s="51"/>
      <c r="D86" s="51"/>
      <c r="E86" s="51"/>
      <c r="F86" s="51"/>
      <c r="G86" s="51"/>
      <c r="H86" s="52"/>
    </row>
    <row r="87" ht="15.75" customHeight="1">
      <c r="A87" s="46" t="s">
        <v>212</v>
      </c>
      <c r="B87" s="18"/>
      <c r="C87" s="18"/>
      <c r="D87" s="18"/>
      <c r="E87" s="18"/>
      <c r="F87" s="18"/>
      <c r="G87" s="18"/>
      <c r="H87" s="19"/>
    </row>
    <row r="88" ht="15.75" customHeight="1">
      <c r="A88" s="64"/>
      <c r="B88" s="48"/>
      <c r="C88" s="48"/>
      <c r="D88" s="48"/>
      <c r="E88" s="48"/>
      <c r="F88" s="48"/>
      <c r="G88" s="48"/>
      <c r="H88" s="49"/>
    </row>
    <row r="89" ht="15.75" customHeight="1">
      <c r="A89" s="60"/>
      <c r="H89" s="61"/>
    </row>
    <row r="90" ht="15.75" customHeight="1">
      <c r="A90" s="60"/>
      <c r="H90" s="61"/>
    </row>
    <row r="91" ht="15.75" customHeight="1">
      <c r="A91" s="50"/>
      <c r="B91" s="51"/>
      <c r="C91" s="51"/>
      <c r="D91" s="51"/>
      <c r="E91" s="51"/>
      <c r="F91" s="51"/>
      <c r="G91" s="51"/>
      <c r="H91" s="52"/>
    </row>
    <row r="92" ht="15.75" customHeight="1"/>
    <row r="93" ht="15.75" customHeight="1"/>
    <row r="94" ht="15.75" customHeight="1">
      <c r="A94" s="44" t="s">
        <v>237</v>
      </c>
      <c r="E94" s="34" t="s">
        <v>115</v>
      </c>
      <c r="F94" s="45"/>
      <c r="G94" s="34" t="s">
        <v>205</v>
      </c>
      <c r="H94" s="45"/>
    </row>
    <row r="95" ht="15.75" customHeight="1">
      <c r="A95" s="39" t="s">
        <v>219</v>
      </c>
    </row>
    <row r="96" ht="15.75" customHeight="1">
      <c r="A96" s="54" t="s">
        <v>127</v>
      </c>
      <c r="B96" s="17"/>
      <c r="C96" s="18"/>
      <c r="D96" s="18"/>
      <c r="E96" s="18"/>
      <c r="F96" s="18"/>
      <c r="G96" s="18"/>
      <c r="H96" s="19"/>
    </row>
    <row r="97" ht="15.75" customHeight="1">
      <c r="A97" s="54" t="s">
        <v>127</v>
      </c>
      <c r="B97" s="17"/>
      <c r="C97" s="18"/>
      <c r="D97" s="18"/>
      <c r="E97" s="18"/>
      <c r="F97" s="18"/>
      <c r="G97" s="18"/>
      <c r="H97" s="19"/>
    </row>
    <row r="98" ht="15.75" customHeight="1">
      <c r="A98" s="54" t="s">
        <v>127</v>
      </c>
      <c r="B98" s="17"/>
      <c r="C98" s="18"/>
      <c r="D98" s="18"/>
      <c r="E98" s="18"/>
      <c r="F98" s="18"/>
      <c r="G98" s="18"/>
      <c r="H98" s="19"/>
    </row>
    <row r="99" ht="15.75" customHeight="1">
      <c r="A99" s="54" t="s">
        <v>208</v>
      </c>
      <c r="B99" s="17"/>
      <c r="C99" s="18"/>
      <c r="D99" s="18"/>
      <c r="E99" s="18"/>
      <c r="F99" s="18"/>
      <c r="G99" s="18"/>
      <c r="H99" s="19"/>
    </row>
    <row r="100" ht="15.75" customHeight="1">
      <c r="A100" s="46" t="s">
        <v>210</v>
      </c>
      <c r="B100" s="18"/>
      <c r="C100" s="18"/>
      <c r="D100" s="18"/>
      <c r="E100" s="18"/>
      <c r="F100" s="18"/>
      <c r="G100" s="18"/>
      <c r="H100" s="19"/>
    </row>
    <row r="101" ht="15.75" customHeight="1">
      <c r="A101" s="64"/>
      <c r="B101" s="48"/>
      <c r="C101" s="48"/>
      <c r="D101" s="48"/>
      <c r="E101" s="48"/>
      <c r="F101" s="48"/>
      <c r="G101" s="48"/>
      <c r="H101" s="49"/>
    </row>
    <row r="102" ht="15.75" customHeight="1">
      <c r="A102" s="60"/>
      <c r="H102" s="61"/>
    </row>
    <row r="103" ht="15.75" customHeight="1">
      <c r="A103" s="50"/>
      <c r="B103" s="51"/>
      <c r="C103" s="51"/>
      <c r="D103" s="51"/>
      <c r="E103" s="51"/>
      <c r="F103" s="51"/>
      <c r="G103" s="51"/>
      <c r="H103" s="52"/>
    </row>
    <row r="104" ht="15.75" customHeight="1">
      <c r="A104" s="46" t="s">
        <v>212</v>
      </c>
      <c r="B104" s="18"/>
      <c r="C104" s="18"/>
      <c r="D104" s="18"/>
      <c r="E104" s="18"/>
      <c r="F104" s="18"/>
      <c r="G104" s="18"/>
      <c r="H104" s="19"/>
    </row>
    <row r="105" ht="15.75" customHeight="1">
      <c r="A105" s="64"/>
      <c r="B105" s="48"/>
      <c r="C105" s="48"/>
      <c r="D105" s="48"/>
      <c r="E105" s="48"/>
      <c r="F105" s="48"/>
      <c r="G105" s="48"/>
      <c r="H105" s="49"/>
    </row>
    <row r="106" ht="15.75" customHeight="1">
      <c r="A106" s="60"/>
      <c r="H106" s="61"/>
    </row>
    <row r="107" ht="15.75" customHeight="1">
      <c r="A107" s="60"/>
      <c r="H107" s="61"/>
    </row>
    <row r="108" ht="15.75" customHeight="1">
      <c r="A108" s="50"/>
      <c r="B108" s="51"/>
      <c r="C108" s="51"/>
      <c r="D108" s="51"/>
      <c r="E108" s="51"/>
      <c r="F108" s="51"/>
      <c r="G108" s="51"/>
      <c r="H108" s="52"/>
    </row>
    <row r="109" ht="15.75" customHeight="1"/>
    <row r="110" ht="15.75" customHeight="1"/>
    <row r="111" ht="15.75" customHeight="1">
      <c r="A111" s="44" t="s">
        <v>238</v>
      </c>
      <c r="E111" s="34" t="s">
        <v>115</v>
      </c>
      <c r="F111" s="45"/>
      <c r="G111" s="34" t="s">
        <v>205</v>
      </c>
      <c r="H111" s="45"/>
    </row>
    <row r="112" ht="15.75" customHeight="1">
      <c r="A112" s="39" t="s">
        <v>219</v>
      </c>
    </row>
    <row r="113" ht="15.75" customHeight="1">
      <c r="A113" s="54" t="s">
        <v>127</v>
      </c>
      <c r="B113" s="17"/>
      <c r="C113" s="18"/>
      <c r="D113" s="18"/>
      <c r="E113" s="18"/>
      <c r="F113" s="18"/>
      <c r="G113" s="18"/>
      <c r="H113" s="19"/>
    </row>
    <row r="114" ht="15.75" customHeight="1">
      <c r="A114" s="54" t="s">
        <v>127</v>
      </c>
      <c r="B114" s="17"/>
      <c r="C114" s="18"/>
      <c r="D114" s="18"/>
      <c r="E114" s="18"/>
      <c r="F114" s="18"/>
      <c r="G114" s="18"/>
      <c r="H114" s="19"/>
    </row>
    <row r="115" ht="15.75" customHeight="1">
      <c r="A115" s="54" t="s">
        <v>127</v>
      </c>
      <c r="B115" s="17"/>
      <c r="C115" s="18"/>
      <c r="D115" s="18"/>
      <c r="E115" s="18"/>
      <c r="F115" s="18"/>
      <c r="G115" s="18"/>
      <c r="H115" s="19"/>
    </row>
    <row r="116" ht="15.75" customHeight="1">
      <c r="A116" s="54" t="s">
        <v>208</v>
      </c>
      <c r="B116" s="17"/>
      <c r="C116" s="18"/>
      <c r="D116" s="18"/>
      <c r="E116" s="18"/>
      <c r="F116" s="18"/>
      <c r="G116" s="18"/>
      <c r="H116" s="19"/>
    </row>
    <row r="117" ht="15.75" customHeight="1">
      <c r="A117" s="46" t="s">
        <v>210</v>
      </c>
      <c r="B117" s="18"/>
      <c r="C117" s="18"/>
      <c r="D117" s="18"/>
      <c r="E117" s="18"/>
      <c r="F117" s="18"/>
      <c r="G117" s="18"/>
      <c r="H117" s="19"/>
    </row>
    <row r="118" ht="15.75" customHeight="1">
      <c r="A118" s="64"/>
      <c r="B118" s="48"/>
      <c r="C118" s="48"/>
      <c r="D118" s="48"/>
      <c r="E118" s="48"/>
      <c r="F118" s="48"/>
      <c r="G118" s="48"/>
      <c r="H118" s="49"/>
    </row>
    <row r="119" ht="15.75" customHeight="1">
      <c r="A119" s="60"/>
      <c r="H119" s="61"/>
    </row>
    <row r="120" ht="15.75" customHeight="1">
      <c r="A120" s="50"/>
      <c r="B120" s="51"/>
      <c r="C120" s="51"/>
      <c r="D120" s="51"/>
      <c r="E120" s="51"/>
      <c r="F120" s="51"/>
      <c r="G120" s="51"/>
      <c r="H120" s="52"/>
    </row>
    <row r="121" ht="15.75" customHeight="1">
      <c r="A121" s="46" t="s">
        <v>212</v>
      </c>
      <c r="B121" s="18"/>
      <c r="C121" s="18"/>
      <c r="D121" s="18"/>
      <c r="E121" s="18"/>
      <c r="F121" s="18"/>
      <c r="G121" s="18"/>
      <c r="H121" s="19"/>
    </row>
    <row r="122" ht="15.75" customHeight="1">
      <c r="A122" s="64"/>
      <c r="B122" s="48"/>
      <c r="C122" s="48"/>
      <c r="D122" s="48"/>
      <c r="E122" s="48"/>
      <c r="F122" s="48"/>
      <c r="G122" s="48"/>
      <c r="H122" s="49"/>
    </row>
    <row r="123" ht="15.75" customHeight="1">
      <c r="A123" s="60"/>
      <c r="H123" s="61"/>
    </row>
    <row r="124" ht="15.75" customHeight="1">
      <c r="A124" s="60"/>
      <c r="H124" s="61"/>
    </row>
    <row r="125" ht="15.75" customHeight="1">
      <c r="A125" s="50"/>
      <c r="B125" s="51"/>
      <c r="C125" s="51"/>
      <c r="D125" s="51"/>
      <c r="E125" s="51"/>
      <c r="F125" s="51"/>
      <c r="G125" s="51"/>
      <c r="H125" s="52"/>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5"/>
    </row>
    <row r="2" ht="15.75" customHeight="1">
      <c r="A2" s="15"/>
      <c r="B2" s="42" t="s">
        <v>239</v>
      </c>
    </row>
    <row r="3" ht="15.75" customHeight="1">
      <c r="A3" s="15"/>
    </row>
    <row r="4" ht="15.75" customHeight="1">
      <c r="A4" s="15"/>
      <c r="B4" s="3" t="s">
        <v>1</v>
      </c>
      <c r="C4" s="3" t="str">
        <f>'Diseño'!C4</f>
        <v>972 - Inteligencia Artificial 1</v>
      </c>
    </row>
    <row r="5" ht="15.75" customHeight="1">
      <c r="A5" s="15"/>
      <c r="B5" s="15" t="s">
        <v>3</v>
      </c>
      <c r="C5" s="5" t="s">
        <v>4</v>
      </c>
    </row>
    <row r="6" ht="33.75" customHeight="1">
      <c r="A6" s="15"/>
      <c r="B6" s="15" t="s">
        <v>240</v>
      </c>
      <c r="H6" s="70"/>
    </row>
    <row r="7" ht="15.75" customHeight="1">
      <c r="A7" s="15"/>
    </row>
    <row r="8" ht="15.75" customHeight="1">
      <c r="A8" s="15"/>
    </row>
    <row r="9" ht="15.75" customHeight="1">
      <c r="A9" s="34" t="s">
        <v>241</v>
      </c>
      <c r="B9" s="71">
        <v>8.0</v>
      </c>
      <c r="D9" s="34" t="s">
        <v>202</v>
      </c>
      <c r="E9" s="71">
        <v>2.0</v>
      </c>
      <c r="F9" s="72"/>
      <c r="G9" s="72"/>
      <c r="H9" s="72"/>
      <c r="I9" s="72"/>
      <c r="J9" s="72"/>
      <c r="K9" s="72"/>
      <c r="L9" s="72"/>
      <c r="M9" s="72"/>
      <c r="N9" s="72"/>
      <c r="O9" s="72"/>
      <c r="P9" s="72"/>
      <c r="Q9" s="72"/>
      <c r="R9" s="72"/>
      <c r="S9" s="72"/>
      <c r="T9" s="72"/>
      <c r="U9" s="72"/>
      <c r="V9" s="72"/>
      <c r="W9" s="72"/>
      <c r="X9" s="72"/>
      <c r="Y9" s="72"/>
      <c r="Z9" s="72"/>
    </row>
    <row r="10" ht="36.0" customHeight="1">
      <c r="A10" s="73" t="s">
        <v>242</v>
      </c>
      <c r="D10" s="73" t="s">
        <v>243</v>
      </c>
    </row>
    <row r="11" ht="15.75" customHeight="1">
      <c r="A11" s="74"/>
      <c r="B11" s="75"/>
      <c r="C11" s="75"/>
      <c r="D11" s="75"/>
    </row>
    <row r="12" ht="15.75" customHeight="1">
      <c r="A12" s="76" t="s">
        <v>146</v>
      </c>
      <c r="B12" s="77" t="s">
        <v>244</v>
      </c>
      <c r="C12" s="77" t="s">
        <v>245</v>
      </c>
      <c r="D12" s="77" t="s">
        <v>246</v>
      </c>
    </row>
    <row r="13" ht="44.25" customHeight="1">
      <c r="A13" s="43" t="s">
        <v>247</v>
      </c>
      <c r="B13" s="58">
        <v>30.0</v>
      </c>
      <c r="C13" s="20"/>
      <c r="D13" s="20"/>
      <c r="E13" s="73" t="s">
        <v>248</v>
      </c>
    </row>
    <row r="14" ht="15.75" customHeight="1">
      <c r="A14" s="43" t="s">
        <v>202</v>
      </c>
      <c r="B14" s="20">
        <f>Proyectos!C6</f>
        <v>70</v>
      </c>
      <c r="C14" s="20">
        <f>Proyectos!C5</f>
        <v>108</v>
      </c>
      <c r="D14" s="20"/>
    </row>
    <row r="15" ht="15.75" customHeight="1">
      <c r="A15" s="43" t="s">
        <v>220</v>
      </c>
      <c r="B15" s="20">
        <f>Practicas!C6</f>
        <v>0</v>
      </c>
      <c r="C15" s="20">
        <f>Practicas!C5</f>
        <v>0</v>
      </c>
      <c r="D15" s="20"/>
    </row>
    <row r="16" ht="15.75" customHeight="1">
      <c r="A16" s="43" t="s">
        <v>230</v>
      </c>
      <c r="B16" s="20">
        <f>Tareas!C6</f>
        <v>0</v>
      </c>
      <c r="C16" s="20">
        <f>Tareas!C5</f>
        <v>0</v>
      </c>
      <c r="D16" s="20"/>
    </row>
    <row r="17" ht="15.75" customHeight="1">
      <c r="A17" s="78" t="s">
        <v>249</v>
      </c>
      <c r="B17" s="79">
        <f t="shared" ref="B17:C17" si="1">SUM(B13:B16)</f>
        <v>100</v>
      </c>
      <c r="C17" s="79">
        <f t="shared" si="1"/>
        <v>108</v>
      </c>
      <c r="D17" s="79"/>
    </row>
    <row r="18" ht="15.75" customHeight="1">
      <c r="A18" s="15"/>
    </row>
    <row r="19" ht="15.75" customHeight="1">
      <c r="A19" s="15"/>
    </row>
    <row r="20" ht="15.75" customHeight="1">
      <c r="A20" s="15"/>
    </row>
    <row r="21" ht="15.75" customHeight="1">
      <c r="A21" s="15"/>
    </row>
    <row r="22" ht="15.75" customHeight="1">
      <c r="A22" s="15"/>
    </row>
    <row r="23" ht="15.75" customHeight="1">
      <c r="A23" s="15"/>
    </row>
    <row r="24" ht="15.75" customHeight="1">
      <c r="A24" s="15"/>
    </row>
    <row r="25" ht="15.75" customHeight="1">
      <c r="A25" s="15"/>
    </row>
    <row r="26" ht="15.75" customHeight="1">
      <c r="A26" s="15"/>
    </row>
    <row r="27" ht="15.75" customHeight="1">
      <c r="A27" s="15"/>
    </row>
    <row r="28" ht="15.75" customHeight="1">
      <c r="A28" s="15"/>
    </row>
    <row r="29" ht="15.75" customHeight="1">
      <c r="A29" s="15"/>
    </row>
    <row r="30" ht="15.75" customHeight="1">
      <c r="A30" s="15"/>
    </row>
    <row r="31" ht="15.75" customHeight="1">
      <c r="A31" s="15"/>
    </row>
    <row r="32" ht="15.75" customHeight="1">
      <c r="A32" s="15"/>
    </row>
    <row r="33" ht="15.75" customHeight="1">
      <c r="A33" s="15"/>
    </row>
    <row r="34" ht="15.75" customHeight="1">
      <c r="A34" s="15"/>
    </row>
    <row r="35" ht="15.75" customHeight="1">
      <c r="A35" s="15"/>
    </row>
    <row r="36" ht="15.75" customHeight="1">
      <c r="A36" s="15"/>
    </row>
    <row r="37" ht="15.75" customHeight="1">
      <c r="A37" s="15"/>
    </row>
    <row r="38" ht="15.75" customHeight="1">
      <c r="A38" s="15"/>
    </row>
    <row r="39" ht="15.75" customHeight="1">
      <c r="A39" s="15"/>
    </row>
    <row r="40" ht="15.75" customHeight="1">
      <c r="A40" s="15"/>
    </row>
    <row r="41" ht="15.75" customHeight="1">
      <c r="A41" s="15"/>
    </row>
    <row r="42" ht="15.75" customHeight="1">
      <c r="A42" s="15"/>
    </row>
    <row r="43" ht="15.75" customHeight="1">
      <c r="A43" s="15"/>
    </row>
    <row r="44" ht="15.75" customHeight="1">
      <c r="A44" s="15"/>
    </row>
    <row r="45" ht="15.75" customHeight="1">
      <c r="A45" s="15"/>
    </row>
    <row r="46" ht="15.75" customHeight="1">
      <c r="A46" s="15"/>
    </row>
    <row r="47" ht="15.75" customHeight="1">
      <c r="A47" s="15"/>
    </row>
    <row r="48" ht="15.75" customHeight="1">
      <c r="A48" s="15"/>
    </row>
    <row r="49" ht="15.75" customHeight="1">
      <c r="A49" s="15"/>
    </row>
    <row r="50" ht="15.75" customHeight="1">
      <c r="A50" s="15"/>
    </row>
    <row r="51" ht="15.75" customHeight="1">
      <c r="A51" s="15"/>
    </row>
    <row r="52" ht="15.75" customHeight="1">
      <c r="A52" s="15"/>
    </row>
    <row r="53" ht="15.75" customHeight="1">
      <c r="A53" s="15"/>
    </row>
    <row r="54" ht="15.75" customHeight="1">
      <c r="A54" s="15"/>
    </row>
    <row r="55" ht="15.75" customHeight="1">
      <c r="A55" s="15"/>
    </row>
    <row r="56" ht="15.75" customHeight="1">
      <c r="A56" s="15"/>
    </row>
    <row r="57" ht="15.75" customHeight="1">
      <c r="A57" s="15"/>
    </row>
    <row r="58" ht="15.75" customHeight="1">
      <c r="A58" s="15"/>
    </row>
    <row r="59" ht="15.75" customHeight="1">
      <c r="A59" s="15"/>
    </row>
    <row r="60" ht="15.75" customHeight="1">
      <c r="A60" s="15"/>
    </row>
    <row r="61" ht="15.75" customHeight="1">
      <c r="A61" s="15"/>
    </row>
    <row r="62" ht="15.75" customHeight="1">
      <c r="A62" s="15"/>
    </row>
    <row r="63" ht="15.75" customHeight="1">
      <c r="A63" s="15"/>
    </row>
    <row r="64" ht="15.75" customHeight="1">
      <c r="A64" s="15"/>
    </row>
    <row r="65" ht="15.75" customHeight="1">
      <c r="A65" s="15"/>
    </row>
    <row r="66" ht="15.75" customHeight="1">
      <c r="A66" s="15"/>
    </row>
    <row r="67" ht="15.75" customHeight="1">
      <c r="A67" s="15"/>
    </row>
    <row r="68" ht="15.75" customHeight="1">
      <c r="A68" s="15"/>
    </row>
    <row r="69" ht="15.75" customHeight="1">
      <c r="A69" s="15"/>
    </row>
    <row r="70" ht="15.75" customHeight="1">
      <c r="A70" s="15"/>
    </row>
    <row r="71" ht="15.75" customHeight="1">
      <c r="A71" s="15"/>
    </row>
    <row r="72" ht="15.75" customHeight="1">
      <c r="A72" s="15"/>
    </row>
    <row r="73" ht="15.75" customHeight="1">
      <c r="A73" s="15"/>
    </row>
    <row r="74" ht="15.75" customHeight="1">
      <c r="A74" s="15"/>
    </row>
    <row r="75" ht="15.75" customHeight="1">
      <c r="A75" s="15"/>
    </row>
    <row r="76" ht="15.75" customHeight="1">
      <c r="A76" s="15"/>
    </row>
    <row r="77" ht="15.75" customHeight="1">
      <c r="A77" s="15"/>
    </row>
    <row r="78" ht="15.75" customHeight="1">
      <c r="A78" s="15"/>
    </row>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IFERROR(__xludf.DUMMYFUNCTION("""COMPUTED_VALUE"""),"General")</f>
        <v>General</v>
      </c>
      <c r="J1" s="5" t="str">
        <f>IFERROR(__xludf.DUMMYFUNCTION("""COMPUTED_VALUE"""),"mejora")</f>
        <v>mejora</v>
      </c>
      <c r="K1" s="5" t="str">
        <f>IFERROR(__xludf.DUMMYFUNCTION("""COMPUTED_VALUE"""),"la eficiencia y realismo en simulaciones robóticas")</f>
        <v>la eficiencia y realismo en simulaciones robóticas</v>
      </c>
      <c r="L1" s="5"/>
      <c r="M1" s="5" t="str">
        <f>IFERROR(__xludf.DUMMYFUNCTION("""COMPUTED_VALUE"""),"mediante ajuste de parámetros, uso de bibliotecas de control y pruebas iterativas")</f>
        <v>mediante ajuste de parámetros, uso de bibliotecas de control y pruebas iterativas</v>
      </c>
      <c r="N1" s="5" t="str">
        <f>IFERROR(__xludf.DUMMYFUNCTION("""COMPUTED_VALUE"""),"para aumentar la precisión, eficiencia y realismo de entornos virtuales")</f>
        <v>para aumentar la precisión, eficiencia y realismo de entornos virtuales</v>
      </c>
      <c r="O1" s="5"/>
      <c r="P1" s="5" t="str">
        <f>IFERROR(__xludf.DUMMYFUNCTION("""COMPUTED_VALUE"""),"Crear")</f>
        <v>Crear</v>
      </c>
    </row>
    <row r="2" ht="15.75" customHeight="1">
      <c r="A2" s="5" t="str">
        <f>IFERROR(__xludf.DUMMYFUNCTION("""COMPUTED_VALUE"""),"17 - Área Social Humanística 1")</f>
        <v>17 - Área Social Humanística 1</v>
      </c>
      <c r="B2" s="5"/>
      <c r="C2" s="5"/>
      <c r="D2" s="5"/>
      <c r="E2" s="5"/>
      <c r="H2" s="5"/>
      <c r="I2" s="5" t="str">
        <f>IFERROR(__xludf.DUMMYFUNCTION("""COMPUTED_VALUE"""),"mejora la eficiencia y realismo en simulaciones robóticas mediante ajuste de parámetros, uso de bibliotecas de control y pruebas iterativas para aumentar la precisión, eficiencia y realismo de entornos virtuales ")</f>
        <v>mejora la eficiencia y realismo en simulaciones robóticas mediante ajuste de parámetros, uso de bibliotecas de control y pruebas iterativas para aumentar la precisión, eficiencia y realismo de entornos virtuales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IFERROR(__xludf.DUMMYFUNCTION("""COMPUTED_VALUE"""),"General")</f>
        <v>General</v>
      </c>
      <c r="J3" s="5" t="str">
        <f>IFERROR(__xludf.DUMMYFUNCTION("""COMPUTED_VALUE"""),"Integra")</f>
        <v>Integra</v>
      </c>
      <c r="K3" s="5" t="str">
        <f>IFERROR(__xludf.DUMMYFUNCTION("""COMPUTED_VALUE"""),"fundamentos de lógica, realidad aumentada y simulación robótica")</f>
        <v>fundamentos de lógica, realidad aumentada y simulación robótica</v>
      </c>
      <c r="L3" s="5"/>
      <c r="M3" s="5" t="str">
        <f>IFERROR(__xludf.DUMMYFUNCTION("""COMPUTED_VALUE"""),"mediante el uso de entornos de desarrollo")</f>
        <v>mediante el uso de entornos de desarrollo</v>
      </c>
      <c r="N3" s="5" t="str">
        <f>IFERROR(__xludf.DUMMYFUNCTION("""COMPUTED_VALUE"""),"para resolver problemas relacionados a inferencia, interacción digital y simulación de comportamientos autónomos")</f>
        <v>para resolver problemas relacionados a inferencia, interacción digital y simulación de comportamientos autónomos</v>
      </c>
      <c r="O3" s="5"/>
      <c r="P3" s="5" t="str">
        <f>IFERROR(__xludf.DUMMYFUNCTION("""COMPUTED_VALUE"""),"Analizar")</f>
        <v>Analizar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IFERROR(__xludf.DUMMYFUNCTION("""COMPUTED_VALUE"""),"Integra fundamentos de lógica, realidad aumentada y simulación robótica mediante el uso de entornos de desarrollo para resolver problemas relacionados a inferencia, interacción digital y simulación de comportamientos autónomos ")</f>
        <v>Integra fundamentos de lógica, realidad aumentada y simulación robótica mediante el uso de entornos de desarrollo para resolver problemas relacionados a inferencia, interacción digital y simulación de comportamientos autónomos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IFERROR(__xludf.DUMMYFUNCTION("""COMPUTED_VALUE"""),"implementa")</f>
        <v>implementa</v>
      </c>
      <c r="K5" s="5" t="str">
        <f>IFERROR(__xludf.DUMMYFUNCTION("""COMPUTED_VALUE"""),"soluciones de inteligencia artificial")</f>
        <v>soluciones de inteligencia artificial</v>
      </c>
      <c r="L5" s="5"/>
      <c r="M5" s="5" t="str">
        <f>IFERROR(__xludf.DUMMYFUNCTION("""COMPUTED_VALUE"""),"empleando técnicas de inferencia lógica, diseño de entornos virtuales y control de robots")</f>
        <v>empleando técnicas de inferencia lógica, diseño de entornos virtuales y control de robots</v>
      </c>
      <c r="N5" s="5" t="str">
        <f>IFERROR(__xludf.DUMMYFUNCTION("""COMPUTED_VALUE"""),"en distintos escenarios de optimización, clasificación y toma de decisiones")</f>
        <v>en distintos escenarios de optimización, clasificación y toma de decisiones</v>
      </c>
      <c r="O5" s="5"/>
      <c r="P5" s="5" t="str">
        <f>IFERROR(__xludf.DUMMYFUNCTION("""COMPUTED_VALUE"""),"Aplicar")</f>
        <v>Aplicar</v>
      </c>
    </row>
    <row r="6" ht="15.75" customHeight="1">
      <c r="A6" s="5" t="str">
        <f>IFERROR(__xludf.DUMMYFUNCTION("""COMPUTED_VALUE"""),"6 - Idioma Tecnico 1")</f>
        <v>6 - Idioma Tecnico 1</v>
      </c>
      <c r="B6" s="5"/>
      <c r="C6" s="5"/>
      <c r="D6" s="5"/>
      <c r="E6" s="5"/>
      <c r="H6" s="5"/>
      <c r="I6" s="5" t="str">
        <f>IFERROR(__xludf.DUMMYFUNCTION("""COMPUTED_VALUE"""),"implementa soluciones de inteligencia artificial empleando técnicas de inferencia lógica, diseño de entornos virtuales y control de robots en distintos escenarios de optimización, clasificación y toma de decisiones ")</f>
        <v>implementa soluciones de inteligencia artificial empleando técnicas de inferencia lógica, diseño de entornos virtuales y control de robots en distintos escenarios de optimización, clasificación y toma de decisiones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IFERROR(__xludf.DUMMYFUNCTION("""COMPUTED_VALUE"""),"desarrolla")</f>
        <v>desarrolla</v>
      </c>
      <c r="K7" s="5" t="str">
        <f>IFERROR(__xludf.DUMMYFUNCTION("""COMPUTED_VALUE"""),"hechos, reglas, expresiones y predicados recursivos")</f>
        <v>hechos, reglas, expresiones y predicados recursivos</v>
      </c>
      <c r="L7" s="5"/>
      <c r="M7" s="5" t="str">
        <f>IFERROR(__xludf.DUMMYFUNCTION("""COMPUTED_VALUE"""),"mediante el uso de cláusulas, ciclos, listas, unificación y cortes en Prolog")</f>
        <v>mediante el uso de cláusulas, ciclos, listas, unificación y cortes en Prolog</v>
      </c>
      <c r="N7" s="5" t="str">
        <f>IFERROR(__xludf.DUMMYFUNCTION("""COMPUTED_VALUE"""),"para modelar bases de conocimiento y resolver problemas de inferencia lógica")</f>
        <v>para modelar bases de conocimiento y resolver problemas de inferencia lógica</v>
      </c>
      <c r="O7" s="5"/>
      <c r="P7" s="5" t="str">
        <f>IFERROR(__xludf.DUMMYFUNCTION("""COMPUTED_VALUE"""),"Crear")</f>
        <v>Crear</v>
      </c>
    </row>
    <row r="8" ht="15.75" customHeight="1">
      <c r="A8" s="5" t="str">
        <f>IFERROR(__xludf.DUMMYFUNCTION("""COMPUTED_VALUE"""),"103 - Área Matemática Básica 2")</f>
        <v>103 - Área Matemática Básica 2</v>
      </c>
      <c r="B8" s="5"/>
      <c r="C8" s="5"/>
      <c r="D8" s="5"/>
      <c r="E8" s="5"/>
      <c r="H8" s="5"/>
      <c r="I8" s="5" t="str">
        <f>IFERROR(__xludf.DUMMYFUNCTION("""COMPUTED_VALUE"""),"desarrolla hechos, reglas, expresiones y predicados recursivos mediante el uso de cláusulas, ciclos, listas, unificación y cortes en Prolog para modelar bases de conocimiento y resolver problemas de inferencia lógica ")</f>
        <v>desarrolla hechos, reglas, expresiones y predicados recursivos mediante el uso de cláusulas, ciclos, listas, unificación y cortes en Prolog para modelar bases de conocimiento y resolver problemas de inferencia lógica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IFERROR(__xludf.DUMMYFUNCTION("""COMPUTED_VALUE"""),"evalúa")</f>
        <v>evalúa</v>
      </c>
      <c r="K9" s="5" t="str">
        <f>IFERROR(__xludf.DUMMYFUNCTION("""COMPUTED_VALUE"""),"plataformas de realidad aumentada")</f>
        <v>plataformas de realidad aumentada</v>
      </c>
      <c r="L9" s="5"/>
      <c r="M9" s="5" t="str">
        <f>IFERROR(__xludf.DUMMYFUNCTION("""COMPUTED_VALUE"""),"usando criterios de compatibilidad, usabilidad y eficiencia")</f>
        <v>usando criterios de compatibilidad, usabilidad y eficiencia</v>
      </c>
      <c r="N9" s="5" t="str">
        <f>IFERROR(__xludf.DUMMYFUNCTION("""COMPUTED_VALUE"""),"bajo escenarios de prueba en dispositivos móviles y navegadores web")</f>
        <v>bajo escenarios de prueba en dispositivos móviles y navegadores web</v>
      </c>
      <c r="O9" s="5"/>
      <c r="P9" s="5" t="str">
        <f>IFERROR(__xludf.DUMMYFUNCTION("""COMPUTED_VALUE"""),"Analizar")</f>
        <v>Analizar</v>
      </c>
    </row>
    <row r="10" ht="15.75" customHeight="1">
      <c r="A10" s="5" t="str">
        <f>IFERROR(__xludf.DUMMYFUNCTION("""COMPUTED_VALUE"""),"147 - Física Básica")</f>
        <v>147 - Física Básica</v>
      </c>
      <c r="B10" s="5"/>
      <c r="C10" s="5"/>
      <c r="D10" s="5"/>
      <c r="E10" s="5"/>
      <c r="H10" s="5"/>
      <c r="I10" s="5" t="str">
        <f>IFERROR(__xludf.DUMMYFUNCTION("""COMPUTED_VALUE"""),"evalúa plataformas de realidad aumentada usando criterios de compatibilidad, usabilidad y eficiencia bajo escenarios de prueba en dispositivos móviles y navegadores web ")</f>
        <v>evalúa plataformas de realidad aumentada usando criterios de compatibilidad, usabilidad y eficiencia bajo escenarios de prueba en dispositivos móviles y navegadores web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IFERROR(__xludf.DUMMYFUNCTION("""COMPUTED_VALUE"""),"crea")</f>
        <v>crea</v>
      </c>
      <c r="K11" s="5" t="str">
        <f>IFERROR(__xludf.DUMMYFUNCTION("""COMPUTED_VALUE"""),"aplicaciones de realidad aumentada con contenido digital interactivo")</f>
        <v>aplicaciones de realidad aumentada con contenido digital interactivo</v>
      </c>
      <c r="L11" s="5"/>
      <c r="M11" s="5" t="str">
        <f>IFERROR(__xludf.DUMMYFUNCTION("""COMPUTED_VALUE"""),"mediante el uso de bibliotecas y técnicas de diseño de experiencias")</f>
        <v>mediante el uso de bibliotecas y técnicas de diseño de experiencias</v>
      </c>
      <c r="N11" s="5" t="str">
        <f>IFERROR(__xludf.DUMMYFUNCTION("""COMPUTED_VALUE"""),"para integrar información virtual en el mundo real de forma efectiva y funcional")</f>
        <v>para integrar información virtual en el mundo real de forma efectiva y funcional</v>
      </c>
      <c r="O11" s="5"/>
      <c r="P11" s="5" t="str">
        <f>IFERROR(__xludf.DUMMYFUNCTION("""COMPUTED_VALUE"""),"Crear")</f>
        <v>Crear</v>
      </c>
    </row>
    <row r="12" ht="15.75" customHeight="1">
      <c r="A12" s="5" t="str">
        <f>IFERROR(__xludf.DUMMYFUNCTION("""COMPUTED_VALUE"""),"8 - Idioma Técnico 2")</f>
        <v>8 - Idioma Técnico 2</v>
      </c>
      <c r="B12" s="5"/>
      <c r="C12" s="5"/>
      <c r="D12" s="5"/>
      <c r="E12" s="5"/>
      <c r="H12" s="5"/>
      <c r="I12" s="5" t="str">
        <f>IFERROR(__xludf.DUMMYFUNCTION("""COMPUTED_VALUE"""),"crea aplicaciones de realidad aumentada con contenido digital interactivo mediante el uso de bibliotecas y técnicas de diseño de experiencias para integrar información virtual en el mundo real de forma efectiva y funcional ")</f>
        <v>crea aplicaciones de realidad aumentada con contenido digital interactivo mediante el uso de bibliotecas y técnicas de diseño de experiencias para integrar información virtual en el mundo real de forma efectiva y funcional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IFERROR(__xludf.DUMMYFUNCTION("""COMPUTED_VALUE"""),"integra")</f>
        <v>integra</v>
      </c>
      <c r="K13" s="5" t="str">
        <f>IFERROR(__xludf.DUMMYFUNCTION("""COMPUTED_VALUE"""),"diseños 2D y 3D de robots")</f>
        <v>diseños 2D y 3D de robots</v>
      </c>
      <c r="L13" s="5"/>
      <c r="M13" s="5" t="str">
        <f>IFERROR(__xludf.DUMMYFUNCTION("""COMPUTED_VALUE"""),"la eficiencia y realismo en simulaciones robóticas")</f>
        <v>la eficiencia y realismo en simulaciones robóticas</v>
      </c>
      <c r="N13" s="5" t="str">
        <f>IFERROR(__xludf.DUMMYFUNCTION("""COMPUTED_VALUE"""),"para aumentar la precisión, eficiencia y realismo de entornos virtuales")</f>
        <v>para aumentar la precisión, eficiencia y realismo de entornos virtuales</v>
      </c>
      <c r="O13" s="5"/>
      <c r="P13" s="5" t="str">
        <f>IFERROR(__xludf.DUMMYFUNCTION("""COMPUTED_VALUE"""),"Crear")</f>
        <v>Crear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IFERROR(__xludf.DUMMYFUNCTION("""COMPUTED_VALUE"""),"integra diseños 2D y 3D de robots la eficiencia y realismo en simulaciones robóticas para aumentar la precisión, eficiencia y realismo de entornos virtuales ")</f>
        <v>integra diseños 2D y 3D de robots la eficiencia y realismo en simulaciones robóticas para aumentar la precisión, eficiencia y realismo de entornos virtuales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mejora la eficiencia y realismo en simulaciones robóticas mediante ajuste de parámetros, uso de bibliotecas de control y pruebas iterativas para aumentar la precisión, eficiencia y realismo de entornos virtuales </v>
      </c>
    </row>
    <row r="18" ht="15.75" customHeight="1">
      <c r="A18" s="5" t="str">
        <f>IFERROR(__xludf.DUMMYFUNCTION("""COMPUTED_VALUE"""),"1 - Ética Profesional")</f>
        <v>1 - Ética Profesional</v>
      </c>
      <c r="B18" s="5"/>
      <c r="C18" s="5"/>
      <c r="D18" s="5"/>
      <c r="E18" s="5"/>
      <c r="I18" s="5" t="str">
        <f>I4</f>
        <v>Integra fundamentos de lógica, realidad aumentada y simulación robótica mediante el uso de entornos de desarrollo para resolver problemas relacionados a inferencia, interacción digital y simulación de comportamientos autónomos </v>
      </c>
    </row>
    <row r="19" ht="15.75" customHeight="1">
      <c r="A19" s="5" t="str">
        <f>IFERROR(__xludf.DUMMYFUNCTION("""COMPUTED_VALUE"""),"9 - Idioma Técnico 3")</f>
        <v>9 - Idioma Técnico 3</v>
      </c>
      <c r="B19" s="5"/>
      <c r="C19" s="5"/>
      <c r="D19" s="5"/>
      <c r="E19" s="5"/>
      <c r="I19" s="5" t="str">
        <f>I6</f>
        <v>implementa soluciones de inteligencia artificial empleando técnicas de inferencia lógica, diseño de entornos virtuales y control de robots en distintos escenarios de optimización, clasificación y toma de decisiones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desarrolla hechos, reglas, expresiones y predicados recursivos mediante el uso de cláusulas, ciclos, listas, unificación y cortes en Prolog para modelar bases de conocimiento y resolver problemas de inferencia lógica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evalúa plataformas de realidad aumentada usando criterios de compatibilidad, usabilidad y eficiencia bajo escenarios de prueba en dispositivos móviles y navegadores web </v>
      </c>
    </row>
    <row r="22" ht="15.75" customHeight="1">
      <c r="A22" s="5" t="str">
        <f>IFERROR(__xludf.DUMMYFUNCTION("""COMPUTED_VALUE"""),"112 - Área Matemática Intermedia 2")</f>
        <v>112 - Área Matemática Intermedia 2</v>
      </c>
      <c r="B22" s="5"/>
      <c r="C22" s="5"/>
      <c r="D22" s="5"/>
      <c r="E22" s="5"/>
      <c r="I22" s="5" t="str">
        <f>I12</f>
        <v>crea aplicaciones de realidad aumentada con contenido digital interactivo mediante el uso de bibliotecas y técnicas de diseño de experiencias para integrar información virtual en el mundo real de forma efectiva y funcional </v>
      </c>
    </row>
    <row r="23" ht="15.75" customHeight="1">
      <c r="A23" s="5" t="str">
        <f>IFERROR(__xludf.DUMMYFUNCTION("""COMPUTED_VALUE"""),"114 - Área Matemática Intermedia 3")</f>
        <v>114 - Área Matemática Intermedia 3</v>
      </c>
      <c r="B23" s="5"/>
      <c r="C23" s="5"/>
      <c r="D23" s="5"/>
      <c r="E23" s="5"/>
      <c r="I23" s="5" t="str">
        <f>I14</f>
        <v>integra diseños 2D y 3D de robots la eficiencia y realismo en simulaciones robóticas para aumentar la precisión, eficiencia y realismo de entornos virtuales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