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S1" sheetId="3" r:id="rId6"/>
    <sheet state="visible" name="S2" sheetId="4" r:id="rId7"/>
    <sheet state="visible" name="S3" sheetId="5" r:id="rId8"/>
    <sheet state="visible" name="S4" sheetId="6" r:id="rId9"/>
    <sheet state="visible" name="S5" sheetId="7" r:id="rId10"/>
    <sheet state="visible" name="S6" sheetId="8" r:id="rId11"/>
    <sheet state="visible" name="S7" sheetId="9" r:id="rId12"/>
    <sheet state="visible" name="S8" sheetId="10" r:id="rId13"/>
    <sheet state="visible" name="S9" sheetId="11" r:id="rId14"/>
    <sheet state="visible" name="S10" sheetId="12" r:id="rId15"/>
    <sheet state="visible" name="S11" sheetId="13" r:id="rId16"/>
    <sheet state="visible" name="S12" sheetId="14" r:id="rId17"/>
    <sheet state="visible" name="S13" sheetId="15" r:id="rId18"/>
    <sheet state="visible" name="S14" sheetId="16" r:id="rId19"/>
  </sheets>
  <definedNames/>
  <calcPr/>
  <extLst>
    <ext uri="GoogleSheetsCustomDataVersion2">
      <go:sheetsCustomData xmlns:go="http://customooxmlschemas.google.com/" r:id="rId20" roundtripDataChecksum="I1n/YCdG2seOaprEgYtLFitp/En8IdUklHIm/M1YZ8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5">
      <text>
        <t xml:space="preserve">======
ID#AAABXk8wyeA
COCOCYS ECYS    (2024-10-21 13:14:59)
hola, en este archivo se omitieron las hojas de semana 1 , semana 2 . Como estaba en la plantilla favor agregarlos</t>
      </text>
    </comment>
  </commentList>
  <extLst>
    <ext uri="GoogleSheetsCustomDataVersion2">
      <go:sheetsCustomData xmlns:go="http://customooxmlschemas.google.com/" r:id="rId1" roundtripDataSignature="AMtx7mg1LolEz8fJTghsyxIaqdWy6UDL3A=="/>
    </ext>
  </extLst>
</comments>
</file>

<file path=xl/sharedStrings.xml><?xml version="1.0" encoding="utf-8"?>
<sst xmlns="http://schemas.openxmlformats.org/spreadsheetml/2006/main" count="634" uniqueCount="165">
  <si>
    <t>METAS CURRICULARES ARQUITECTURA DE COMPUTADORES Y ENSAMBLADORES 1</t>
  </si>
  <si>
    <t>Numero</t>
  </si>
  <si>
    <t>Nombre de la Meta</t>
  </si>
  <si>
    <t>Descripcion de la Meta</t>
  </si>
  <si>
    <t>Comprension De La Arquitectura ARM</t>
  </si>
  <si>
    <t>A traves de la estructura, funcionamiento y caracteristicas comprender la arquitectura ARM y sus modos de operacion y la utilidad de esta arquitectura en la actualidad</t>
  </si>
  <si>
    <t>Resolucion De Problemas Utilizando ARM</t>
  </si>
  <si>
    <t>Desarrollar la capacidad analitica y logica de resolver problemas utilizando el ensamblador ARM, siendo capaces de optimizar y depurar codigo ensamblador para lograr mejores resultados.</t>
  </si>
  <si>
    <t>Conocimiento de futuras aplicaciones de ARM</t>
  </si>
  <si>
    <t>Evaluar los campos de aplicacion que tiene ARM y como este tiene alcance en la electronica a traves de sistemas IoT, asi como de procesadores para Inteligencia Artificial y el aumento de la gama de los dispositivos moviles.</t>
  </si>
  <si>
    <t>Creacion De Aplicaciones Hibridas</t>
  </si>
  <si>
    <t>Comprender y realizar integracion entre lenguajes de programacion como Pyhton o C con ARM para mejorar rendimiento de diferentes tareas criticas o en la optimizacion de los recursos de un programa.</t>
  </si>
  <si>
    <t>DISEÑO CURRICULAR ARQUITECTURA DE COMPUTADORES Y ENSAMBLADORES 1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</si>
  <si>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</si>
  <si>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</si>
  <si>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</si>
  <si>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</si>
  <si>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</si>
  <si>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</si>
  <si>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</si>
  <si>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Arquitectura De Computadores</t>
  </si>
  <si>
    <t>Arquitectura Y Tecnologias</t>
  </si>
  <si>
    <t>Arquitectura Von Neuman</t>
  </si>
  <si>
    <t>Arquitectura Harvard</t>
  </si>
  <si>
    <t>Linea Tecnologia RISC</t>
  </si>
  <si>
    <t>Linea Tecnologica CISC</t>
  </si>
  <si>
    <t>Evolucion De Los Procesadores Hasta La Actualidad</t>
  </si>
  <si>
    <t>Primeros Procesadores x86</t>
  </si>
  <si>
    <t>Evolucion De Los Procesadores x86</t>
  </si>
  <si>
    <t xml:space="preserve">Primeros Procesadores ARM </t>
  </si>
  <si>
    <t>Evolucion De Los Procesadores ARM</t>
  </si>
  <si>
    <t>ARM vs X86 (En La Actualidad)</t>
  </si>
  <si>
    <t>Electronica Digital</t>
  </si>
  <si>
    <t>Conceptos De Electronica Digital</t>
  </si>
  <si>
    <t>Componentes Electronicos</t>
  </si>
  <si>
    <t>Controladores De Dispositivos</t>
  </si>
  <si>
    <t>Interfaces De Comunicacion</t>
  </si>
  <si>
    <t>Seguridad De Hardware</t>
  </si>
  <si>
    <t>Simulacion De Sistemas Electronicos</t>
  </si>
  <si>
    <t>Sistemas IoT En El Mundo</t>
  </si>
  <si>
    <t>IoT en la actualidad</t>
  </si>
  <si>
    <t>Implementacion De IoT En La Industria</t>
  </si>
  <si>
    <t>IoT Como Emprendimiento</t>
  </si>
  <si>
    <t>Ventajas Y Desventajas Del IoT</t>
  </si>
  <si>
    <t>Sistemas IoT</t>
  </si>
  <si>
    <t>Introduccion Al IoT</t>
  </si>
  <si>
    <t>Que es IoT?</t>
  </si>
  <si>
    <t>Creacion De Un Sistema IoT Utilizando El SMART Framework</t>
  </si>
  <si>
    <t>Caracteristicas principales de un sistema IoT</t>
  </si>
  <si>
    <t>Primeros pasos de un proyecto IoT</t>
  </si>
  <si>
    <t>IoT (Hardware)</t>
  </si>
  <si>
    <t>IoT (Software)</t>
  </si>
  <si>
    <t>Creando Un Sistema IoT</t>
  </si>
  <si>
    <t>Smart Connected Design Framework</t>
  </si>
  <si>
    <t>Aplicaciones Inteligentes</t>
  </si>
  <si>
    <t>Analitica</t>
  </si>
  <si>
    <t>Conectividad</t>
  </si>
  <si>
    <t>Sensores y Actuadores</t>
  </si>
  <si>
    <t>Infraestructura De Producto</t>
  </si>
  <si>
    <t>Sistema IoT (Hardware)</t>
  </si>
  <si>
    <t>Raspbery Pi vs Arduino</t>
  </si>
  <si>
    <t>Python vs C</t>
  </si>
  <si>
    <t>Control Del Hardware de Raspberry Con Python</t>
  </si>
  <si>
    <t>Control De Sensores Y Actuadores Con Python</t>
  </si>
  <si>
    <t>Construyendo Un Sistema IoT (Hardware)</t>
  </si>
  <si>
    <t>Sistema IoT (Software)</t>
  </si>
  <si>
    <t>Raspberry Y Cloud</t>
  </si>
  <si>
    <t>Principales Servicios Para Sistemas IoT</t>
  </si>
  <si>
    <t>Desarrollando Un Sistemas De Software Para Un Sistema IoT</t>
  </si>
  <si>
    <t>Utilizacion De Servicios En La Nube</t>
  </si>
  <si>
    <t>Ensamblador ARM</t>
  </si>
  <si>
    <t>Introduccion ARM</t>
  </si>
  <si>
    <t>Que Es Ensamblador</t>
  </si>
  <si>
    <t>Desarrollo De Aplicaciones En Ensamblador ARM</t>
  </si>
  <si>
    <t>Vocabulario Basico y Tipos De Datos</t>
  </si>
  <si>
    <t>Registros Basicos Del Procesador</t>
  </si>
  <si>
    <t>Instalacion De Herramientas En Linux</t>
  </si>
  <si>
    <t>Instrucciones Aritmeticas</t>
  </si>
  <si>
    <t>Instrucciones Logicas</t>
  </si>
  <si>
    <t xml:space="preserve">Instrucciones De Carga y Almacenamiento </t>
  </si>
  <si>
    <t>Primeros Pasos Con ARM</t>
  </si>
  <si>
    <t xml:space="preserve">Pre y Post Indexing </t>
  </si>
  <si>
    <t>Ciclos Y Branching</t>
  </si>
  <si>
    <t>Desplazamientos Y Rotaciones</t>
  </si>
  <si>
    <t>Banderas</t>
  </si>
  <si>
    <t>Seleccion Condicional</t>
  </si>
  <si>
    <t>Niveles Y Tipos De Excepciones</t>
  </si>
  <si>
    <t>Syscalls</t>
  </si>
  <si>
    <t>Explorando ARM Y Sus Herramientas</t>
  </si>
  <si>
    <t>Directivas De Ensamblador</t>
  </si>
  <si>
    <t>Usando El Ensamblador De ARM (GDB)</t>
  </si>
  <si>
    <t>Usando El Depurador De ARM (GDB)</t>
  </si>
  <si>
    <t>Manejo De Registros Flotantes</t>
  </si>
  <si>
    <t>Creacion De Funciones</t>
  </si>
  <si>
    <t>STACK de ARM</t>
  </si>
  <si>
    <t>El Stack Del Procesador</t>
  </si>
  <si>
    <t>Funciones Integradas Con ARM en C y Python</t>
  </si>
  <si>
    <t>Manejo Del Stack A Nivel De Codigo</t>
  </si>
  <si>
    <t>Casos De Uso Del Stack</t>
  </si>
  <si>
    <t>Programacion Hibrida</t>
  </si>
  <si>
    <t>Compatibilidad de ARM Con C</t>
  </si>
  <si>
    <t>Desarrollando Bloques En ARM</t>
  </si>
  <si>
    <t>Integracion De Bloques ARM En C</t>
  </si>
  <si>
    <t>Herramientas Para Analizar Rendimiento</t>
  </si>
  <si>
    <t>Casos De Uso</t>
  </si>
  <si>
    <t>Ventajas y Desventajas</t>
  </si>
  <si>
    <t>Compatibilidad De ARM Con Python</t>
  </si>
  <si>
    <t>Integracion De Bloques ARM En Python</t>
  </si>
  <si>
    <t>Mes</t>
  </si>
  <si>
    <t>Semana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</si>
  <si>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</si>
  <si>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</si>
  <si>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</si>
  <si>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</si>
  <si>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</si>
  <si>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</si>
  <si>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</si>
  <si>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</si>
  <si>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</si>
  <si>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</si>
  <si>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Arquitectura Von Neumman</t>
  </si>
  <si>
    <t>X</t>
  </si>
  <si>
    <t>Linea Tecnologica RISC</t>
  </si>
  <si>
    <t>Evaluación De Conocimiento: Arquitecturas y Líneas Tecnológicas</t>
  </si>
  <si>
    <t>Tiempo Total en minutos</t>
  </si>
  <si>
    <t>Total Ponderacion</t>
  </si>
  <si>
    <t>Conceptos Electrónica Digital</t>
  </si>
  <si>
    <t>Componentes Electrónicos</t>
  </si>
  <si>
    <t>Interfaces De Comunicación</t>
  </si>
  <si>
    <t>Taller: Simulación De Sistemas Electrónicos</t>
  </si>
  <si>
    <t>IoT En La Actualidad</t>
  </si>
  <si>
    <t>Implementación IoT En La Industria</t>
  </si>
  <si>
    <t>Taller: Diseño De Un Sistema IoT</t>
  </si>
  <si>
    <t>¿Qué es IoT?</t>
  </si>
  <si>
    <t>Características de un sistema IoT</t>
  </si>
  <si>
    <t>Primeros Pasos En IoT</t>
  </si>
  <si>
    <t>Evaluación De Conocimientos: IoT</t>
  </si>
  <si>
    <t>Apps Inteligentes</t>
  </si>
  <si>
    <t>Sensores Y Actuadores</t>
  </si>
  <si>
    <t>Taller: Utilizando el Smart Connected Design Framework</t>
  </si>
  <si>
    <t>Raspberry vs Arduino</t>
  </si>
  <si>
    <t>Control Del Hardware</t>
  </si>
  <si>
    <t>Control De Sensores Y Actuadores</t>
  </si>
  <si>
    <t>Evaluación De Conocimientos: Especificaciones De Hardware Para IoT</t>
  </si>
  <si>
    <t>Utilización De Servicios En La Nube</t>
  </si>
  <si>
    <t>Evaluación IoT y Servicios en la Nube</t>
  </si>
  <si>
    <t>Introducción a ARM</t>
  </si>
  <si>
    <t>Vocabulario Básico y Tipos De Datos</t>
  </si>
  <si>
    <t>Registros Básicos Del Procesador</t>
  </si>
  <si>
    <t>Instalación De Herramientas En Linux</t>
  </si>
  <si>
    <t>Instrucciones Aritméticas</t>
  </si>
  <si>
    <t>Instrucciones De Carga y Almacenamiento</t>
  </si>
  <si>
    <t>Evaluación de conocimientos sobre Fundamentos de Ensamblador</t>
  </si>
  <si>
    <t>Pre y Post Indexing</t>
  </si>
  <si>
    <t>Taller: Control de flujo en ensamblador</t>
  </si>
  <si>
    <t>Creación De Funciones</t>
  </si>
  <si>
    <t>Taller: Programación y Depuración en Ensamblador ARM</t>
  </si>
  <si>
    <t>Manejo Del Stack A Nivel De Código</t>
  </si>
  <si>
    <t>Evaluación de conocimiento Manejo del Stack en Programación</t>
  </si>
  <si>
    <t>Integración De Bloques ARM En C</t>
  </si>
  <si>
    <t>Herramientas Para Analizar</t>
  </si>
  <si>
    <t>Rendimiento</t>
  </si>
  <si>
    <t>Taller: ventajas y desventajas de Integración De Bloques ARM En C</t>
  </si>
  <si>
    <t>Integración De Bloques ARM En Python</t>
  </si>
  <si>
    <t>Evaluación de conocimientos: Desarrollo y Análisis de Bloques 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</si>
</sst>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color theme="1"/>
      <name val="Arial"/>
    </font>
    <font>
      <b/>
      <sz val="15.0"/>
      <color theme="1"/>
      <name val="Arial"/>
    </font>
    <font>
      <sz val="16.0"/>
      <color rgb="FF0D0D0D"/>
      <name val="Arial"/>
    </font>
    <font/>
    <font>
      <sz val="16.0"/>
      <color theme="1"/>
      <name val="Arial"/>
    </font>
    <font>
      <sz val="11.0"/>
      <color theme="1"/>
      <name val="Arial"/>
    </font>
    <font>
      <sz val="12.0"/>
      <color rgb="FFFFFFFF"/>
      <name val="Arial"/>
    </font>
    <font>
      <sz val="12.0"/>
      <color theme="1"/>
      <name val="Arial"/>
    </font>
    <font>
      <color rgb="FFFFFFFF"/>
      <name val="Arial"/>
    </font>
    <font>
      <b/>
      <sz val="12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2" fontId="5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2" fillId="0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5" fillId="3" fontId="9" numFmtId="0" xfId="0" applyAlignment="1" applyBorder="1" applyFill="1" applyFont="1">
      <alignment vertical="bottom"/>
    </xf>
    <xf borderId="5" fillId="0" fontId="2" numFmtId="0" xfId="0" applyAlignment="1" applyBorder="1" applyFont="1">
      <alignment horizontal="left" readingOrder="0" vertical="bottom"/>
    </xf>
    <xf borderId="0" fillId="0" fontId="2" numFmtId="0" xfId="0" applyAlignment="1" applyFont="1">
      <alignment vertical="bottom"/>
    </xf>
    <xf borderId="5" fillId="2" fontId="2" numFmtId="0" xfId="0" applyAlignment="1" applyBorder="1" applyFont="1">
      <alignment horizontal="left" readingOrder="0" vertical="bottom"/>
    </xf>
    <xf borderId="5" fillId="3" fontId="9" numFmtId="0" xfId="0" applyAlignment="1" applyBorder="1" applyFont="1">
      <alignment shrinkToFit="0" vertical="bottom" wrapText="1"/>
    </xf>
    <xf borderId="0" fillId="0" fontId="2" numFmtId="0" xfId="0" applyAlignment="1" applyFont="1">
      <alignment horizontal="left" readingOrder="0" vertical="bottom"/>
    </xf>
    <xf borderId="6" fillId="4" fontId="9" numFmtId="0" xfId="0" applyAlignment="1" applyBorder="1" applyFill="1" applyFont="1">
      <alignment vertical="bottom"/>
    </xf>
    <xf borderId="5" fillId="4" fontId="9" numFmtId="0" xfId="0" applyAlignment="1" applyBorder="1" applyFont="1">
      <alignment vertical="bottom"/>
    </xf>
    <xf borderId="5" fillId="4" fontId="9" numFmtId="0" xfId="0" applyAlignment="1" applyBorder="1" applyFont="1">
      <alignment horizontal="center" vertical="bottom"/>
    </xf>
    <xf borderId="7" fillId="4" fontId="9" numFmtId="0" xfId="0" applyAlignment="1" applyBorder="1" applyFont="1">
      <alignment horizontal="center" vertical="bottom"/>
    </xf>
    <xf borderId="8" fillId="0" fontId="6" numFmtId="0" xfId="0" applyBorder="1" applyFont="1"/>
    <xf borderId="6" fillId="4" fontId="9" numFmtId="0" xfId="0" applyAlignment="1" applyBorder="1" applyFont="1">
      <alignment horizontal="center" shrinkToFit="0" vertical="bottom" wrapText="1"/>
    </xf>
    <xf borderId="1" fillId="5" fontId="2" numFmtId="0" xfId="0" applyAlignment="1" applyBorder="1" applyFill="1" applyFont="1">
      <alignment vertical="bottom"/>
    </xf>
    <xf borderId="1" fillId="5" fontId="10" numFmtId="0" xfId="0" applyAlignment="1" applyBorder="1" applyFont="1">
      <alignment vertical="bottom"/>
    </xf>
    <xf borderId="2" fillId="5" fontId="10" numFmtId="0" xfId="0" applyAlignment="1" applyBorder="1" applyFont="1">
      <alignment vertical="bottom"/>
    </xf>
    <xf borderId="9" fillId="0" fontId="6" numFmtId="0" xfId="0" applyBorder="1" applyFont="1"/>
    <xf borderId="6" fillId="4" fontId="9" numFmtId="0" xfId="0" applyAlignment="1" applyBorder="1" applyFont="1">
      <alignment horizontal="center" vertical="bottom"/>
    </xf>
    <xf borderId="6" fillId="4" fontId="11" numFmtId="0" xfId="0" applyAlignment="1" applyBorder="1" applyFont="1">
      <alignment horizontal="center" vertical="bottom"/>
    </xf>
    <xf borderId="2" fillId="5" fontId="2" numFmtId="0" xfId="0" applyAlignment="1" applyBorder="1" applyFont="1">
      <alignment vertical="bottom"/>
    </xf>
    <xf borderId="10" fillId="0" fontId="6" numFmtId="0" xfId="0" applyBorder="1" applyFont="1"/>
    <xf borderId="4" fillId="0" fontId="10" numFmtId="0" xfId="0" applyAlignment="1" applyBorder="1" applyFont="1">
      <alignment horizontal="right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10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vertical="bottom"/>
    </xf>
    <xf borderId="1" fillId="0" fontId="2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12" numFmtId="0" xfId="0" applyAlignment="1" applyFont="1">
      <alignment horizontal="right" vertical="bottom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horizontal="right" vertical="bottom"/>
    </xf>
    <xf borderId="1" fillId="0" fontId="10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7.88"/>
    <col customWidth="1" min="3" max="3" width="62.75"/>
  </cols>
  <sheetData>
    <row r="1" ht="51.7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4.0" customHeight="1">
      <c r="A3" s="4">
        <v>1.0</v>
      </c>
      <c r="B3" s="4" t="s">
        <v>4</v>
      </c>
      <c r="C3" s="4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1.25" customHeight="1">
      <c r="A4" s="4">
        <v>2.0</v>
      </c>
      <c r="B4" s="4" t="s">
        <v>6</v>
      </c>
      <c r="C4" s="4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2.5" customHeight="1">
      <c r="A5" s="4">
        <v>3.0</v>
      </c>
      <c r="B5" s="4" t="s">
        <v>8</v>
      </c>
      <c r="C5" s="4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4">
        <v>4.0</v>
      </c>
      <c r="B6" s="4" t="s">
        <v>10</v>
      </c>
      <c r="C6" s="4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5.75" customHeight="1">
      <c r="A12" s="5"/>
      <c r="B12" s="5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5"/>
      <c r="B13" s="5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/>
      <c r="B14" s="5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5"/>
      <c r="B15" s="5"/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5"/>
      <c r="B16" s="5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5"/>
      <c r="B17" s="5"/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5"/>
      <c r="B18" s="5"/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5"/>
      <c r="B19" s="5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5"/>
      <c r="B20" s="5"/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/>
      <c r="B21" s="5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/>
      <c r="B22" s="5"/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/>
      <c r="B23" s="5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/>
      <c r="B24" s="5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/>
      <c r="B25" s="5"/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/>
      <c r="B26" s="5"/>
      <c r="C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/>
      <c r="B27" s="5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/>
      <c r="B28" s="5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/>
      <c r="B29" s="5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/>
      <c r="B30" s="5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/>
      <c r="B31" s="5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/>
      <c r="B32" s="5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/>
      <c r="B33" s="5"/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/>
      <c r="B34" s="5"/>
      <c r="C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/>
      <c r="B35" s="5"/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/>
      <c r="B36" s="5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/>
      <c r="B37" s="5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/>
      <c r="B38" s="5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/>
      <c r="B39" s="5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/>
      <c r="B40" s="5"/>
      <c r="C40" s="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/>
      <c r="B41" s="5"/>
      <c r="C41" s="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/>
      <c r="B42" s="5"/>
      <c r="C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/>
      <c r="B43" s="5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/>
      <c r="B44" s="5"/>
      <c r="C44" s="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/>
      <c r="B45" s="5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/>
      <c r="B46" s="5"/>
      <c r="C46" s="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/>
      <c r="B47" s="5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/>
      <c r="B48" s="5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/>
      <c r="B49" s="5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/>
      <c r="B50" s="5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/>
      <c r="B51" s="5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/>
      <c r="B52" s="5"/>
      <c r="C52" s="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/>
      <c r="B53" s="5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/>
      <c r="B54" s="5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/>
      <c r="B55" s="5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/>
      <c r="B56" s="5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/>
      <c r="B57" s="5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/>
      <c r="B58" s="5"/>
      <c r="C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/>
      <c r="B59" s="5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/>
      <c r="B60" s="5"/>
      <c r="C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/>
      <c r="B61" s="5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/>
      <c r="B62" s="5"/>
      <c r="C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/>
      <c r="B63" s="5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/>
      <c r="B64" s="5"/>
      <c r="C64" s="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/>
      <c r="B65" s="5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/>
      <c r="B66" s="5"/>
      <c r="C66" s="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/>
      <c r="B67" s="5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/>
      <c r="B68" s="5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/>
      <c r="B69" s="5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/>
      <c r="B70" s="5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/>
      <c r="B71" s="5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5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/>
      <c r="B73" s="5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/>
      <c r="B74" s="5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/>
      <c r="B75" s="5"/>
      <c r="C75" s="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/>
      <c r="B76" s="5"/>
      <c r="C76" s="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/>
      <c r="B77" s="5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/>
      <c r="B78" s="5"/>
      <c r="C78" s="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/>
      <c r="B79" s="5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/>
      <c r="B80" s="5"/>
      <c r="C80" s="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/>
      <c r="B81" s="5"/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/>
      <c r="B82" s="5"/>
      <c r="C82" s="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/>
      <c r="B83" s="5"/>
      <c r="C83" s="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/>
      <c r="B84" s="5"/>
      <c r="C84" s="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/>
      <c r="B85" s="5"/>
      <c r="C85" s="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/>
      <c r="B86" s="5"/>
      <c r="C86" s="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/>
      <c r="B87" s="5"/>
      <c r="C87" s="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/>
      <c r="B88" s="5"/>
      <c r="C88" s="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/>
      <c r="B89" s="5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/>
      <c r="B90" s="5"/>
      <c r="C90" s="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"/>
      <c r="B91" s="5"/>
      <c r="C91" s="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"/>
      <c r="B92" s="5"/>
      <c r="C92" s="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/>
      <c r="B93" s="5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"/>
      <c r="B94" s="5"/>
      <c r="C94" s="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"/>
      <c r="B95" s="5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"/>
      <c r="B96" s="5"/>
      <c r="C96" s="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"/>
      <c r="B97" s="5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5"/>
      <c r="B98" s="5"/>
      <c r="C98" s="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"/>
      <c r="B99" s="5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"/>
      <c r="B100" s="5"/>
      <c r="C100" s="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"/>
      <c r="B101" s="5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5"/>
      <c r="B102" s="5"/>
      <c r="C102" s="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5"/>
      <c r="B103" s="5"/>
      <c r="C103" s="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"/>
      <c r="B104" s="5"/>
      <c r="C104" s="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"/>
      <c r="B105" s="5"/>
      <c r="C105" s="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5"/>
      <c r="B106" s="5"/>
      <c r="C106" s="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"/>
      <c r="B107" s="5"/>
      <c r="C107" s="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5"/>
      <c r="B108" s="5"/>
      <c r="C108" s="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5"/>
      <c r="B109" s="5"/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5"/>
      <c r="B110" s="5"/>
      <c r="C110" s="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"/>
      <c r="B111" s="5"/>
      <c r="C111" s="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5"/>
      <c r="B112" s="5"/>
      <c r="C112" s="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"/>
      <c r="B113" s="5"/>
      <c r="C113" s="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"/>
      <c r="B114" s="5"/>
      <c r="C114" s="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"/>
      <c r="B115" s="5"/>
      <c r="C115" s="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5"/>
      <c r="B116" s="5"/>
      <c r="C116" s="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"/>
      <c r="B117" s="5"/>
      <c r="C117" s="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"/>
      <c r="B118" s="5"/>
      <c r="C118" s="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"/>
      <c r="B119" s="5"/>
      <c r="C119" s="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"/>
      <c r="B120" s="5"/>
      <c r="C120" s="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"/>
      <c r="B121" s="5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5"/>
      <c r="B122" s="5"/>
      <c r="C122" s="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"/>
      <c r="B123" s="5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"/>
      <c r="B124" s="5"/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"/>
      <c r="B125" s="5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5"/>
      <c r="B126" s="5"/>
      <c r="C126" s="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"/>
      <c r="B127" s="5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5"/>
      <c r="B128" s="5"/>
      <c r="C128" s="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"/>
      <c r="B129" s="5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"/>
      <c r="B130" s="5"/>
      <c r="C130" s="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"/>
      <c r="B131" s="5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5"/>
      <c r="B132" s="5"/>
      <c r="C132" s="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"/>
      <c r="B133" s="5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"/>
      <c r="B134" s="5"/>
      <c r="C134" s="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"/>
      <c r="B135" s="5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5"/>
      <c r="B136" s="5"/>
      <c r="C136" s="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"/>
      <c r="B137" s="5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5"/>
      <c r="B138" s="5"/>
      <c r="C138" s="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"/>
      <c r="B139" s="5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5"/>
      <c r="B140" s="5"/>
      <c r="C140" s="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"/>
      <c r="B141" s="5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5"/>
      <c r="B142" s="5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"/>
      <c r="B143" s="5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5"/>
      <c r="B144" s="5"/>
      <c r="C144" s="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"/>
      <c r="B145" s="5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5"/>
      <c r="B146" s="5"/>
      <c r="C146" s="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"/>
      <c r="B147" s="5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5"/>
      <c r="B148" s="5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"/>
      <c r="B149" s="5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5"/>
      <c r="B150" s="5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"/>
      <c r="B151" s="5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5"/>
      <c r="B152" s="5"/>
      <c r="C152" s="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"/>
      <c r="B153" s="5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5"/>
      <c r="B154" s="5"/>
      <c r="C154" s="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"/>
      <c r="B155" s="5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"/>
      <c r="B156" s="5"/>
      <c r="C156" s="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"/>
      <c r="B157" s="5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"/>
      <c r="B158" s="5"/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"/>
      <c r="B159" s="5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"/>
      <c r="B160" s="5"/>
      <c r="C160" s="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"/>
      <c r="B161" s="5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"/>
      <c r="B162" s="5"/>
      <c r="C162" s="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"/>
      <c r="B163" s="5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"/>
      <c r="B164" s="5"/>
      <c r="C164" s="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"/>
      <c r="B165" s="5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"/>
      <c r="B166" s="5"/>
      <c r="C166" s="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"/>
      <c r="B167" s="5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"/>
      <c r="B168" s="5"/>
      <c r="C168" s="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"/>
      <c r="B169" s="5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"/>
      <c r="B170" s="5"/>
      <c r="C170" s="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"/>
      <c r="B171" s="5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"/>
      <c r="B172" s="5"/>
      <c r="C172" s="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"/>
      <c r="B173" s="5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"/>
      <c r="B174" s="5"/>
      <c r="C174" s="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"/>
      <c r="B175" s="5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"/>
      <c r="B176" s="5"/>
      <c r="C176" s="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"/>
      <c r="B177" s="5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"/>
      <c r="B178" s="5"/>
      <c r="C178" s="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"/>
      <c r="B179" s="5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"/>
      <c r="B180" s="5"/>
      <c r="C180" s="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"/>
      <c r="B181" s="5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"/>
      <c r="B182" s="5"/>
      <c r="C182" s="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"/>
      <c r="B183" s="5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"/>
      <c r="B184" s="5"/>
      <c r="C184" s="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"/>
      <c r="B185" s="5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5"/>
      <c r="B186" s="5"/>
      <c r="C186" s="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"/>
      <c r="B187" s="5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"/>
      <c r="B188" s="5"/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"/>
      <c r="B189" s="5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5"/>
      <c r="B190" s="5"/>
      <c r="C190" s="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"/>
      <c r="B191" s="5"/>
      <c r="C191" s="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"/>
      <c r="B192" s="5"/>
      <c r="C192" s="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"/>
      <c r="B193" s="5"/>
      <c r="C193" s="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5"/>
      <c r="B194" s="5"/>
      <c r="C194" s="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"/>
      <c r="B195" s="5"/>
      <c r="C195" s="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"/>
      <c r="B196" s="5"/>
      <c r="C196" s="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"/>
      <c r="B197" s="5"/>
      <c r="C197" s="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"/>
      <c r="B198" s="5"/>
      <c r="C198" s="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"/>
      <c r="B199" s="5"/>
      <c r="C199" s="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"/>
      <c r="B200" s="5"/>
      <c r="C200" s="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"/>
      <c r="B201" s="5"/>
      <c r="C201" s="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"/>
      <c r="B202" s="5"/>
      <c r="C202" s="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"/>
      <c r="B203" s="5"/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"/>
      <c r="B204" s="5"/>
      <c r="C204" s="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5"/>
      <c r="B205" s="5"/>
      <c r="C205" s="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5"/>
      <c r="B206" s="5"/>
      <c r="C206" s="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5"/>
      <c r="B207" s="5"/>
      <c r="C207" s="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5"/>
      <c r="B208" s="5"/>
      <c r="C208" s="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5"/>
      <c r="B209" s="5"/>
      <c r="C209" s="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5"/>
      <c r="B210" s="5"/>
      <c r="C210" s="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5"/>
      <c r="B211" s="5"/>
      <c r="C211" s="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5"/>
      <c r="B212" s="5"/>
      <c r="C212" s="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5"/>
      <c r="B213" s="5"/>
      <c r="C213" s="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5"/>
      <c r="B214" s="5"/>
      <c r="C214" s="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5"/>
      <c r="B215" s="5"/>
      <c r="C215" s="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5"/>
      <c r="B216" s="5"/>
      <c r="C216" s="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5"/>
      <c r="B217" s="5"/>
      <c r="C217" s="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5"/>
      <c r="B218" s="5"/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5"/>
      <c r="B219" s="5"/>
      <c r="C219" s="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5"/>
      <c r="B220" s="5"/>
      <c r="C220" s="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5"/>
      <c r="B221" s="5"/>
      <c r="C221" s="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C1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63"/>
    <col customWidth="1" min="3" max="3" width="15.88"/>
    <col customWidth="1" min="6" max="6" width="46.13"/>
    <col customWidth="1" min="7" max="7" width="44.25"/>
  </cols>
  <sheetData>
    <row r="1" ht="42.75" customHeight="1">
      <c r="A1" s="6" t="s">
        <v>12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 t="s">
        <v>13</v>
      </c>
      <c r="B2" s="4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9">
        <v>1.0</v>
      </c>
      <c r="B3" s="10" t="s">
        <v>20</v>
      </c>
      <c r="C3" s="9">
        <v>1.0</v>
      </c>
      <c r="D3" s="11" t="s">
        <v>21</v>
      </c>
      <c r="E3" s="8">
        <v>1.0</v>
      </c>
      <c r="F3" s="8" t="s">
        <v>22</v>
      </c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2"/>
      <c r="B4" s="12"/>
      <c r="C4" s="12"/>
      <c r="D4" s="12"/>
      <c r="E4" s="8">
        <v>2.0</v>
      </c>
      <c r="F4" s="8" t="s">
        <v>23</v>
      </c>
      <c r="G4" s="8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12"/>
      <c r="B5" s="12"/>
      <c r="C5" s="12"/>
      <c r="D5" s="12"/>
      <c r="E5" s="8">
        <v>3.0</v>
      </c>
      <c r="F5" s="8" t="s">
        <v>24</v>
      </c>
      <c r="G5" s="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12"/>
      <c r="B6" s="12"/>
      <c r="C6" s="12"/>
      <c r="D6" s="12"/>
      <c r="E6" s="8">
        <v>4.0</v>
      </c>
      <c r="F6" s="8" t="s">
        <v>25</v>
      </c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2"/>
      <c r="B7" s="12"/>
      <c r="C7" s="12"/>
      <c r="D7" s="12"/>
      <c r="E7" s="8">
        <v>5.0</v>
      </c>
      <c r="F7" s="8"/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12"/>
      <c r="B8" s="12"/>
      <c r="C8" s="12"/>
      <c r="D8" s="12"/>
      <c r="E8" s="8">
        <v>6.0</v>
      </c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2"/>
      <c r="B9" s="12"/>
      <c r="C9" s="13"/>
      <c r="D9" s="13"/>
      <c r="E9" s="8">
        <v>7.0</v>
      </c>
      <c r="F9" s="8"/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2"/>
      <c r="B10" s="12"/>
      <c r="C10" s="9">
        <v>2.0</v>
      </c>
      <c r="D10" s="11" t="s">
        <v>26</v>
      </c>
      <c r="E10" s="8">
        <v>1.0</v>
      </c>
      <c r="F10" s="8" t="s">
        <v>27</v>
      </c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12"/>
      <c r="B11" s="12"/>
      <c r="C11" s="12"/>
      <c r="D11" s="12"/>
      <c r="E11" s="8">
        <v>2.0</v>
      </c>
      <c r="F11" s="8" t="s">
        <v>28</v>
      </c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12"/>
      <c r="B12" s="12"/>
      <c r="C12" s="12"/>
      <c r="D12" s="12"/>
      <c r="E12" s="8">
        <v>3.0</v>
      </c>
      <c r="F12" s="8" t="s">
        <v>29</v>
      </c>
      <c r="G12" s="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2"/>
      <c r="B13" s="12"/>
      <c r="C13" s="12"/>
      <c r="D13" s="12"/>
      <c r="E13" s="8">
        <v>4.0</v>
      </c>
      <c r="F13" s="8" t="s">
        <v>30</v>
      </c>
      <c r="G13" s="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2"/>
      <c r="B14" s="12"/>
      <c r="C14" s="12"/>
      <c r="D14" s="12"/>
      <c r="E14" s="8">
        <v>5.0</v>
      </c>
      <c r="F14" s="8" t="s">
        <v>31</v>
      </c>
      <c r="G14" s="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12"/>
      <c r="B15" s="12"/>
      <c r="C15" s="12"/>
      <c r="D15" s="12"/>
      <c r="E15" s="8">
        <v>6.0</v>
      </c>
      <c r="F15" s="8"/>
      <c r="G15" s="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12"/>
      <c r="B16" s="12"/>
      <c r="C16" s="13"/>
      <c r="D16" s="13"/>
      <c r="E16" s="8">
        <v>7.0</v>
      </c>
      <c r="F16" s="8"/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12"/>
      <c r="B17" s="12"/>
      <c r="C17" s="9">
        <v>3.0</v>
      </c>
      <c r="D17" s="11" t="s">
        <v>32</v>
      </c>
      <c r="E17" s="8">
        <v>1.0</v>
      </c>
      <c r="F17" s="8" t="s">
        <v>33</v>
      </c>
      <c r="G17" s="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12"/>
      <c r="B18" s="12"/>
      <c r="C18" s="12"/>
      <c r="D18" s="12"/>
      <c r="E18" s="8">
        <v>2.0</v>
      </c>
      <c r="F18" s="7" t="s">
        <v>34</v>
      </c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12"/>
      <c r="B19" s="12"/>
      <c r="C19" s="12"/>
      <c r="D19" s="12"/>
      <c r="E19" s="8">
        <v>3.0</v>
      </c>
      <c r="F19" s="8" t="s">
        <v>35</v>
      </c>
      <c r="G19" s="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12"/>
      <c r="B20" s="12"/>
      <c r="C20" s="12"/>
      <c r="D20" s="12"/>
      <c r="E20" s="8">
        <v>4.0</v>
      </c>
      <c r="F20" s="7" t="s">
        <v>36</v>
      </c>
      <c r="G20" s="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2"/>
      <c r="B21" s="12"/>
      <c r="C21" s="12"/>
      <c r="D21" s="12"/>
      <c r="E21" s="8">
        <v>5.0</v>
      </c>
      <c r="F21" s="8" t="s">
        <v>37</v>
      </c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2"/>
      <c r="B22" s="12"/>
      <c r="C22" s="12"/>
      <c r="D22" s="12"/>
      <c r="E22" s="8">
        <v>6.0</v>
      </c>
      <c r="F22" s="8" t="s">
        <v>38</v>
      </c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2"/>
      <c r="B23" s="12"/>
      <c r="C23" s="13"/>
      <c r="D23" s="13"/>
      <c r="E23" s="8">
        <v>7.0</v>
      </c>
      <c r="F23" s="8"/>
      <c r="G23" s="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2"/>
      <c r="B24" s="12"/>
      <c r="C24" s="9">
        <v>4.0</v>
      </c>
      <c r="D24" s="11" t="s">
        <v>39</v>
      </c>
      <c r="E24" s="8">
        <v>1.0</v>
      </c>
      <c r="F24" s="14" t="s">
        <v>40</v>
      </c>
      <c r="G24" s="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2"/>
      <c r="B25" s="12"/>
      <c r="C25" s="12"/>
      <c r="D25" s="12"/>
      <c r="E25" s="8">
        <v>2.0</v>
      </c>
      <c r="F25" s="15" t="s">
        <v>41</v>
      </c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2"/>
      <c r="B26" s="12"/>
      <c r="C26" s="12"/>
      <c r="D26" s="12"/>
      <c r="E26" s="8">
        <v>3.0</v>
      </c>
      <c r="F26" s="15" t="s">
        <v>42</v>
      </c>
      <c r="G26" s="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2"/>
      <c r="B27" s="12"/>
      <c r="C27" s="12"/>
      <c r="D27" s="12"/>
      <c r="E27" s="8">
        <v>4.0</v>
      </c>
      <c r="F27" s="15" t="s">
        <v>43</v>
      </c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2"/>
      <c r="B28" s="12"/>
      <c r="C28" s="12"/>
      <c r="D28" s="12"/>
      <c r="E28" s="8">
        <v>5.0</v>
      </c>
      <c r="F28" s="8"/>
      <c r="G28" s="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2"/>
      <c r="B29" s="12"/>
      <c r="C29" s="12"/>
      <c r="D29" s="12"/>
      <c r="E29" s="8">
        <v>6.0</v>
      </c>
      <c r="F29" s="8"/>
      <c r="G29" s="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3"/>
      <c r="B30" s="13"/>
      <c r="C30" s="13"/>
      <c r="D30" s="13"/>
      <c r="E30" s="8">
        <v>7.0</v>
      </c>
      <c r="F30" s="8"/>
      <c r="G30" s="8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9">
        <v>2.0</v>
      </c>
      <c r="B31" s="16" t="s">
        <v>44</v>
      </c>
      <c r="C31" s="9">
        <v>5.0</v>
      </c>
      <c r="D31" s="11" t="s">
        <v>45</v>
      </c>
      <c r="E31" s="8">
        <v>1.0</v>
      </c>
      <c r="F31" s="8" t="s">
        <v>46</v>
      </c>
      <c r="G31" s="11" t="s">
        <v>47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2"/>
      <c r="B32" s="12"/>
      <c r="C32" s="12"/>
      <c r="D32" s="12"/>
      <c r="E32" s="8">
        <v>2.0</v>
      </c>
      <c r="F32" s="8" t="s">
        <v>48</v>
      </c>
      <c r="G32" s="12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2"/>
      <c r="B33" s="12"/>
      <c r="C33" s="12"/>
      <c r="D33" s="12"/>
      <c r="E33" s="8">
        <v>3.0</v>
      </c>
      <c r="F33" s="8" t="s">
        <v>49</v>
      </c>
      <c r="G33" s="12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2"/>
      <c r="B34" s="12"/>
      <c r="C34" s="12"/>
      <c r="D34" s="12"/>
      <c r="E34" s="8">
        <v>4.0</v>
      </c>
      <c r="F34" s="8" t="s">
        <v>50</v>
      </c>
      <c r="G34" s="12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2"/>
      <c r="B35" s="12"/>
      <c r="C35" s="12"/>
      <c r="D35" s="12"/>
      <c r="E35" s="8">
        <v>5.0</v>
      </c>
      <c r="F35" s="8" t="s">
        <v>51</v>
      </c>
      <c r="G35" s="12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2"/>
      <c r="B36" s="12"/>
      <c r="C36" s="12"/>
      <c r="D36" s="12"/>
      <c r="E36" s="8">
        <v>6.0</v>
      </c>
      <c r="F36" s="8"/>
      <c r="G36" s="12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2"/>
      <c r="B37" s="12"/>
      <c r="C37" s="13"/>
      <c r="D37" s="13"/>
      <c r="E37" s="8">
        <v>7.0</v>
      </c>
      <c r="F37" s="8"/>
      <c r="G37" s="12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2"/>
      <c r="B38" s="12"/>
      <c r="C38" s="9">
        <v>6.0</v>
      </c>
      <c r="D38" s="11" t="s">
        <v>52</v>
      </c>
      <c r="E38" s="8">
        <v>1.0</v>
      </c>
      <c r="F38" s="8" t="s">
        <v>53</v>
      </c>
      <c r="G38" s="12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2"/>
      <c r="B39" s="12"/>
      <c r="C39" s="12"/>
      <c r="D39" s="12"/>
      <c r="E39" s="8">
        <v>2.0</v>
      </c>
      <c r="F39" s="8" t="s">
        <v>54</v>
      </c>
      <c r="G39" s="12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2"/>
      <c r="B40" s="12"/>
      <c r="C40" s="12"/>
      <c r="D40" s="12"/>
      <c r="E40" s="8">
        <v>3.0</v>
      </c>
      <c r="F40" s="8" t="s">
        <v>55</v>
      </c>
      <c r="G40" s="12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2"/>
      <c r="B41" s="12"/>
      <c r="C41" s="12"/>
      <c r="D41" s="12"/>
      <c r="E41" s="8">
        <v>4.0</v>
      </c>
      <c r="F41" s="8" t="s">
        <v>56</v>
      </c>
      <c r="G41" s="12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2"/>
      <c r="B42" s="12"/>
      <c r="C42" s="12"/>
      <c r="D42" s="12"/>
      <c r="E42" s="8">
        <v>5.0</v>
      </c>
      <c r="F42" s="8" t="s">
        <v>57</v>
      </c>
      <c r="G42" s="12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2"/>
      <c r="B43" s="12"/>
      <c r="C43" s="12"/>
      <c r="D43" s="12"/>
      <c r="E43" s="8">
        <v>6.0</v>
      </c>
      <c r="F43" s="8" t="s">
        <v>58</v>
      </c>
      <c r="G43" s="12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2"/>
      <c r="B44" s="12"/>
      <c r="C44" s="13"/>
      <c r="D44" s="13"/>
      <c r="E44" s="8">
        <v>7.0</v>
      </c>
      <c r="F44" s="8"/>
      <c r="G44" s="12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2"/>
      <c r="B45" s="12"/>
      <c r="C45" s="9">
        <v>7.0</v>
      </c>
      <c r="D45" s="11" t="s">
        <v>59</v>
      </c>
      <c r="E45" s="8">
        <v>1.0</v>
      </c>
      <c r="F45" s="8" t="s">
        <v>60</v>
      </c>
      <c r="G45" s="1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2"/>
      <c r="B46" s="12"/>
      <c r="C46" s="12"/>
      <c r="D46" s="12"/>
      <c r="E46" s="8">
        <v>2.0</v>
      </c>
      <c r="F46" s="8" t="s">
        <v>61</v>
      </c>
      <c r="G46" s="12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2"/>
      <c r="B47" s="12"/>
      <c r="C47" s="12"/>
      <c r="D47" s="12"/>
      <c r="E47" s="8">
        <v>3.0</v>
      </c>
      <c r="F47" s="8" t="s">
        <v>62</v>
      </c>
      <c r="G47" s="12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2"/>
      <c r="B48" s="12"/>
      <c r="C48" s="12"/>
      <c r="D48" s="12"/>
      <c r="E48" s="8">
        <v>4.0</v>
      </c>
      <c r="F48" s="8" t="s">
        <v>63</v>
      </c>
      <c r="G48" s="12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2"/>
      <c r="B49" s="12"/>
      <c r="C49" s="12"/>
      <c r="D49" s="12"/>
      <c r="E49" s="8">
        <v>5.0</v>
      </c>
      <c r="F49" s="8" t="s">
        <v>64</v>
      </c>
      <c r="G49" s="12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2"/>
      <c r="B50" s="12"/>
      <c r="C50" s="12"/>
      <c r="D50" s="12"/>
      <c r="E50" s="8">
        <v>6.0</v>
      </c>
      <c r="F50" s="8"/>
      <c r="G50" s="12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2"/>
      <c r="B51" s="12"/>
      <c r="C51" s="13"/>
      <c r="D51" s="13"/>
      <c r="E51" s="8">
        <v>7.0</v>
      </c>
      <c r="F51" s="8"/>
      <c r="G51" s="12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2"/>
      <c r="B52" s="12"/>
      <c r="C52" s="9">
        <v>8.0</v>
      </c>
      <c r="D52" s="11" t="s">
        <v>65</v>
      </c>
      <c r="E52" s="8">
        <v>1.0</v>
      </c>
      <c r="F52" s="8" t="s">
        <v>66</v>
      </c>
      <c r="G52" s="12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2"/>
      <c r="B53" s="12"/>
      <c r="C53" s="12"/>
      <c r="D53" s="12"/>
      <c r="E53" s="8">
        <v>2.0</v>
      </c>
      <c r="F53" s="8" t="s">
        <v>67</v>
      </c>
      <c r="G53" s="12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2"/>
      <c r="B54" s="12"/>
      <c r="C54" s="12"/>
      <c r="D54" s="12"/>
      <c r="E54" s="8">
        <v>3.0</v>
      </c>
      <c r="F54" s="4" t="s">
        <v>68</v>
      </c>
      <c r="G54" s="12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2"/>
      <c r="B55" s="12"/>
      <c r="C55" s="12"/>
      <c r="D55" s="12"/>
      <c r="E55" s="8">
        <v>4.0</v>
      </c>
      <c r="F55" s="8" t="s">
        <v>69</v>
      </c>
      <c r="G55" s="12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2"/>
      <c r="B56" s="12"/>
      <c r="C56" s="12"/>
      <c r="D56" s="12"/>
      <c r="E56" s="8">
        <v>5.0</v>
      </c>
      <c r="F56" s="8"/>
      <c r="G56" s="12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2"/>
      <c r="B57" s="12"/>
      <c r="C57" s="12"/>
      <c r="D57" s="12"/>
      <c r="E57" s="8">
        <v>6.0</v>
      </c>
      <c r="F57" s="8"/>
      <c r="G57" s="12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3"/>
      <c r="B58" s="13"/>
      <c r="C58" s="13"/>
      <c r="D58" s="13"/>
      <c r="E58" s="8">
        <v>7.0</v>
      </c>
      <c r="F58" s="8"/>
      <c r="G58" s="13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9">
        <v>3.0</v>
      </c>
      <c r="B59" s="10" t="s">
        <v>70</v>
      </c>
      <c r="C59" s="9">
        <v>9.0</v>
      </c>
      <c r="D59" s="11" t="s">
        <v>71</v>
      </c>
      <c r="E59" s="8">
        <v>1.0</v>
      </c>
      <c r="F59" s="8" t="s">
        <v>72</v>
      </c>
      <c r="G59" s="17" t="s">
        <v>73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2"/>
      <c r="B60" s="12"/>
      <c r="C60" s="12"/>
      <c r="D60" s="12"/>
      <c r="E60" s="8">
        <v>2.0</v>
      </c>
      <c r="F60" s="8" t="s">
        <v>74</v>
      </c>
      <c r="G60" s="12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2"/>
      <c r="B61" s="12"/>
      <c r="C61" s="12"/>
      <c r="D61" s="12"/>
      <c r="E61" s="8">
        <v>3.0</v>
      </c>
      <c r="F61" s="14" t="s">
        <v>75</v>
      </c>
      <c r="G61" s="12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2"/>
      <c r="B62" s="12"/>
      <c r="C62" s="12"/>
      <c r="D62" s="12"/>
      <c r="E62" s="8">
        <v>4.0</v>
      </c>
      <c r="F62" s="14" t="s">
        <v>76</v>
      </c>
      <c r="G62" s="12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2"/>
      <c r="B63" s="12"/>
      <c r="C63" s="12"/>
      <c r="D63" s="12"/>
      <c r="E63" s="8">
        <v>5.0</v>
      </c>
      <c r="F63" s="14" t="s">
        <v>77</v>
      </c>
      <c r="G63" s="12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2"/>
      <c r="B64" s="12"/>
      <c r="C64" s="12"/>
      <c r="D64" s="12"/>
      <c r="E64" s="8">
        <v>6.0</v>
      </c>
      <c r="F64" s="14" t="s">
        <v>78</v>
      </c>
      <c r="G64" s="12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2"/>
      <c r="B65" s="12"/>
      <c r="C65" s="13"/>
      <c r="D65" s="13"/>
      <c r="E65" s="8">
        <v>7.0</v>
      </c>
      <c r="F65" s="8" t="s">
        <v>79</v>
      </c>
      <c r="G65" s="1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2"/>
      <c r="B66" s="12"/>
      <c r="C66" s="9">
        <v>10.0</v>
      </c>
      <c r="D66" s="11" t="s">
        <v>80</v>
      </c>
      <c r="E66" s="8">
        <v>1.0</v>
      </c>
      <c r="F66" s="8" t="s">
        <v>81</v>
      </c>
      <c r="G66" s="12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2"/>
      <c r="B67" s="12"/>
      <c r="C67" s="12"/>
      <c r="D67" s="12"/>
      <c r="E67" s="8">
        <v>2.0</v>
      </c>
      <c r="F67" s="8" t="s">
        <v>82</v>
      </c>
      <c r="G67" s="12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2"/>
      <c r="B68" s="12"/>
      <c r="C68" s="12"/>
      <c r="D68" s="12"/>
      <c r="E68" s="8">
        <v>3.0</v>
      </c>
      <c r="F68" s="8" t="s">
        <v>83</v>
      </c>
      <c r="G68" s="12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2"/>
      <c r="B69" s="12"/>
      <c r="C69" s="12"/>
      <c r="D69" s="12"/>
      <c r="E69" s="8">
        <v>4.0</v>
      </c>
      <c r="F69" s="8" t="s">
        <v>84</v>
      </c>
      <c r="G69" s="12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2"/>
      <c r="B70" s="12"/>
      <c r="C70" s="12"/>
      <c r="D70" s="12"/>
      <c r="E70" s="8">
        <v>5.0</v>
      </c>
      <c r="F70" s="8" t="s">
        <v>85</v>
      </c>
      <c r="G70" s="12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2"/>
      <c r="B71" s="12"/>
      <c r="C71" s="12"/>
      <c r="D71" s="12"/>
      <c r="E71" s="8">
        <v>6.0</v>
      </c>
      <c r="F71" s="8" t="s">
        <v>86</v>
      </c>
      <c r="G71" s="12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2"/>
      <c r="B72" s="12"/>
      <c r="C72" s="13"/>
      <c r="D72" s="13"/>
      <c r="E72" s="8">
        <v>7.0</v>
      </c>
      <c r="F72" s="8" t="s">
        <v>87</v>
      </c>
      <c r="G72" s="12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2"/>
      <c r="B73" s="12"/>
      <c r="C73" s="9">
        <v>11.0</v>
      </c>
      <c r="D73" s="11" t="s">
        <v>88</v>
      </c>
      <c r="E73" s="8">
        <v>1.0</v>
      </c>
      <c r="F73" s="8" t="s">
        <v>89</v>
      </c>
      <c r="G73" s="12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2"/>
      <c r="B74" s="12"/>
      <c r="C74" s="12"/>
      <c r="D74" s="12"/>
      <c r="E74" s="8">
        <v>2.0</v>
      </c>
      <c r="F74" s="8" t="s">
        <v>90</v>
      </c>
      <c r="G74" s="12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2"/>
      <c r="B75" s="12"/>
      <c r="C75" s="12"/>
      <c r="D75" s="12"/>
      <c r="E75" s="8">
        <v>3.0</v>
      </c>
      <c r="F75" s="8" t="s">
        <v>91</v>
      </c>
      <c r="G75" s="12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2"/>
      <c r="B76" s="12"/>
      <c r="C76" s="12"/>
      <c r="D76" s="12"/>
      <c r="E76" s="8">
        <v>4.0</v>
      </c>
      <c r="F76" s="8" t="s">
        <v>92</v>
      </c>
      <c r="G76" s="12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2"/>
      <c r="B77" s="12"/>
      <c r="C77" s="12"/>
      <c r="D77" s="12"/>
      <c r="E77" s="8">
        <v>5.0</v>
      </c>
      <c r="F77" s="8" t="s">
        <v>93</v>
      </c>
      <c r="G77" s="12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2"/>
      <c r="B78" s="12"/>
      <c r="C78" s="12"/>
      <c r="D78" s="12"/>
      <c r="E78" s="8">
        <v>6.0</v>
      </c>
      <c r="F78" s="8"/>
      <c r="G78" s="12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2"/>
      <c r="B79" s="12"/>
      <c r="C79" s="13"/>
      <c r="D79" s="13"/>
      <c r="E79" s="8">
        <v>7.0</v>
      </c>
      <c r="F79" s="8"/>
      <c r="G79" s="12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2"/>
      <c r="B80" s="12"/>
      <c r="C80" s="9">
        <v>12.0</v>
      </c>
      <c r="D80" s="11" t="s">
        <v>94</v>
      </c>
      <c r="E80" s="8">
        <v>1.0</v>
      </c>
      <c r="F80" s="8" t="s">
        <v>95</v>
      </c>
      <c r="G80" s="9" t="s">
        <v>96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2"/>
      <c r="B81" s="12"/>
      <c r="C81" s="12"/>
      <c r="D81" s="12"/>
      <c r="E81" s="8">
        <v>2.0</v>
      </c>
      <c r="F81" s="8" t="s">
        <v>97</v>
      </c>
      <c r="G81" s="12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2"/>
      <c r="B82" s="12"/>
      <c r="C82" s="12"/>
      <c r="D82" s="12"/>
      <c r="E82" s="8">
        <v>3.0</v>
      </c>
      <c r="F82" s="8" t="s">
        <v>98</v>
      </c>
      <c r="G82" s="12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2"/>
      <c r="B83" s="12"/>
      <c r="C83" s="12"/>
      <c r="D83" s="12"/>
      <c r="E83" s="8">
        <v>4.0</v>
      </c>
      <c r="F83" s="8"/>
      <c r="G83" s="12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2"/>
      <c r="B84" s="12"/>
      <c r="C84" s="12"/>
      <c r="D84" s="12"/>
      <c r="E84" s="8">
        <v>5.0</v>
      </c>
      <c r="F84" s="8"/>
      <c r="G84" s="12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2"/>
      <c r="B85" s="12"/>
      <c r="C85" s="12"/>
      <c r="D85" s="12"/>
      <c r="E85" s="8">
        <v>6.0</v>
      </c>
      <c r="F85" s="8"/>
      <c r="G85" s="12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3"/>
      <c r="B86" s="13"/>
      <c r="C86" s="13"/>
      <c r="D86" s="13"/>
      <c r="E86" s="8">
        <v>7.0</v>
      </c>
      <c r="F86" s="8"/>
      <c r="G86" s="12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9">
        <v>4.0</v>
      </c>
      <c r="B87" s="18" t="s">
        <v>99</v>
      </c>
      <c r="C87" s="9">
        <v>13.0</v>
      </c>
      <c r="D87" s="11" t="s">
        <v>100</v>
      </c>
      <c r="E87" s="8">
        <v>1.0</v>
      </c>
      <c r="F87" s="8" t="s">
        <v>101</v>
      </c>
      <c r="G87" s="12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2"/>
      <c r="B88" s="12"/>
      <c r="C88" s="12"/>
      <c r="D88" s="12"/>
      <c r="E88" s="8">
        <v>2.0</v>
      </c>
      <c r="F88" s="8" t="s">
        <v>102</v>
      </c>
      <c r="G88" s="12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2"/>
      <c r="B89" s="12"/>
      <c r="C89" s="12"/>
      <c r="D89" s="12"/>
      <c r="E89" s="8">
        <v>3.0</v>
      </c>
      <c r="F89" s="8" t="s">
        <v>103</v>
      </c>
      <c r="G89" s="12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2"/>
      <c r="B90" s="12"/>
      <c r="C90" s="12"/>
      <c r="D90" s="12"/>
      <c r="E90" s="8">
        <v>4.0</v>
      </c>
      <c r="F90" s="8" t="s">
        <v>104</v>
      </c>
      <c r="G90" s="12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2"/>
      <c r="B91" s="12"/>
      <c r="C91" s="12"/>
      <c r="D91" s="12"/>
      <c r="E91" s="8">
        <v>5.0</v>
      </c>
      <c r="F91" s="8" t="s">
        <v>105</v>
      </c>
      <c r="G91" s="12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2"/>
      <c r="B92" s="12"/>
      <c r="C92" s="12"/>
      <c r="D92" s="12"/>
      <c r="E92" s="8">
        <v>6.0</v>
      </c>
      <c r="F92" s="8"/>
      <c r="G92" s="12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2"/>
      <c r="B93" s="12"/>
      <c r="C93" s="13"/>
      <c r="D93" s="13"/>
      <c r="E93" s="8">
        <v>7.0</v>
      </c>
      <c r="F93" s="8"/>
      <c r="G93" s="12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2"/>
      <c r="B94" s="12"/>
      <c r="C94" s="9">
        <v>14.0</v>
      </c>
      <c r="D94" s="11" t="s">
        <v>106</v>
      </c>
      <c r="E94" s="8">
        <v>1.0</v>
      </c>
      <c r="F94" s="8" t="s">
        <v>101</v>
      </c>
      <c r="G94" s="12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2"/>
      <c r="B95" s="12"/>
      <c r="C95" s="12"/>
      <c r="D95" s="12"/>
      <c r="E95" s="8">
        <v>2.0</v>
      </c>
      <c r="F95" s="8" t="s">
        <v>107</v>
      </c>
      <c r="G95" s="12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2"/>
      <c r="B96" s="12"/>
      <c r="C96" s="12"/>
      <c r="D96" s="12"/>
      <c r="E96" s="8">
        <v>3.0</v>
      </c>
      <c r="F96" s="8" t="s">
        <v>103</v>
      </c>
      <c r="G96" s="12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2"/>
      <c r="B97" s="12"/>
      <c r="C97" s="12"/>
      <c r="D97" s="12"/>
      <c r="E97" s="8">
        <v>4.0</v>
      </c>
      <c r="F97" s="8" t="s">
        <v>104</v>
      </c>
      <c r="G97" s="12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2"/>
      <c r="B98" s="12"/>
      <c r="C98" s="12"/>
      <c r="D98" s="12"/>
      <c r="E98" s="8">
        <v>5.0</v>
      </c>
      <c r="F98" s="8" t="s">
        <v>105</v>
      </c>
      <c r="G98" s="12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2"/>
      <c r="B99" s="12"/>
      <c r="C99" s="12"/>
      <c r="D99" s="12"/>
      <c r="E99" s="8">
        <v>6.0</v>
      </c>
      <c r="F99" s="8"/>
      <c r="G99" s="12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3"/>
      <c r="B100" s="13"/>
      <c r="C100" s="13"/>
      <c r="D100" s="13"/>
      <c r="E100" s="8">
        <v>7.0</v>
      </c>
      <c r="F100" s="8"/>
      <c r="G100" s="13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1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1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1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1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1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1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1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1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1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1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1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1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1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1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1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1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1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1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1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1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1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1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1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1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1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1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1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1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1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1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1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1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1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1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1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1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1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1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1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1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1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1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1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1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1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1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1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1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1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1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1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1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1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1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1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1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1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1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1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1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1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1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1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1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1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1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1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1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1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1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1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1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1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1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1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1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1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1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1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1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1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1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1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1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1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1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1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1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1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1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1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1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1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1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1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1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1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1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1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1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1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1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1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1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1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1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1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1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1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1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1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1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1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1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1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1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1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1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1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1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1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1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1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19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19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19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19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19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19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19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19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19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19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19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19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19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19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19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19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19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19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19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19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19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19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19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19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19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19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19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19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19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19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19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19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19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19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19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19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19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19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19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19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19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19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19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19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19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19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19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19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19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19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19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19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19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19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19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19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19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19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19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19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19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19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19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19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19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19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19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19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19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19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19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19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19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19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19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19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19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40">
    <mergeCell ref="C24:C30"/>
    <mergeCell ref="D24:D30"/>
    <mergeCell ref="A31:A58"/>
    <mergeCell ref="B31:B58"/>
    <mergeCell ref="C31:C37"/>
    <mergeCell ref="D31:D37"/>
    <mergeCell ref="G31:G58"/>
    <mergeCell ref="C52:C58"/>
    <mergeCell ref="D52:D58"/>
    <mergeCell ref="A59:A86"/>
    <mergeCell ref="B59:B86"/>
    <mergeCell ref="C59:C65"/>
    <mergeCell ref="D59:D65"/>
    <mergeCell ref="G59:G79"/>
    <mergeCell ref="C17:C23"/>
    <mergeCell ref="D17:D23"/>
    <mergeCell ref="A1:G1"/>
    <mergeCell ref="A3:A30"/>
    <mergeCell ref="B3:B30"/>
    <mergeCell ref="C3:C9"/>
    <mergeCell ref="D3:D9"/>
    <mergeCell ref="C10:C16"/>
    <mergeCell ref="D10:D16"/>
    <mergeCell ref="C38:C44"/>
    <mergeCell ref="D38:D44"/>
    <mergeCell ref="C45:C51"/>
    <mergeCell ref="D45:D51"/>
    <mergeCell ref="C66:C72"/>
    <mergeCell ref="D66:D72"/>
    <mergeCell ref="C73:C79"/>
    <mergeCell ref="D73:D79"/>
    <mergeCell ref="C94:C100"/>
    <mergeCell ref="D94:D100"/>
    <mergeCell ref="C80:C86"/>
    <mergeCell ref="D80:D86"/>
    <mergeCell ref="G80:G100"/>
    <mergeCell ref="A87:A100"/>
    <mergeCell ref="B87:B100"/>
    <mergeCell ref="C87:C93"/>
    <mergeCell ref="D87:D9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1.0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1.0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20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21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1" t="s">
        <v>120</v>
      </c>
      <c r="C9" s="41" t="s">
        <v>121</v>
      </c>
      <c r="D9" s="41"/>
      <c r="E9" s="41"/>
      <c r="F9" s="42"/>
      <c r="G9" s="42"/>
      <c r="H9" s="42"/>
      <c r="I9" s="42"/>
      <c r="J9" s="43">
        <f t="shared" ref="J9:J14" si="1">if(C9="X",$C$7,0)+if(D9="X",$D$7,0)+if(E9="X",$E$7,0)+if(F9="X",$F$7,0)+if(G9="X",$G$7,0)+if(H9="X",$H$7,0)+if(I9="X",$I$7,0)</f>
        <v>15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23</v>
      </c>
      <c r="C10" s="46" t="s">
        <v>121</v>
      </c>
      <c r="D10" s="47"/>
      <c r="E10" s="46"/>
      <c r="F10" s="44"/>
      <c r="G10" s="44"/>
      <c r="H10" s="44"/>
      <c r="I10" s="44"/>
      <c r="J10" s="43">
        <f t="shared" si="1"/>
        <v>15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122</v>
      </c>
      <c r="C11" s="44"/>
      <c r="D11" s="46" t="s">
        <v>121</v>
      </c>
      <c r="E11" s="46"/>
      <c r="F11" s="44"/>
      <c r="G11" s="48"/>
      <c r="H11" s="44"/>
      <c r="I11" s="44"/>
      <c r="J11" s="43">
        <f t="shared" si="1"/>
        <v>10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6" t="s">
        <v>25</v>
      </c>
      <c r="C12" s="44"/>
      <c r="D12" s="46" t="s">
        <v>121</v>
      </c>
      <c r="E12" s="46"/>
      <c r="F12" s="44"/>
      <c r="G12" s="44"/>
      <c r="H12" s="46"/>
      <c r="I12" s="44"/>
      <c r="J12" s="43">
        <f t="shared" si="1"/>
        <v>10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9" t="s">
        <v>123</v>
      </c>
      <c r="C13" s="44"/>
      <c r="D13" s="44"/>
      <c r="E13" s="44"/>
      <c r="F13" s="44"/>
      <c r="G13" s="44"/>
      <c r="H13" s="44"/>
      <c r="I13" s="46" t="s">
        <v>121</v>
      </c>
      <c r="J13" s="43">
        <f t="shared" si="1"/>
        <v>15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4"/>
      <c r="C14" s="44"/>
      <c r="D14" s="44"/>
      <c r="E14" s="44"/>
      <c r="F14" s="44"/>
      <c r="G14" s="44"/>
      <c r="H14" s="48"/>
      <c r="I14" s="44"/>
      <c r="J14" s="43">
        <f t="shared" si="1"/>
        <v>0</v>
      </c>
      <c r="K14" s="44"/>
      <c r="L14" s="44"/>
      <c r="M14" s="45">
        <f t="shared" si="2"/>
        <v>0</v>
      </c>
      <c r="N14" s="22"/>
    </row>
    <row r="15">
      <c r="A15" s="22"/>
      <c r="B15" s="22"/>
      <c r="C15" s="22"/>
      <c r="D15" s="22"/>
      <c r="E15" s="22"/>
      <c r="F15" s="22"/>
      <c r="G15" s="22"/>
      <c r="H15" s="22"/>
      <c r="I15" s="50" t="s">
        <v>124</v>
      </c>
      <c r="J15" s="51">
        <f>SUM(J7:J14)</f>
        <v>65</v>
      </c>
      <c r="K15" s="22"/>
      <c r="L15" s="52" t="s">
        <v>125</v>
      </c>
      <c r="M15" s="53">
        <f>sum(M9:M14)</f>
        <v>2</v>
      </c>
      <c r="N15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1.0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2.0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20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26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1" t="s">
        <v>120</v>
      </c>
      <c r="C9" s="41" t="s">
        <v>121</v>
      </c>
      <c r="D9" s="41"/>
      <c r="E9" s="41"/>
      <c r="F9" s="42"/>
      <c r="G9" s="42"/>
      <c r="H9" s="42"/>
      <c r="I9" s="42"/>
      <c r="J9" s="43">
        <f t="shared" ref="J9:J14" si="1">if(C9="X",$C$7,0)+if(D9="X",$D$7,0)+if(E9="X",$E$7,0)+if(F9="X",$F$7,0)+if(G9="X",$G$7,0)+if(H9="X",$H$7,0)+if(I9="X",$I$7,0)</f>
        <v>15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23</v>
      </c>
      <c r="C10" s="46"/>
      <c r="D10" s="47" t="s">
        <v>121</v>
      </c>
      <c r="E10" s="46"/>
      <c r="F10" s="44"/>
      <c r="G10" s="44"/>
      <c r="H10" s="44"/>
      <c r="I10" s="44"/>
      <c r="J10" s="43">
        <f t="shared" si="1"/>
        <v>10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122</v>
      </c>
      <c r="C11" s="46" t="s">
        <v>121</v>
      </c>
      <c r="D11" s="46"/>
      <c r="E11" s="46"/>
      <c r="F11" s="44"/>
      <c r="G11" s="48"/>
      <c r="H11" s="44"/>
      <c r="I11" s="44"/>
      <c r="J11" s="43">
        <f t="shared" si="1"/>
        <v>15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6" t="s">
        <v>25</v>
      </c>
      <c r="C12" s="44"/>
      <c r="D12" s="46" t="s">
        <v>121</v>
      </c>
      <c r="E12" s="46"/>
      <c r="F12" s="44"/>
      <c r="G12" s="44"/>
      <c r="H12" s="46"/>
      <c r="I12" s="44"/>
      <c r="J12" s="43">
        <f t="shared" si="1"/>
        <v>10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9" t="s">
        <v>123</v>
      </c>
      <c r="C13" s="44"/>
      <c r="D13" s="46" t="s">
        <v>121</v>
      </c>
      <c r="E13" s="44"/>
      <c r="F13" s="44"/>
      <c r="G13" s="44"/>
      <c r="H13" s="44"/>
      <c r="I13" s="46" t="s">
        <v>121</v>
      </c>
      <c r="J13" s="43">
        <f t="shared" si="1"/>
        <v>25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4"/>
      <c r="C14" s="44"/>
      <c r="D14" s="44"/>
      <c r="E14" s="44"/>
      <c r="F14" s="44"/>
      <c r="G14" s="44"/>
      <c r="H14" s="48"/>
      <c r="I14" s="46"/>
      <c r="J14" s="43">
        <f t="shared" si="1"/>
        <v>0</v>
      </c>
      <c r="K14" s="44"/>
      <c r="L14" s="44"/>
      <c r="M14" s="45">
        <f t="shared" si="2"/>
        <v>0</v>
      </c>
      <c r="N14" s="22"/>
    </row>
    <row r="15">
      <c r="A15" s="22"/>
      <c r="B15" s="22"/>
      <c r="C15" s="22"/>
      <c r="D15" s="22"/>
      <c r="E15" s="22"/>
      <c r="F15" s="22"/>
      <c r="G15" s="22"/>
      <c r="H15" s="22"/>
      <c r="I15" s="50" t="s">
        <v>124</v>
      </c>
      <c r="J15" s="51">
        <f>SUM(J7:J14)</f>
        <v>75</v>
      </c>
      <c r="K15" s="22"/>
      <c r="L15" s="52" t="s">
        <v>125</v>
      </c>
      <c r="M15" s="53">
        <f>sum(M9:M14)</f>
        <v>2</v>
      </c>
      <c r="N15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1.0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3.0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20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32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1" t="s">
        <v>126</v>
      </c>
      <c r="C9" s="41" t="s">
        <v>121</v>
      </c>
      <c r="D9" s="41"/>
      <c r="E9" s="41"/>
      <c r="F9" s="42"/>
      <c r="G9" s="42"/>
      <c r="H9" s="42"/>
      <c r="I9" s="42"/>
      <c r="J9" s="43">
        <f t="shared" ref="J9:J14" si="1">if(C9="X",$C$7,0)+if(D9="X",$D$7,0)+if(E9="X",$E$7,0)+if(F9="X",$F$7,0)+if(G9="X",$G$7,0)+if(H9="X",$H$7,0)+if(I9="X",$I$7,0)</f>
        <v>15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127</v>
      </c>
      <c r="C10" s="46" t="s">
        <v>121</v>
      </c>
      <c r="D10" s="47"/>
      <c r="E10" s="46"/>
      <c r="F10" s="44"/>
      <c r="G10" s="44"/>
      <c r="H10" s="44"/>
      <c r="I10" s="44"/>
      <c r="J10" s="43">
        <f t="shared" si="1"/>
        <v>15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35</v>
      </c>
      <c r="C11" s="46"/>
      <c r="D11" s="46"/>
      <c r="E11" s="46" t="s">
        <v>121</v>
      </c>
      <c r="F11" s="44"/>
      <c r="G11" s="48"/>
      <c r="H11" s="44"/>
      <c r="I11" s="44"/>
      <c r="J11" s="43">
        <f t="shared" si="1"/>
        <v>10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6" t="s">
        <v>128</v>
      </c>
      <c r="C12" s="44"/>
      <c r="D12" s="46" t="s">
        <v>121</v>
      </c>
      <c r="E12" s="46"/>
      <c r="F12" s="44"/>
      <c r="G12" s="44"/>
      <c r="H12" s="46"/>
      <c r="I12" s="44"/>
      <c r="J12" s="43">
        <f t="shared" si="1"/>
        <v>10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9" t="s">
        <v>37</v>
      </c>
      <c r="C13" s="46" t="s">
        <v>121</v>
      </c>
      <c r="D13" s="46"/>
      <c r="E13" s="44"/>
      <c r="F13" s="44"/>
      <c r="G13" s="44"/>
      <c r="H13" s="44"/>
      <c r="I13" s="46"/>
      <c r="J13" s="43">
        <f t="shared" si="1"/>
        <v>15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6" t="s">
        <v>129</v>
      </c>
      <c r="C14" s="44"/>
      <c r="D14" s="46" t="s">
        <v>121</v>
      </c>
      <c r="E14" s="44"/>
      <c r="F14" s="46" t="s">
        <v>121</v>
      </c>
      <c r="G14" s="44"/>
      <c r="H14" s="47" t="s">
        <v>121</v>
      </c>
      <c r="I14" s="46"/>
      <c r="J14" s="43">
        <f t="shared" si="1"/>
        <v>30</v>
      </c>
      <c r="K14" s="44"/>
      <c r="L14" s="44"/>
      <c r="M14" s="45">
        <f t="shared" si="2"/>
        <v>0</v>
      </c>
      <c r="N14" s="22"/>
    </row>
    <row r="15">
      <c r="A15" s="22"/>
      <c r="B15" s="22"/>
      <c r="C15" s="22"/>
      <c r="D15" s="22"/>
      <c r="E15" s="22"/>
      <c r="F15" s="22"/>
      <c r="G15" s="22"/>
      <c r="H15" s="22"/>
      <c r="I15" s="50" t="s">
        <v>124</v>
      </c>
      <c r="J15" s="51">
        <f>SUM(J7:J14)</f>
        <v>95</v>
      </c>
      <c r="K15" s="22"/>
      <c r="L15" s="52" t="s">
        <v>125</v>
      </c>
      <c r="M15" s="53">
        <f>sum(M9:M14)</f>
        <v>2</v>
      </c>
      <c r="N15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2.0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4.0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20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39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1" t="s">
        <v>130</v>
      </c>
      <c r="C9" s="41" t="s">
        <v>121</v>
      </c>
      <c r="D9" s="41"/>
      <c r="E9" s="41"/>
      <c r="F9" s="42"/>
      <c r="G9" s="42"/>
      <c r="H9" s="42"/>
      <c r="I9" s="42"/>
      <c r="J9" s="43">
        <f t="shared" ref="J9:J14" si="1">if(C9="X",$C$7,0)+if(D9="X",$D$7,0)+if(E9="X",$E$7,0)+if(F9="X",$F$7,0)+if(G9="X",$G$7,0)+if(H9="X",$H$7,0)+if(I9="X",$I$7,0)</f>
        <v>15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131</v>
      </c>
      <c r="C10" s="46"/>
      <c r="D10" s="47" t="s">
        <v>121</v>
      </c>
      <c r="E10" s="46"/>
      <c r="F10" s="44"/>
      <c r="G10" s="44"/>
      <c r="H10" s="44"/>
      <c r="I10" s="44"/>
      <c r="J10" s="43">
        <f t="shared" si="1"/>
        <v>10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42</v>
      </c>
      <c r="C11" s="46" t="s">
        <v>121</v>
      </c>
      <c r="D11" s="46"/>
      <c r="E11" s="46"/>
      <c r="F11" s="44"/>
      <c r="G11" s="48"/>
      <c r="H11" s="44"/>
      <c r="I11" s="44"/>
      <c r="J11" s="43">
        <f t="shared" si="1"/>
        <v>15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6" t="s">
        <v>43</v>
      </c>
      <c r="C12" s="46" t="s">
        <v>121</v>
      </c>
      <c r="D12" s="46"/>
      <c r="E12" s="46"/>
      <c r="F12" s="44"/>
      <c r="G12" s="44"/>
      <c r="H12" s="46"/>
      <c r="I12" s="44"/>
      <c r="J12" s="43">
        <f t="shared" si="1"/>
        <v>15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9" t="s">
        <v>132</v>
      </c>
      <c r="C13" s="46"/>
      <c r="D13" s="46" t="s">
        <v>121</v>
      </c>
      <c r="E13" s="44"/>
      <c r="F13" s="46" t="s">
        <v>121</v>
      </c>
      <c r="G13" s="44"/>
      <c r="H13" s="46" t="s">
        <v>121</v>
      </c>
      <c r="I13" s="46"/>
      <c r="J13" s="43">
        <f t="shared" si="1"/>
        <v>30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6"/>
      <c r="C14" s="44"/>
      <c r="D14" s="46"/>
      <c r="E14" s="44"/>
      <c r="F14" s="46"/>
      <c r="G14" s="44"/>
      <c r="H14" s="47"/>
      <c r="I14" s="46"/>
      <c r="J14" s="43">
        <f t="shared" si="1"/>
        <v>0</v>
      </c>
      <c r="K14" s="44"/>
      <c r="L14" s="44"/>
      <c r="M14" s="45">
        <f t="shared" si="2"/>
        <v>0</v>
      </c>
      <c r="N14" s="22"/>
    </row>
    <row r="15">
      <c r="A15" s="22"/>
      <c r="B15" s="22"/>
      <c r="C15" s="22"/>
      <c r="D15" s="22"/>
      <c r="E15" s="22"/>
      <c r="F15" s="22"/>
      <c r="G15" s="22"/>
      <c r="H15" s="22"/>
      <c r="I15" s="50" t="s">
        <v>124</v>
      </c>
      <c r="J15" s="51">
        <f>SUM(J7:J14)</f>
        <v>85</v>
      </c>
      <c r="K15" s="22"/>
      <c r="L15" s="52" t="s">
        <v>125</v>
      </c>
      <c r="M15" s="53">
        <f>sum(M9:M14)</f>
        <v>2</v>
      </c>
      <c r="N15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2.0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5.0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44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45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1" t="s">
        <v>133</v>
      </c>
      <c r="C9" s="41" t="s">
        <v>121</v>
      </c>
      <c r="D9" s="41"/>
      <c r="E9" s="41" t="s">
        <v>121</v>
      </c>
      <c r="F9" s="42"/>
      <c r="G9" s="42"/>
      <c r="H9" s="42"/>
      <c r="I9" s="42"/>
      <c r="J9" s="43">
        <f t="shared" ref="J9:J14" si="1">if(C9="X",$C$7,0)+if(D9="X",$D$7,0)+if(E9="X",$E$7,0)+if(F9="X",$F$7,0)+if(G9="X",$G$7,0)+if(H9="X",$H$7,0)+if(I9="X",$I$7,0)</f>
        <v>25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134</v>
      </c>
      <c r="C10" s="46"/>
      <c r="D10" s="47" t="s">
        <v>121</v>
      </c>
      <c r="E10" s="46"/>
      <c r="F10" s="44"/>
      <c r="G10" s="44"/>
      <c r="H10" s="44"/>
      <c r="I10" s="44"/>
      <c r="J10" s="43">
        <f t="shared" si="1"/>
        <v>10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135</v>
      </c>
      <c r="C11" s="46" t="s">
        <v>121</v>
      </c>
      <c r="D11" s="46"/>
      <c r="E11" s="46"/>
      <c r="F11" s="44"/>
      <c r="G11" s="48"/>
      <c r="H11" s="44"/>
      <c r="I11" s="44"/>
      <c r="J11" s="43">
        <f t="shared" si="1"/>
        <v>15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6" t="s">
        <v>50</v>
      </c>
      <c r="C12" s="46" t="s">
        <v>121</v>
      </c>
      <c r="D12" s="46"/>
      <c r="E12" s="46"/>
      <c r="F12" s="44"/>
      <c r="G12" s="46" t="s">
        <v>121</v>
      </c>
      <c r="H12" s="46"/>
      <c r="I12" s="44"/>
      <c r="J12" s="43">
        <f t="shared" si="1"/>
        <v>20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9" t="s">
        <v>51</v>
      </c>
      <c r="C13" s="46" t="s">
        <v>121</v>
      </c>
      <c r="D13" s="46"/>
      <c r="E13" s="44"/>
      <c r="F13" s="46"/>
      <c r="G13" s="46" t="s">
        <v>121</v>
      </c>
      <c r="H13" s="46"/>
      <c r="I13" s="46"/>
      <c r="J13" s="43">
        <f t="shared" si="1"/>
        <v>20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6" t="s">
        <v>136</v>
      </c>
      <c r="C14" s="44"/>
      <c r="D14" s="46"/>
      <c r="E14" s="44"/>
      <c r="F14" s="46"/>
      <c r="G14" s="44"/>
      <c r="H14" s="47"/>
      <c r="I14" s="46" t="s">
        <v>121</v>
      </c>
      <c r="J14" s="43">
        <f t="shared" si="1"/>
        <v>15</v>
      </c>
      <c r="K14" s="44"/>
      <c r="L14" s="44"/>
      <c r="M14" s="45">
        <f t="shared" si="2"/>
        <v>0</v>
      </c>
      <c r="N14" s="22"/>
    </row>
    <row r="15">
      <c r="A15" s="22"/>
      <c r="B15" s="22"/>
      <c r="C15" s="22"/>
      <c r="D15" s="22"/>
      <c r="E15" s="22"/>
      <c r="F15" s="22"/>
      <c r="G15" s="22"/>
      <c r="H15" s="22"/>
      <c r="I15" s="50" t="s">
        <v>124</v>
      </c>
      <c r="J15" s="51">
        <f>SUM(J7:J14)</f>
        <v>105</v>
      </c>
      <c r="K15" s="22"/>
      <c r="L15" s="52" t="s">
        <v>125</v>
      </c>
      <c r="M15" s="53">
        <f>sum(M9:M14)</f>
        <v>2</v>
      </c>
      <c r="N15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2.0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6.0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44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52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1" t="s">
        <v>53</v>
      </c>
      <c r="C9" s="41" t="s">
        <v>121</v>
      </c>
      <c r="D9" s="41"/>
      <c r="E9" s="41"/>
      <c r="F9" s="42"/>
      <c r="G9" s="42"/>
      <c r="H9" s="42"/>
      <c r="I9" s="42"/>
      <c r="J9" s="43">
        <f t="shared" ref="J9:J14" si="1">if(C9="X",$C$7,0)+if(D9="X",$D$7,0)+if(E9="X",$E$7,0)+if(F9="X",$F$7,0)+if(G9="X",$G$7,0)+if(H9="X",$H$7,0)+if(I9="X",$I$7,0)</f>
        <v>15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137</v>
      </c>
      <c r="C10" s="46"/>
      <c r="D10" s="47" t="s">
        <v>121</v>
      </c>
      <c r="E10" s="46"/>
      <c r="F10" s="44"/>
      <c r="G10" s="44"/>
      <c r="H10" s="44"/>
      <c r="I10" s="44"/>
      <c r="J10" s="43">
        <f t="shared" si="1"/>
        <v>10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55</v>
      </c>
      <c r="C11" s="46" t="s">
        <v>121</v>
      </c>
      <c r="D11" s="46"/>
      <c r="E11" s="46"/>
      <c r="F11" s="44"/>
      <c r="G11" s="48"/>
      <c r="H11" s="44"/>
      <c r="I11" s="44"/>
      <c r="J11" s="43">
        <f t="shared" si="1"/>
        <v>15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6" t="s">
        <v>56</v>
      </c>
      <c r="C12" s="46"/>
      <c r="D12" s="46" t="s">
        <v>121</v>
      </c>
      <c r="E12" s="46"/>
      <c r="F12" s="44"/>
      <c r="G12" s="46" t="s">
        <v>121</v>
      </c>
      <c r="H12" s="46"/>
      <c r="I12" s="44"/>
      <c r="J12" s="43">
        <f t="shared" si="1"/>
        <v>15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9" t="s">
        <v>138</v>
      </c>
      <c r="C13" s="46" t="s">
        <v>121</v>
      </c>
      <c r="D13" s="46"/>
      <c r="E13" s="44"/>
      <c r="F13" s="46"/>
      <c r="G13" s="46" t="s">
        <v>121</v>
      </c>
      <c r="H13" s="46"/>
      <c r="I13" s="46"/>
      <c r="J13" s="43">
        <f t="shared" si="1"/>
        <v>20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6" t="s">
        <v>139</v>
      </c>
      <c r="C14" s="44"/>
      <c r="D14" s="46"/>
      <c r="E14" s="44"/>
      <c r="F14" s="46" t="s">
        <v>121</v>
      </c>
      <c r="G14" s="44"/>
      <c r="H14" s="47"/>
      <c r="I14" s="46" t="s">
        <v>121</v>
      </c>
      <c r="J14" s="43">
        <f t="shared" si="1"/>
        <v>30</v>
      </c>
      <c r="K14" s="44"/>
      <c r="L14" s="44"/>
      <c r="M14" s="45">
        <f t="shared" si="2"/>
        <v>0</v>
      </c>
      <c r="N14" s="22"/>
    </row>
    <row r="15">
      <c r="A15" s="22"/>
      <c r="B15" s="22"/>
      <c r="C15" s="22"/>
      <c r="D15" s="22"/>
      <c r="E15" s="22"/>
      <c r="F15" s="22"/>
      <c r="G15" s="22"/>
      <c r="H15" s="22"/>
      <c r="I15" s="50" t="s">
        <v>124</v>
      </c>
      <c r="J15" s="51">
        <f>SUM(J7:J14)</f>
        <v>105</v>
      </c>
      <c r="K15" s="22"/>
      <c r="L15" s="52" t="s">
        <v>125</v>
      </c>
      <c r="M15" s="53">
        <f>sum(M9:M14)</f>
        <v>2</v>
      </c>
      <c r="N15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2.0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7.0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44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59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1" t="s">
        <v>140</v>
      </c>
      <c r="C9" s="41" t="s">
        <v>121</v>
      </c>
      <c r="D9" s="41"/>
      <c r="E9" s="41" t="s">
        <v>121</v>
      </c>
      <c r="F9" s="42"/>
      <c r="G9" s="42"/>
      <c r="H9" s="42"/>
      <c r="I9" s="42"/>
      <c r="J9" s="43">
        <f t="shared" ref="J9:J14" si="1">if(C9="X",$C$7,0)+if(D9="X",$D$7,0)+if(E9="X",$E$7,0)+if(F9="X",$F$7,0)+if(G9="X",$G$7,0)+if(H9="X",$H$7,0)+if(I9="X",$I$7,0)</f>
        <v>25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61</v>
      </c>
      <c r="C10" s="46" t="s">
        <v>121</v>
      </c>
      <c r="D10" s="47"/>
      <c r="E10" s="46" t="s">
        <v>121</v>
      </c>
      <c r="F10" s="44"/>
      <c r="G10" s="44"/>
      <c r="H10" s="44"/>
      <c r="I10" s="44"/>
      <c r="J10" s="43">
        <f t="shared" si="1"/>
        <v>25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141</v>
      </c>
      <c r="C11" s="46"/>
      <c r="D11" s="46" t="s">
        <v>121</v>
      </c>
      <c r="E11" s="46"/>
      <c r="F11" s="44"/>
      <c r="G11" s="48"/>
      <c r="H11" s="44"/>
      <c r="I11" s="44"/>
      <c r="J11" s="43">
        <f t="shared" si="1"/>
        <v>10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6" t="s">
        <v>142</v>
      </c>
      <c r="C12" s="46"/>
      <c r="D12" s="46" t="s">
        <v>121</v>
      </c>
      <c r="E12" s="46"/>
      <c r="F12" s="44"/>
      <c r="G12" s="46"/>
      <c r="H12" s="46"/>
      <c r="I12" s="44"/>
      <c r="J12" s="43">
        <f t="shared" si="1"/>
        <v>10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9" t="s">
        <v>143</v>
      </c>
      <c r="C13" s="46"/>
      <c r="D13" s="46"/>
      <c r="E13" s="44"/>
      <c r="F13" s="46"/>
      <c r="G13" s="46"/>
      <c r="H13" s="46"/>
      <c r="I13" s="46" t="s">
        <v>121</v>
      </c>
      <c r="J13" s="43">
        <f t="shared" si="1"/>
        <v>15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6"/>
      <c r="C14" s="44"/>
      <c r="D14" s="46"/>
      <c r="E14" s="44"/>
      <c r="F14" s="46"/>
      <c r="G14" s="44"/>
      <c r="H14" s="47"/>
      <c r="I14" s="46"/>
      <c r="J14" s="43">
        <f t="shared" si="1"/>
        <v>0</v>
      </c>
      <c r="K14" s="44"/>
      <c r="L14" s="44"/>
      <c r="M14" s="45">
        <f t="shared" si="2"/>
        <v>0</v>
      </c>
      <c r="N14" s="22"/>
    </row>
    <row r="15">
      <c r="A15" s="22"/>
      <c r="B15" s="22"/>
      <c r="C15" s="22"/>
      <c r="D15" s="22"/>
      <c r="E15" s="22"/>
      <c r="F15" s="22"/>
      <c r="G15" s="22"/>
      <c r="H15" s="22"/>
      <c r="I15" s="50" t="s">
        <v>124</v>
      </c>
      <c r="J15" s="51">
        <f>SUM(J7:J14)</f>
        <v>85</v>
      </c>
      <c r="K15" s="22"/>
      <c r="L15" s="52" t="s">
        <v>125</v>
      </c>
      <c r="M15" s="53">
        <f>sum(M9:M14)</f>
        <v>2</v>
      </c>
      <c r="N15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3.0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8.0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44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65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1" t="s">
        <v>66</v>
      </c>
      <c r="C9" s="42"/>
      <c r="D9" s="41" t="s">
        <v>121</v>
      </c>
      <c r="E9" s="41" t="s">
        <v>121</v>
      </c>
      <c r="F9" s="42"/>
      <c r="G9" s="42"/>
      <c r="H9" s="42"/>
      <c r="I9" s="42"/>
      <c r="J9" s="43">
        <f t="shared" ref="J9:J14" si="1">if(C9="X",$C$7,0)+if(D9="X",$D$7,0)+if(E9="X",$E$7,0)+if(F9="X",$F$7,0)+if(G9="X",$G$7,0)+if(H9="X",$H$7,0)+if(I9="X",$I$7,0)</f>
        <v>20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67</v>
      </c>
      <c r="C10" s="46" t="s">
        <v>121</v>
      </c>
      <c r="D10" s="47" t="s">
        <v>121</v>
      </c>
      <c r="E10" s="46" t="s">
        <v>121</v>
      </c>
      <c r="F10" s="44"/>
      <c r="G10" s="44"/>
      <c r="H10" s="44"/>
      <c r="I10" s="44"/>
      <c r="J10" s="43">
        <f t="shared" si="1"/>
        <v>35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68</v>
      </c>
      <c r="C11" s="44"/>
      <c r="D11" s="44"/>
      <c r="E11" s="46" t="s">
        <v>121</v>
      </c>
      <c r="F11" s="44"/>
      <c r="G11" s="48"/>
      <c r="H11" s="44"/>
      <c r="I11" s="44"/>
      <c r="J11" s="43">
        <f t="shared" si="1"/>
        <v>10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6" t="s">
        <v>144</v>
      </c>
      <c r="C12" s="44"/>
      <c r="D12" s="46" t="s">
        <v>121</v>
      </c>
      <c r="E12" s="46" t="s">
        <v>121</v>
      </c>
      <c r="F12" s="44"/>
      <c r="G12" s="44"/>
      <c r="H12" s="46" t="s">
        <v>121</v>
      </c>
      <c r="I12" s="44"/>
      <c r="J12" s="43">
        <f t="shared" si="1"/>
        <v>25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6" t="s">
        <v>145</v>
      </c>
      <c r="C13" s="44"/>
      <c r="D13" s="44"/>
      <c r="E13" s="44"/>
      <c r="F13" s="44"/>
      <c r="G13" s="44"/>
      <c r="H13" s="44"/>
      <c r="I13" s="46" t="s">
        <v>121</v>
      </c>
      <c r="J13" s="43">
        <f t="shared" si="1"/>
        <v>15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4"/>
      <c r="C14" s="44"/>
      <c r="D14" s="44"/>
      <c r="E14" s="44"/>
      <c r="F14" s="44"/>
      <c r="G14" s="44"/>
      <c r="H14" s="48"/>
      <c r="I14" s="44"/>
      <c r="J14" s="43">
        <f t="shared" si="1"/>
        <v>0</v>
      </c>
      <c r="K14" s="44"/>
      <c r="L14" s="44"/>
      <c r="M14" s="45">
        <f t="shared" si="2"/>
        <v>0</v>
      </c>
      <c r="N14" s="22"/>
    </row>
    <row r="15">
      <c r="A15" s="22"/>
      <c r="B15" s="22"/>
      <c r="C15" s="22"/>
      <c r="D15" s="22"/>
      <c r="E15" s="22"/>
      <c r="F15" s="22"/>
      <c r="G15" s="22"/>
      <c r="H15" s="22"/>
      <c r="I15" s="50" t="s">
        <v>124</v>
      </c>
      <c r="J15" s="51">
        <f>SUM(J7:J14)</f>
        <v>105</v>
      </c>
      <c r="K15" s="22"/>
      <c r="L15" s="52" t="s">
        <v>125</v>
      </c>
      <c r="M15" s="53">
        <f>sum(M9:M14)</f>
        <v>2</v>
      </c>
      <c r="N15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3.0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9.0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70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146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1" t="s">
        <v>72</v>
      </c>
      <c r="C9" s="42"/>
      <c r="D9" s="41" t="s">
        <v>121</v>
      </c>
      <c r="E9" s="41"/>
      <c r="F9" s="42"/>
      <c r="G9" s="42"/>
      <c r="H9" s="42"/>
      <c r="I9" s="42"/>
      <c r="J9" s="43">
        <f t="shared" ref="J9:J16" si="1">if(C9="X",$C$7,0)+if(D9="X",$D$7,0)+if(E9="X",$E$7,0)+if(F9="X",$F$7,0)+if(G9="X",$G$7,0)+if(H9="X",$H$7,0)+if(I9="X",$I$7,0)</f>
        <v>10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147</v>
      </c>
      <c r="C10" s="46"/>
      <c r="D10" s="47"/>
      <c r="E10" s="46" t="s">
        <v>121</v>
      </c>
      <c r="F10" s="44"/>
      <c r="G10" s="44"/>
      <c r="H10" s="44"/>
      <c r="I10" s="44"/>
      <c r="J10" s="43">
        <f t="shared" si="1"/>
        <v>10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148</v>
      </c>
      <c r="C11" s="44"/>
      <c r="D11" s="46" t="s">
        <v>121</v>
      </c>
      <c r="E11" s="46" t="s">
        <v>121</v>
      </c>
      <c r="F11" s="44"/>
      <c r="G11" s="48"/>
      <c r="H11" s="44"/>
      <c r="I11" s="44"/>
      <c r="J11" s="43">
        <f t="shared" si="1"/>
        <v>20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6" t="s">
        <v>149</v>
      </c>
      <c r="C12" s="44"/>
      <c r="D12" s="46"/>
      <c r="E12" s="46"/>
      <c r="F12" s="44"/>
      <c r="G12" s="46" t="s">
        <v>121</v>
      </c>
      <c r="H12" s="46"/>
      <c r="I12" s="44"/>
      <c r="J12" s="43">
        <f t="shared" si="1"/>
        <v>5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6" t="s">
        <v>150</v>
      </c>
      <c r="C13" s="44"/>
      <c r="D13" s="44"/>
      <c r="E13" s="46" t="s">
        <v>121</v>
      </c>
      <c r="F13" s="44"/>
      <c r="G13" s="44"/>
      <c r="H13" s="44"/>
      <c r="I13" s="46"/>
      <c r="J13" s="43">
        <f t="shared" si="1"/>
        <v>10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6" t="s">
        <v>78</v>
      </c>
      <c r="C14" s="46" t="s">
        <v>121</v>
      </c>
      <c r="D14" s="44"/>
      <c r="E14" s="46" t="s">
        <v>121</v>
      </c>
      <c r="F14" s="44"/>
      <c r="G14" s="44"/>
      <c r="H14" s="48"/>
      <c r="I14" s="44"/>
      <c r="J14" s="43">
        <f t="shared" si="1"/>
        <v>25</v>
      </c>
      <c r="K14" s="44"/>
      <c r="L14" s="44"/>
      <c r="M14" s="45">
        <f t="shared" si="2"/>
        <v>0</v>
      </c>
      <c r="N14" s="22"/>
    </row>
    <row r="15">
      <c r="A15" s="54">
        <v>7.0</v>
      </c>
      <c r="B15" s="46" t="s">
        <v>151</v>
      </c>
      <c r="C15" s="44"/>
      <c r="D15" s="44"/>
      <c r="E15" s="46" t="s">
        <v>121</v>
      </c>
      <c r="F15" s="44"/>
      <c r="G15" s="44"/>
      <c r="H15" s="48"/>
      <c r="I15" s="44"/>
      <c r="J15" s="43">
        <f t="shared" si="1"/>
        <v>10</v>
      </c>
      <c r="K15" s="44"/>
      <c r="L15" s="44"/>
      <c r="M15" s="45"/>
      <c r="N15" s="22"/>
    </row>
    <row r="16">
      <c r="A16" s="54">
        <v>8.0</v>
      </c>
      <c r="B16" s="49" t="s">
        <v>152</v>
      </c>
      <c r="C16" s="44"/>
      <c r="D16" s="44"/>
      <c r="E16" s="44"/>
      <c r="F16" s="44"/>
      <c r="G16" s="44"/>
      <c r="H16" s="48"/>
      <c r="I16" s="46" t="s">
        <v>121</v>
      </c>
      <c r="J16" s="43">
        <f t="shared" si="1"/>
        <v>15</v>
      </c>
      <c r="K16" s="44"/>
      <c r="L16" s="44"/>
      <c r="M16" s="45"/>
      <c r="N16" s="22"/>
    </row>
    <row r="17">
      <c r="A17" s="22"/>
      <c r="B17" s="22"/>
      <c r="C17" s="22"/>
      <c r="D17" s="22"/>
      <c r="E17" s="22"/>
      <c r="F17" s="22"/>
      <c r="G17" s="22"/>
      <c r="H17" s="22"/>
      <c r="I17" s="50" t="s">
        <v>124</v>
      </c>
      <c r="J17" s="51">
        <f>SUM(J7:J16)</f>
        <v>105</v>
      </c>
      <c r="K17" s="22"/>
      <c r="L17" s="52" t="s">
        <v>125</v>
      </c>
      <c r="M17" s="53">
        <f>sum(M9:M14)</f>
        <v>2</v>
      </c>
      <c r="N17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3.0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10.0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70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80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1" t="s">
        <v>153</v>
      </c>
      <c r="C9" s="42"/>
      <c r="D9" s="41"/>
      <c r="E9" s="41" t="s">
        <v>121</v>
      </c>
      <c r="F9" s="42"/>
      <c r="G9" s="42"/>
      <c r="H9" s="42"/>
      <c r="I9" s="42"/>
      <c r="J9" s="43">
        <f t="shared" ref="J9:J13" si="1">if(C9="X",$C$7,0)+if(D9="X",$D$7,0)+if(E9="X",$E$7,0)+if(F9="X",$F$7,0)+if(G9="X",$G$7,0)+if(H9="X",$H$7,0)+if(I9="X",$I$7,0)</f>
        <v>10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82</v>
      </c>
      <c r="C10" s="46" t="s">
        <v>121</v>
      </c>
      <c r="D10" s="47"/>
      <c r="E10" s="46"/>
      <c r="F10" s="44"/>
      <c r="G10" s="44"/>
      <c r="H10" s="44"/>
      <c r="I10" s="44"/>
      <c r="J10" s="43">
        <f t="shared" si="1"/>
        <v>15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83</v>
      </c>
      <c r="C11" s="44"/>
      <c r="D11" s="46" t="s">
        <v>121</v>
      </c>
      <c r="E11" s="46"/>
      <c r="F11" s="44"/>
      <c r="G11" s="48"/>
      <c r="H11" s="44"/>
      <c r="I11" s="44"/>
      <c r="J11" s="43">
        <f t="shared" si="1"/>
        <v>10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6" t="s">
        <v>84</v>
      </c>
      <c r="C12" s="44"/>
      <c r="D12" s="46"/>
      <c r="E12" s="46" t="s">
        <v>121</v>
      </c>
      <c r="F12" s="44"/>
      <c r="G12" s="46"/>
      <c r="H12" s="46"/>
      <c r="I12" s="44"/>
      <c r="J12" s="43">
        <f t="shared" si="1"/>
        <v>10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6" t="s">
        <v>85</v>
      </c>
      <c r="C13" s="44"/>
      <c r="D13" s="44"/>
      <c r="E13" s="46" t="s">
        <v>121</v>
      </c>
      <c r="F13" s="44"/>
      <c r="G13" s="44"/>
      <c r="H13" s="44"/>
      <c r="I13" s="46"/>
      <c r="J13" s="43">
        <f t="shared" si="1"/>
        <v>10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9" t="s">
        <v>86</v>
      </c>
      <c r="C14" s="46"/>
      <c r="E14" s="46" t="s">
        <v>121</v>
      </c>
      <c r="F14" s="44"/>
      <c r="G14" s="44"/>
      <c r="H14" s="48"/>
      <c r="I14" s="44"/>
      <c r="J14" s="43">
        <f t="shared" ref="J14:J16" si="3">if(C14="X",$C$7,0)+if(D15="X",$D$7,0)+if(E14="X",$E$7,0)+if(F14="X",$F$7,0)+if(G14="X",$G$7,0)+if(H14="X",$H$7,0)+if(I14="X",$I$7,0)</f>
        <v>20</v>
      </c>
      <c r="K14" s="44"/>
      <c r="L14" s="44"/>
      <c r="M14" s="45">
        <f t="shared" si="2"/>
        <v>0</v>
      </c>
      <c r="N14" s="22"/>
    </row>
    <row r="15">
      <c r="A15" s="54">
        <v>7.0</v>
      </c>
      <c r="B15" s="46" t="s">
        <v>87</v>
      </c>
      <c r="C15" s="44"/>
      <c r="D15" s="46" t="s">
        <v>121</v>
      </c>
      <c r="E15" s="46" t="s">
        <v>121</v>
      </c>
      <c r="F15" s="44"/>
      <c r="G15" s="44"/>
      <c r="H15" s="48"/>
      <c r="I15" s="44"/>
      <c r="J15" s="43">
        <f t="shared" si="3"/>
        <v>10</v>
      </c>
      <c r="K15" s="44"/>
      <c r="L15" s="44"/>
      <c r="M15" s="45"/>
      <c r="N15" s="22"/>
    </row>
    <row r="16">
      <c r="A16" s="54">
        <v>8.0</v>
      </c>
      <c r="B16" s="55" t="s">
        <v>154</v>
      </c>
      <c r="C16" s="44"/>
      <c r="D16" s="44"/>
      <c r="E16" s="44"/>
      <c r="F16" s="44"/>
      <c r="G16" s="44"/>
      <c r="H16" s="48"/>
      <c r="I16" s="46" t="s">
        <v>121</v>
      </c>
      <c r="J16" s="43">
        <f t="shared" si="3"/>
        <v>15</v>
      </c>
      <c r="K16" s="44"/>
      <c r="L16" s="44"/>
      <c r="M16" s="45"/>
      <c r="N16" s="22"/>
    </row>
    <row r="17">
      <c r="A17" s="22"/>
      <c r="C17" s="22"/>
      <c r="D17" s="22"/>
      <c r="E17" s="22"/>
      <c r="F17" s="22"/>
      <c r="G17" s="22"/>
      <c r="H17" s="22"/>
      <c r="I17" s="50" t="s">
        <v>124</v>
      </c>
      <c r="J17" s="51">
        <f>SUM(J7:J16)</f>
        <v>100</v>
      </c>
      <c r="K17" s="22"/>
      <c r="L17" s="52" t="s">
        <v>125</v>
      </c>
      <c r="M17" s="53">
        <f>sum(M9:M14)</f>
        <v>2</v>
      </c>
      <c r="N17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3.0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11.0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70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88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6" t="s">
        <v>89</v>
      </c>
      <c r="C9" s="41" t="s">
        <v>121</v>
      </c>
      <c r="D9" s="41"/>
      <c r="E9" s="41" t="s">
        <v>121</v>
      </c>
      <c r="F9" s="42"/>
      <c r="G9" s="42"/>
      <c r="H9" s="42"/>
      <c r="I9" s="42"/>
      <c r="J9" s="43">
        <f t="shared" ref="J9:J13" si="1">if(C9="X",$C$7,0)+if(D9="X",$D$7,0)+if(E9="X",$E$7,0)+if(F9="X",$F$7,0)+if(G9="X",$G$7,0)+if(H9="X",$H$7,0)+if(I9="X",$I$7,0)</f>
        <v>25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90</v>
      </c>
      <c r="C10" s="46"/>
      <c r="D10" s="47"/>
      <c r="E10" s="46" t="s">
        <v>121</v>
      </c>
      <c r="F10" s="44"/>
      <c r="G10" s="44"/>
      <c r="H10" s="44"/>
      <c r="I10" s="44"/>
      <c r="J10" s="43">
        <f t="shared" si="1"/>
        <v>10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91</v>
      </c>
      <c r="C11" s="44"/>
      <c r="D11" s="46"/>
      <c r="E11" s="46" t="s">
        <v>121</v>
      </c>
      <c r="F11" s="44"/>
      <c r="G11" s="47" t="s">
        <v>121</v>
      </c>
      <c r="H11" s="44"/>
      <c r="I11" s="44"/>
      <c r="J11" s="43">
        <f t="shared" si="1"/>
        <v>15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6" t="s">
        <v>92</v>
      </c>
      <c r="C12" s="44"/>
      <c r="D12" s="46" t="s">
        <v>121</v>
      </c>
      <c r="E12" s="46" t="s">
        <v>121</v>
      </c>
      <c r="F12" s="44"/>
      <c r="G12" s="46"/>
      <c r="H12" s="46"/>
      <c r="I12" s="44"/>
      <c r="J12" s="43">
        <f t="shared" si="1"/>
        <v>20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9" t="s">
        <v>155</v>
      </c>
      <c r="C13" s="44"/>
      <c r="D13" s="44"/>
      <c r="E13" s="46" t="s">
        <v>121</v>
      </c>
      <c r="F13" s="44"/>
      <c r="G13" s="46" t="s">
        <v>121</v>
      </c>
      <c r="H13" s="44"/>
      <c r="I13" s="46"/>
      <c r="J13" s="43">
        <f t="shared" si="1"/>
        <v>15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6" t="s">
        <v>156</v>
      </c>
      <c r="C14" s="46"/>
      <c r="E14" s="46"/>
      <c r="F14" s="44"/>
      <c r="G14" s="44"/>
      <c r="H14" s="48"/>
      <c r="I14" s="46" t="s">
        <v>121</v>
      </c>
      <c r="J14" s="43">
        <f t="shared" ref="J14:J16" si="3">if(C14="X",$C$7,0)+if(D15="X",$D$7,0)+if(E14="X",$E$7,0)+if(F14="X",$F$7,0)+if(G14="X",$G$7,0)+if(H14="X",$H$7,0)+if(I14="X",$I$7,0)</f>
        <v>15</v>
      </c>
      <c r="K14" s="44"/>
      <c r="L14" s="44"/>
      <c r="M14" s="45">
        <f t="shared" si="2"/>
        <v>0</v>
      </c>
      <c r="N14" s="22"/>
    </row>
    <row r="15">
      <c r="A15" s="54">
        <v>7.0</v>
      </c>
      <c r="B15" s="46"/>
      <c r="C15" s="44"/>
      <c r="D15" s="46"/>
      <c r="E15" s="46"/>
      <c r="F15" s="44"/>
      <c r="G15" s="44"/>
      <c r="H15" s="48"/>
      <c r="I15" s="44"/>
      <c r="J15" s="43">
        <f t="shared" si="3"/>
        <v>0</v>
      </c>
      <c r="K15" s="44"/>
      <c r="L15" s="44"/>
      <c r="M15" s="45"/>
      <c r="N15" s="22"/>
    </row>
    <row r="16">
      <c r="A16" s="54">
        <v>8.0</v>
      </c>
      <c r="B16" s="55"/>
      <c r="C16" s="44"/>
      <c r="D16" s="44"/>
      <c r="E16" s="44"/>
      <c r="F16" s="44"/>
      <c r="G16" s="44"/>
      <c r="H16" s="48"/>
      <c r="I16" s="46"/>
      <c r="J16" s="43">
        <f t="shared" si="3"/>
        <v>0</v>
      </c>
      <c r="K16" s="44"/>
      <c r="L16" s="44"/>
      <c r="M16" s="45"/>
      <c r="N16" s="22"/>
    </row>
    <row r="17">
      <c r="A17" s="22"/>
      <c r="C17" s="22"/>
      <c r="D17" s="22"/>
      <c r="E17" s="22"/>
      <c r="F17" s="22"/>
      <c r="G17" s="22"/>
      <c r="H17" s="22"/>
      <c r="I17" s="50" t="s">
        <v>124</v>
      </c>
      <c r="J17" s="51">
        <f>SUM(J7:J16)</f>
        <v>100</v>
      </c>
      <c r="K17" s="22"/>
      <c r="L17" s="52" t="s">
        <v>125</v>
      </c>
      <c r="M17" s="53">
        <f>sum(M9:M14)</f>
        <v>2</v>
      </c>
      <c r="N17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4.0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12.0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70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94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6" t="s">
        <v>95</v>
      </c>
      <c r="C9" s="41"/>
      <c r="D9" s="41" t="s">
        <v>121</v>
      </c>
      <c r="E9" s="41" t="s">
        <v>121</v>
      </c>
      <c r="F9" s="41" t="s">
        <v>121</v>
      </c>
      <c r="G9" s="42"/>
      <c r="H9" s="42"/>
      <c r="I9" s="42"/>
      <c r="J9" s="43">
        <f t="shared" ref="J9:J13" si="1">if(C9="X",$C$7,0)+if(D9="X",$D$7,0)+if(E9="X",$E$7,0)+if(F9="X",$F$7,0)+if(G9="X",$G$7,0)+if(H9="X",$H$7,0)+if(I9="X",$I$7,0)</f>
        <v>35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157</v>
      </c>
      <c r="C10" s="46"/>
      <c r="D10" s="47"/>
      <c r="E10" s="46" t="s">
        <v>121</v>
      </c>
      <c r="F10" s="46" t="s">
        <v>121</v>
      </c>
      <c r="G10" s="44"/>
      <c r="H10" s="44"/>
      <c r="I10" s="44"/>
      <c r="J10" s="43">
        <f t="shared" si="1"/>
        <v>25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98</v>
      </c>
      <c r="C11" s="44"/>
      <c r="D11" s="46" t="s">
        <v>121</v>
      </c>
      <c r="E11" s="46" t="s">
        <v>121</v>
      </c>
      <c r="F11" s="46" t="s">
        <v>121</v>
      </c>
      <c r="G11" s="47"/>
      <c r="H11" s="44"/>
      <c r="I11" s="44"/>
      <c r="J11" s="43">
        <f t="shared" si="1"/>
        <v>35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9" t="s">
        <v>158</v>
      </c>
      <c r="C12" s="44"/>
      <c r="D12" s="46"/>
      <c r="E12" s="46"/>
      <c r="F12" s="44"/>
      <c r="G12" s="46"/>
      <c r="H12" s="46"/>
      <c r="I12" s="46" t="s">
        <v>121</v>
      </c>
      <c r="J12" s="43">
        <f t="shared" si="1"/>
        <v>15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9"/>
      <c r="C13" s="44"/>
      <c r="D13" s="44"/>
      <c r="E13" s="46"/>
      <c r="F13" s="44"/>
      <c r="G13" s="46"/>
      <c r="H13" s="44"/>
      <c r="I13" s="46"/>
      <c r="J13" s="43">
        <f t="shared" si="1"/>
        <v>0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6"/>
      <c r="C14" s="46"/>
      <c r="E14" s="46"/>
      <c r="F14" s="44"/>
      <c r="G14" s="44"/>
      <c r="H14" s="48"/>
      <c r="I14" s="46"/>
      <c r="J14" s="43">
        <f t="shared" ref="J14:J16" si="3">if(C14="X",$C$7,0)+if(D15="X",$D$7,0)+if(E14="X",$E$7,0)+if(F14="X",$F$7,0)+if(G14="X",$G$7,0)+if(H14="X",$H$7,0)+if(I14="X",$I$7,0)</f>
        <v>0</v>
      </c>
      <c r="K14" s="44"/>
      <c r="L14" s="44"/>
      <c r="M14" s="45">
        <f t="shared" si="2"/>
        <v>0</v>
      </c>
      <c r="N14" s="22"/>
    </row>
    <row r="15">
      <c r="A15" s="54">
        <v>7.0</v>
      </c>
      <c r="B15" s="46"/>
      <c r="C15" s="44"/>
      <c r="D15" s="46"/>
      <c r="E15" s="46"/>
      <c r="F15" s="44"/>
      <c r="G15" s="44"/>
      <c r="H15" s="48"/>
      <c r="I15" s="44"/>
      <c r="J15" s="43">
        <f t="shared" si="3"/>
        <v>0</v>
      </c>
      <c r="K15" s="44"/>
      <c r="L15" s="44"/>
      <c r="M15" s="45"/>
      <c r="N15" s="22"/>
    </row>
    <row r="16">
      <c r="A16" s="54">
        <v>8.0</v>
      </c>
      <c r="B16" s="55"/>
      <c r="C16" s="44"/>
      <c r="D16" s="44"/>
      <c r="E16" s="44"/>
      <c r="F16" s="44"/>
      <c r="G16" s="44"/>
      <c r="H16" s="48"/>
      <c r="I16" s="46"/>
      <c r="J16" s="43">
        <f t="shared" si="3"/>
        <v>0</v>
      </c>
      <c r="K16" s="44"/>
      <c r="L16" s="44"/>
      <c r="M16" s="45"/>
      <c r="N16" s="22"/>
    </row>
    <row r="17">
      <c r="A17" s="22"/>
      <c r="C17" s="22"/>
      <c r="D17" s="22"/>
      <c r="E17" s="22"/>
      <c r="F17" s="22"/>
      <c r="G17" s="22"/>
      <c r="H17" s="22"/>
      <c r="I17" s="50" t="s">
        <v>124</v>
      </c>
      <c r="J17" s="51">
        <f>SUM(J7:J16)</f>
        <v>110</v>
      </c>
      <c r="K17" s="22"/>
      <c r="L17" s="52" t="s">
        <v>125</v>
      </c>
      <c r="M17" s="53">
        <f>sum(M9:M14)</f>
        <v>2</v>
      </c>
      <c r="N17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4.0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13.0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99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100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6" t="s">
        <v>101</v>
      </c>
      <c r="C9" s="41" t="s">
        <v>121</v>
      </c>
      <c r="D9" s="41"/>
      <c r="E9" s="41"/>
      <c r="F9" s="41"/>
      <c r="G9" s="42"/>
      <c r="H9" s="42"/>
      <c r="I9" s="42"/>
      <c r="J9" s="43">
        <f t="shared" ref="J9:J13" si="1">if(C9="X",$C$7,0)+if(D9="X",$D$7,0)+if(E9="X",$E$7,0)+if(F9="X",$F$7,0)+if(G9="X",$G$7,0)+if(H9="X",$H$7,0)+if(I9="X",$I$7,0)</f>
        <v>15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159</v>
      </c>
      <c r="C10" s="46"/>
      <c r="D10" s="47"/>
      <c r="E10" s="46" t="s">
        <v>121</v>
      </c>
      <c r="F10" s="46"/>
      <c r="G10" s="44"/>
      <c r="H10" s="44"/>
      <c r="I10" s="44"/>
      <c r="J10" s="43">
        <f t="shared" si="1"/>
        <v>10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160</v>
      </c>
      <c r="C11" s="44"/>
      <c r="D11" s="46" t="s">
        <v>121</v>
      </c>
      <c r="E11" s="46" t="s">
        <v>121</v>
      </c>
      <c r="F11" s="46"/>
      <c r="G11" s="47"/>
      <c r="H11" s="44"/>
      <c r="I11" s="44"/>
      <c r="J11" s="43">
        <f t="shared" si="1"/>
        <v>20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9" t="s">
        <v>161</v>
      </c>
      <c r="C12" s="44"/>
      <c r="D12" s="46"/>
      <c r="E12" s="46" t="s">
        <v>121</v>
      </c>
      <c r="F12" s="44"/>
      <c r="G12" s="46"/>
      <c r="H12" s="46"/>
      <c r="I12" s="46"/>
      <c r="J12" s="43">
        <f t="shared" si="1"/>
        <v>10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9" t="s">
        <v>104</v>
      </c>
      <c r="C13" s="44"/>
      <c r="D13" s="46" t="s">
        <v>121</v>
      </c>
      <c r="E13" s="46" t="s">
        <v>121</v>
      </c>
      <c r="F13" s="44"/>
      <c r="G13" s="46"/>
      <c r="H13" s="44"/>
      <c r="I13" s="46"/>
      <c r="J13" s="43">
        <f t="shared" si="1"/>
        <v>20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6" t="s">
        <v>105</v>
      </c>
      <c r="C14" s="46"/>
      <c r="E14" s="46" t="s">
        <v>121</v>
      </c>
      <c r="F14" s="44"/>
      <c r="G14" s="44"/>
      <c r="H14" s="48"/>
      <c r="I14" s="46"/>
      <c r="J14" s="43">
        <f t="shared" ref="J14:J16" si="3">if(C14="X",$C$7,0)+if(D15="X",$D$7,0)+if(E14="X",$E$7,0)+if(F14="X",$F$7,0)+if(G14="X",$G$7,0)+if(H14="X",$H$7,0)+if(I14="X",$I$7,0)</f>
        <v>10</v>
      </c>
      <c r="K14" s="44"/>
      <c r="L14" s="44"/>
      <c r="M14" s="45">
        <f t="shared" si="2"/>
        <v>0</v>
      </c>
      <c r="N14" s="22"/>
    </row>
    <row r="15">
      <c r="A15" s="54">
        <v>7.0</v>
      </c>
      <c r="B15" s="49" t="s">
        <v>162</v>
      </c>
      <c r="C15" s="44"/>
      <c r="D15" s="46"/>
      <c r="E15" s="46"/>
      <c r="F15" s="44"/>
      <c r="G15" s="44"/>
      <c r="H15" s="48"/>
      <c r="I15" s="46" t="s">
        <v>121</v>
      </c>
      <c r="J15" s="43">
        <f t="shared" si="3"/>
        <v>15</v>
      </c>
      <c r="K15" s="44"/>
      <c r="L15" s="44"/>
      <c r="M15" s="45"/>
      <c r="N15" s="22"/>
    </row>
    <row r="16">
      <c r="A16" s="54">
        <v>8.0</v>
      </c>
      <c r="B16" s="55"/>
      <c r="C16" s="44"/>
      <c r="D16" s="44"/>
      <c r="E16" s="44"/>
      <c r="F16" s="44"/>
      <c r="G16" s="44"/>
      <c r="H16" s="48"/>
      <c r="I16" s="46"/>
      <c r="J16" s="43">
        <f t="shared" si="3"/>
        <v>0</v>
      </c>
      <c r="K16" s="44"/>
      <c r="L16" s="44"/>
      <c r="M16" s="45"/>
      <c r="N16" s="22"/>
    </row>
    <row r="17">
      <c r="A17" s="22"/>
      <c r="C17" s="22"/>
      <c r="D17" s="22"/>
      <c r="E17" s="22"/>
      <c r="F17" s="22"/>
      <c r="G17" s="22"/>
      <c r="H17" s="22"/>
      <c r="I17" s="50" t="s">
        <v>124</v>
      </c>
      <c r="J17" s="51">
        <f>SUM(J7:J16)</f>
        <v>100</v>
      </c>
      <c r="K17" s="22"/>
      <c r="L17" s="52" t="s">
        <v>125</v>
      </c>
      <c r="M17" s="53">
        <f>sum(M9:M14)</f>
        <v>2</v>
      </c>
      <c r="N17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</cols>
  <sheetData>
    <row r="1">
      <c r="A1" s="20" t="s">
        <v>108</v>
      </c>
      <c r="B1" s="21">
        <v>4.0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A2" s="20" t="s">
        <v>109</v>
      </c>
      <c r="B2" s="23">
        <v>14.0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>
      <c r="A3" s="24" t="s">
        <v>14</v>
      </c>
      <c r="B3" s="23" t="s">
        <v>99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>
      <c r="A4" s="20" t="s">
        <v>16</v>
      </c>
      <c r="B4" s="25" t="s">
        <v>106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6" t="s">
        <v>17</v>
      </c>
      <c r="B6" s="27" t="s">
        <v>110</v>
      </c>
      <c r="C6" s="28" t="s">
        <v>111</v>
      </c>
      <c r="D6" s="28" t="s">
        <v>112</v>
      </c>
      <c r="E6" s="28" t="s">
        <v>113</v>
      </c>
      <c r="F6" s="29" t="s">
        <v>114</v>
      </c>
      <c r="G6" s="30"/>
      <c r="H6" s="29" t="s">
        <v>115</v>
      </c>
      <c r="I6" s="30"/>
      <c r="J6" s="31" t="s">
        <v>116</v>
      </c>
      <c r="K6" s="32" t="s">
        <v>114</v>
      </c>
      <c r="L6" s="33" t="s">
        <v>115</v>
      </c>
      <c r="M6" s="34" t="s">
        <v>117</v>
      </c>
      <c r="N6" s="22"/>
    </row>
    <row r="7">
      <c r="A7" s="35"/>
      <c r="B7" s="27" t="s">
        <v>118</v>
      </c>
      <c r="C7" s="36">
        <v>15.0</v>
      </c>
      <c r="D7" s="36">
        <v>10.0</v>
      </c>
      <c r="E7" s="37">
        <v>10.0</v>
      </c>
      <c r="F7" s="36">
        <v>15.0</v>
      </c>
      <c r="G7" s="36">
        <v>5.0</v>
      </c>
      <c r="H7" s="36">
        <v>5.0</v>
      </c>
      <c r="I7" s="36">
        <v>15.0</v>
      </c>
      <c r="J7" s="35"/>
      <c r="K7" s="38" t="s">
        <v>119</v>
      </c>
      <c r="L7" s="38" t="s">
        <v>119</v>
      </c>
      <c r="M7" s="12"/>
      <c r="N7" s="22"/>
    </row>
    <row r="8">
      <c r="A8" s="39"/>
      <c r="B8" s="26" t="s">
        <v>18</v>
      </c>
      <c r="C8" s="39"/>
      <c r="D8" s="39"/>
      <c r="E8" s="39"/>
      <c r="F8" s="39"/>
      <c r="G8" s="39"/>
      <c r="H8" s="39"/>
      <c r="I8" s="39"/>
      <c r="J8" s="39"/>
      <c r="K8" s="13"/>
      <c r="L8" s="13"/>
      <c r="M8" s="13"/>
      <c r="N8" s="22"/>
    </row>
    <row r="9">
      <c r="A9" s="40">
        <v>1.0</v>
      </c>
      <c r="B9" s="46" t="s">
        <v>101</v>
      </c>
      <c r="C9" s="41" t="s">
        <v>121</v>
      </c>
      <c r="D9" s="41"/>
      <c r="E9" s="41" t="s">
        <v>121</v>
      </c>
      <c r="F9" s="41"/>
      <c r="G9" s="42"/>
      <c r="H9" s="42"/>
      <c r="I9" s="42"/>
      <c r="J9" s="43">
        <f t="shared" ref="J9:J13" si="1">if(C9="X",$C$7,0)+if(D9="X",$D$7,0)+if(E9="X",$E$7,0)+if(F9="X",$F$7,0)+if(G9="X",$G$7,0)+if(H9="X",$H$7,0)+if(I9="X",$I$7,0)</f>
        <v>25</v>
      </c>
      <c r="K9" s="44"/>
      <c r="L9" s="45">
        <v>1.0</v>
      </c>
      <c r="M9" s="45">
        <f t="shared" ref="M9:M14" si="2">sum(K9:L9)</f>
        <v>1</v>
      </c>
      <c r="N9" s="22"/>
    </row>
    <row r="10">
      <c r="A10" s="45">
        <v>2.0</v>
      </c>
      <c r="B10" s="46" t="s">
        <v>163</v>
      </c>
      <c r="C10" s="46"/>
      <c r="D10" s="47" t="s">
        <v>121</v>
      </c>
      <c r="E10" s="46" t="s">
        <v>121</v>
      </c>
      <c r="F10" s="46"/>
      <c r="G10" s="44"/>
      <c r="H10" s="44"/>
      <c r="I10" s="44"/>
      <c r="J10" s="43">
        <f t="shared" si="1"/>
        <v>20</v>
      </c>
      <c r="K10" s="44"/>
      <c r="L10" s="44"/>
      <c r="M10" s="45">
        <f t="shared" si="2"/>
        <v>0</v>
      </c>
      <c r="N10" s="22"/>
    </row>
    <row r="11">
      <c r="A11" s="45">
        <v>3.0</v>
      </c>
      <c r="B11" s="46" t="s">
        <v>160</v>
      </c>
      <c r="C11" s="44"/>
      <c r="D11" s="46" t="s">
        <v>121</v>
      </c>
      <c r="E11" s="46"/>
      <c r="F11" s="46"/>
      <c r="G11" s="47"/>
      <c r="H11" s="44"/>
      <c r="I11" s="44"/>
      <c r="J11" s="43">
        <f t="shared" si="1"/>
        <v>10</v>
      </c>
      <c r="K11" s="45">
        <v>1.0</v>
      </c>
      <c r="L11" s="44"/>
      <c r="M11" s="45">
        <f t="shared" si="2"/>
        <v>1</v>
      </c>
      <c r="N11" s="22"/>
    </row>
    <row r="12">
      <c r="A12" s="45">
        <v>4.0</v>
      </c>
      <c r="B12" s="49" t="s">
        <v>161</v>
      </c>
      <c r="C12" s="44"/>
      <c r="D12" s="46"/>
      <c r="E12" s="46" t="s">
        <v>121</v>
      </c>
      <c r="F12" s="44"/>
      <c r="G12" s="46"/>
      <c r="H12" s="46"/>
      <c r="I12" s="46"/>
      <c r="J12" s="43">
        <f t="shared" si="1"/>
        <v>10</v>
      </c>
      <c r="K12" s="44"/>
      <c r="L12" s="44"/>
      <c r="M12" s="45">
        <f t="shared" si="2"/>
        <v>0</v>
      </c>
      <c r="N12" s="22"/>
    </row>
    <row r="13">
      <c r="A13" s="45">
        <v>5.0</v>
      </c>
      <c r="B13" s="49" t="s">
        <v>104</v>
      </c>
      <c r="C13" s="44"/>
      <c r="D13" s="46" t="s">
        <v>121</v>
      </c>
      <c r="E13" s="46"/>
      <c r="F13" s="44"/>
      <c r="G13" s="46"/>
      <c r="H13" s="44"/>
      <c r="I13" s="46"/>
      <c r="J13" s="43">
        <f t="shared" si="1"/>
        <v>10</v>
      </c>
      <c r="K13" s="44"/>
      <c r="L13" s="44"/>
      <c r="M13" s="45">
        <f t="shared" si="2"/>
        <v>0</v>
      </c>
      <c r="N13" s="22"/>
    </row>
    <row r="14">
      <c r="A14" s="45">
        <v>6.0</v>
      </c>
      <c r="B14" s="46" t="s">
        <v>105</v>
      </c>
      <c r="C14" s="46" t="s">
        <v>121</v>
      </c>
      <c r="E14" s="46"/>
      <c r="F14" s="44"/>
      <c r="G14" s="44"/>
      <c r="H14" s="48"/>
      <c r="I14" s="46"/>
      <c r="J14" s="43">
        <f t="shared" ref="J14:J16" si="3">if(C14="X",$C$7,0)+if(D15="X",$D$7,0)+if(E14="X",$E$7,0)+if(F14="X",$F$7,0)+if(G14="X",$G$7,0)+if(H14="X",$H$7,0)+if(I14="X",$I$7,0)</f>
        <v>15</v>
      </c>
      <c r="K14" s="44"/>
      <c r="L14" s="44"/>
      <c r="M14" s="45">
        <f t="shared" si="2"/>
        <v>0</v>
      </c>
      <c r="N14" s="22"/>
    </row>
    <row r="15">
      <c r="A15" s="54">
        <v>7.0</v>
      </c>
      <c r="B15" s="49" t="s">
        <v>164</v>
      </c>
      <c r="C15" s="44"/>
      <c r="D15" s="46"/>
      <c r="E15" s="46"/>
      <c r="F15" s="44"/>
      <c r="G15" s="44"/>
      <c r="H15" s="48"/>
      <c r="I15" s="46" t="s">
        <v>121</v>
      </c>
      <c r="J15" s="43">
        <f t="shared" si="3"/>
        <v>15</v>
      </c>
      <c r="K15" s="44"/>
      <c r="L15" s="44"/>
      <c r="M15" s="45"/>
      <c r="N15" s="22"/>
    </row>
    <row r="16">
      <c r="A16" s="54">
        <v>8.0</v>
      </c>
      <c r="B16" s="55"/>
      <c r="C16" s="44"/>
      <c r="D16" s="44"/>
      <c r="E16" s="44"/>
      <c r="F16" s="44"/>
      <c r="G16" s="44"/>
      <c r="H16" s="48"/>
      <c r="I16" s="46"/>
      <c r="J16" s="43">
        <f t="shared" si="3"/>
        <v>0</v>
      </c>
      <c r="K16" s="44"/>
      <c r="L16" s="44"/>
      <c r="M16" s="45"/>
      <c r="N16" s="22"/>
    </row>
    <row r="17">
      <c r="A17" s="22"/>
      <c r="C17" s="22"/>
      <c r="D17" s="22"/>
      <c r="E17" s="22"/>
      <c r="F17" s="22"/>
      <c r="G17" s="22"/>
      <c r="H17" s="22"/>
      <c r="I17" s="50" t="s">
        <v>124</v>
      </c>
      <c r="J17" s="51">
        <f>SUM(J7:J16)</f>
        <v>105</v>
      </c>
      <c r="K17" s="22"/>
      <c r="L17" s="52" t="s">
        <v>125</v>
      </c>
      <c r="M17" s="53">
        <f>sum(M9:M14)</f>
        <v>2</v>
      </c>
      <c r="N17" s="22"/>
    </row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