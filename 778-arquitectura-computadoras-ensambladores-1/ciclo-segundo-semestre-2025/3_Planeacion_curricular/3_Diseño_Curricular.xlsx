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<sst xmlns="http://schemas.openxmlformats.org/spreadsheetml/2006/main" count="1202" uniqueCount="272">
  <si>
    <t>Diseño de Contenido Curricular</t>
  </si>
  <si>
    <t>Curso</t>
  </si>
  <si>
    <t>778 - Arquitectura de Computadoras y Ensambladores 1</t>
  </si>
  <si>
    <t>Periodo al que aplica</t>
  </si>
  <si>
    <t>Primer Semestre 2026</t>
  </si>
  <si>
    <t>No.</t>
  </si>
  <si>
    <t>Competencia</t>
  </si>
  <si>
    <t>Nombre de la Unidad</t>
  </si>
  <si>
    <t>Tema</t>
  </si>
  <si>
    <t>Subtema</t>
  </si>
  <si>
    <t>Mes</t>
  </si>
  <si>
    <t>Semana</t>
  </si>
  <si>
    <t xml:space="preserve">El estudiante Identifica los componentes esenciales de un sistema IoT mediante el análisis de documentación técnica y catálogos de hardware para describir las funcionalidades básicas de cada elemento del sistema         </t>
  </si>
  <si>
    <t>Arquitectura De Computadores y Lineas Tecnologicas</t>
  </si>
  <si>
    <t>Arquitectura Y Tecnologias</t>
  </si>
  <si>
    <t>Arquitectura Von Neuman</t>
  </si>
  <si>
    <t>Enero</t>
  </si>
  <si>
    <t>Arquitectura Harvard</t>
  </si>
  <si>
    <t>Linea Tecnologia RISC</t>
  </si>
  <si>
    <t>Linea Tecnologica CISC</t>
  </si>
  <si>
    <t xml:space="preserve">El estudiante implementa estructuras de control utilizando instrucciones de saltos en lenguaje ensamblador, mediante técnicas de programación a bajo nivel, para desarrollar soluciones orientadas a sistemas IoT mediante la solucion de problemas aplicacio al hardware. </t>
  </si>
  <si>
    <t>Evolucion De Los Procesadores Hasta La Actualidad</t>
  </si>
  <si>
    <t>Procesadores x86</t>
  </si>
  <si>
    <t>Procesadores ARM</t>
  </si>
  <si>
    <t>ARM vs X86 (En La Actualidad)</t>
  </si>
  <si>
    <t xml:space="preserve">El estudiante implementa prototipos funcionales de sistemas electronicos     utilizando la Raspberry Pi y sensores digitales aplicando un procedimiento de modelado en forma de simulacion       para resolver necesidades específicas de monitoreo o automatización         </t>
  </si>
  <si>
    <t>Electronica Digital Orientado A Sistemas IoT</t>
  </si>
  <si>
    <t>Electronica Digital</t>
  </si>
  <si>
    <t>Raspberry Pi</t>
  </si>
  <si>
    <t>Componentes Electronicos</t>
  </si>
  <si>
    <t>Febrero</t>
  </si>
  <si>
    <t>Controladores De Dispositivos</t>
  </si>
  <si>
    <t>Interfaces De Comunicacion</t>
  </si>
  <si>
    <t>Simulacion De Circuitos Electronicos</t>
  </si>
  <si>
    <t>Sistemas IoT</t>
  </si>
  <si>
    <t>Que es IoT?</t>
  </si>
  <si>
    <t>Caracteristicas principales de un sistema IoT</t>
  </si>
  <si>
    <t>IoT en la actualidad</t>
  </si>
  <si>
    <t>Implementacion De IoT En La Industria</t>
  </si>
  <si>
    <t>Ventajas Y Desventajas Del IoT</t>
  </si>
  <si>
    <t>Control Del Hardware de Raspberry Con Python</t>
  </si>
  <si>
    <t>Control De Sensores Y Actuadores Con Python</t>
  </si>
  <si>
    <t>Raspberry Y Cloud</t>
  </si>
  <si>
    <t>Principales Servicios Para Sistemas IoT</t>
  </si>
  <si>
    <t xml:space="preserve">El estudiante analiza el funcionamiento de la arquitectura ARM y sus modos de operación, mediante el estudio de registros, instrucciones y diagramas estructurales, para optimizar el rendimiento de programas en microcontroladores. </t>
  </si>
  <si>
    <t>Lenguaje Ensamblador ARM-64 bits</t>
  </si>
  <si>
    <t>Introduccion ARM</t>
  </si>
  <si>
    <t>Que Es Ensamblador</t>
  </si>
  <si>
    <t>Vocabulario Basico y Tipos De Datos</t>
  </si>
  <si>
    <t>Registros Basicos Del Procesador</t>
  </si>
  <si>
    <t xml:space="preserve">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t>
  </si>
  <si>
    <t>Instalacion De Herramientas En Linux</t>
  </si>
  <si>
    <t>Set Instrucciones ARM</t>
  </si>
  <si>
    <t>Instrucciones Aritmeticas</t>
  </si>
  <si>
    <t>Marzo</t>
  </si>
  <si>
    <t>Instrucciones Logicas</t>
  </si>
  <si>
    <t xml:space="preserve">El estudiante implementa estructuras de control utilizando instrucciones de saltos en lenguaje ensamblador, mediante técnicas de programación a bajo nivel, para desarrollar soluciones eficientes a problemas computacionales específicos. </t>
  </si>
  <si>
    <t xml:space="preserve">Instrucciones De Carga y Almacenamiento </t>
  </si>
  <si>
    <t xml:space="preserve">Pre y Post Indexing </t>
  </si>
  <si>
    <t>Desplazamientos Y Rotaciones</t>
  </si>
  <si>
    <t>Banderas</t>
  </si>
  <si>
    <t>Seleccion condicional</t>
  </si>
  <si>
    <t>Ciclos y Branching</t>
  </si>
  <si>
    <t xml:space="preserve">El estudiante evalúa el uso de instrucciones de bajo nivel en diferentes plataformas de desarrollo, mediante la comparación de eficiencia, recursos y ciclos de ejecución, para seleccionar la alternativa más adecuada en cada escenario práctico. </t>
  </si>
  <si>
    <t>Niveles Y Tipos De Excepciones</t>
  </si>
  <si>
    <t>Syscalls</t>
  </si>
  <si>
    <t>Directivas De Ensamblador</t>
  </si>
  <si>
    <t>Programacion Hibrida ARM-64 bits</t>
  </si>
  <si>
    <t>Herramientas ARM</t>
  </si>
  <si>
    <t>Usando El Ensamblador De ARM (GDB)</t>
  </si>
  <si>
    <t xml:space="preserve">El estudiante desarrolla algoritmos en lenguaje ensamblador ARM, mediante la integración de operaciones aritméticas, lógicas y de control, para resolver problemas computacionales orientado al analisis de datos de sistemas IoT. </t>
  </si>
  <si>
    <t>Usando El Depurador De ARM (GDB)</t>
  </si>
  <si>
    <t>Abril</t>
  </si>
  <si>
    <t>Creacion De Funciones</t>
  </si>
  <si>
    <t>STACK de ARM</t>
  </si>
  <si>
    <t>El Stack Del Procesador</t>
  </si>
  <si>
    <t>Manejo Del Stack A Nivel De Codigo</t>
  </si>
  <si>
    <t>Casos De Uso Del Stack</t>
  </si>
  <si>
    <t>Compatibilidad de ARM Con C</t>
  </si>
  <si>
    <t>Desarrollando Bloques En ARM</t>
  </si>
  <si>
    <t>Integracion De Bloques ARM En C</t>
  </si>
  <si>
    <t>Integracion De Librerias De C En ARM</t>
  </si>
  <si>
    <t>Tiempo</t>
  </si>
  <si>
    <t xml:space="preserve">1. Bienvenida y Presentación                                   </t>
  </si>
  <si>
    <t>Tiempo Aproximado</t>
  </si>
  <si>
    <t>No puedes excederte mas de 15 minutos</t>
  </si>
  <si>
    <t xml:space="preserve">Nombre y Formacion Academica </t>
  </si>
  <si>
    <t>Titulo de la carrera a nivel diversificado, semestre actual, y cursos que estoy llevando</t>
  </si>
  <si>
    <t xml:space="preserve">Experiencia docente y profecional </t>
  </si>
  <si>
    <t>De tener experiencia laboral, indicarlo y si esta relacionada al curso ampliar.</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</si>
  <si>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</si>
  <si>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</si>
  <si>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IMPORTANTE: mostrar confianza a los estudiantes, para que el resto del semestre se sientan en un ambiente agradable lo cual hará que participen, demostrar que se ayudara con temas personales, o con lo que necesiten</t>
  </si>
  <si>
    <t>Expectativas sobre la dinámica del curso</t>
  </si>
  <si>
    <t>Hablar acerca de lo que se espera de la metodologia, como ellos participaran en clase, indicaciones generales como entregas de tareas, proyectos, y acttividades diarias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</si>
  <si>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</si>
  <si>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</si>
  <si>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</si>
  <si>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</si>
  <si>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r>
      <rPr>
        <rFont val="Arial"/>
        <color theme="1"/>
      </rPr>
      <t xml:space="preserve">1. ¿Qué componente realiza operaciones matemáticas y lógicas dentro del CPU?
a) Memoria b) Unidad de control
</t>
    </r>
    <r>
      <rPr>
        <rFont val="Arial"/>
        <b/>
        <color theme="1"/>
      </rPr>
      <t>c) ALU</t>
    </r>
    <r>
      <rPr>
        <rFont val="Arial"/>
        <color theme="1"/>
      </rPr>
      <t xml:space="preserve"> d) Registro
2. ¿Cuál es el valor de salida de una compuerta AND si ambas entradas son 1?
a) No se puede determinar b) 0
</t>
    </r>
    <r>
      <rPr>
        <rFont val="Arial"/>
        <b/>
        <color theme="1"/>
      </rPr>
      <t>c) 1</t>
    </r>
    <r>
      <rPr>
        <rFont val="Arial"/>
        <color theme="1"/>
      </rPr>
      <t xml:space="preserve"> d) Depende
3. ¿Cuál es la función principal de una resistencia pull-up?
a) Disminuir el voltaje de entrada a un
valor bajo cuando no hay señal
b) Elevar el voltaje de salida
</t>
    </r>
    <r>
      <rPr>
        <rFont val="Arial"/>
        <b/>
        <color theme="1"/>
      </rPr>
      <t>c) Elevar el voltaje de entrada a un
valor alto cuando no hay señal</t>
    </r>
    <r>
      <rPr>
        <rFont val="Arial"/>
        <color theme="1"/>
      </rPr>
      <t xml:space="preserve">
d) Disminuir el voltaje de salida
4. ¿Qué representa un bit dentro del sistema binario?
a) Una celda de memoria b) Una dirección
</t>
    </r>
    <r>
      <rPr>
        <rFont val="Arial"/>
        <b/>
        <color theme="1"/>
      </rPr>
      <t>c) Un estado lógico</t>
    </r>
    <r>
      <rPr>
        <rFont val="Arial"/>
        <color theme="1"/>
      </rPr>
      <t xml:space="preserve"> d) Un número hexadecimal
5. ¿Qué pasa si no se usan resistencias de pull-up o pull-down en las entradas
digitales de un microcontrolador?
a) Las entradas funcionan
correctamente sin problemas.
</t>
    </r>
    <r>
      <rPr>
        <rFont val="Arial"/>
        <b/>
        <color theme="1"/>
      </rPr>
      <t>b) Las entradas pueden tener valores
aleatorios o inestables.</t>
    </r>
    <r>
      <rPr>
        <rFont val="Arial"/>
        <color theme="1"/>
      </rPr>
      <t xml:space="preserve">
c) El microcontrolador ajusta los niveles
de voltaje automáticamente.
d) Los pines se desconectan para
proteger el sistema.
6. Una compuerta OR solo entrega 1 si ambas entradas son 1.
a) VERDADERO </t>
    </r>
    <r>
      <rPr>
        <rFont val="Arial"/>
        <b/>
        <color theme="1"/>
      </rPr>
      <t>b) FALSO</t>
    </r>
    <r>
      <rPr>
        <rFont val="Arial"/>
        <color theme="1"/>
      </rPr>
      <t xml:space="preserve">
7. La memoria RAM es volátil, es decir, se borra al apagar el sistema.
a) FALSA </t>
    </r>
    <r>
      <rPr>
        <rFont val="Arial"/>
        <b/>
        <color theme="1"/>
      </rPr>
      <t>b) VERDADERO</t>
    </r>
    <r>
      <rPr>
        <rFont val="Arial"/>
        <color theme="1"/>
      </rPr>
      <t xml:space="preserve">
8. Una resistencia pull-down mantiene la entrada lógica en estado bajo (0) si no hay
señal.
</t>
    </r>
    <r>
      <rPr>
        <rFont val="Arial"/>
        <b/>
        <color theme="1"/>
      </rPr>
      <t>a) VERDADERO</t>
    </r>
    <r>
      <rPr>
        <rFont val="Arial"/>
        <color theme="1"/>
      </rPr>
      <t xml:space="preserve"> b) FALSO
9. Los buses de datos se usan para indicar direcciones de memoria.
a) VERDADERO </t>
    </r>
    <r>
      <rPr>
        <rFont val="Arial"/>
        <b/>
        <color theme="1"/>
      </rPr>
      <t>b) FALSO</t>
    </r>
    <r>
      <rPr>
        <rFont val="Arial"/>
        <color theme="1"/>
      </rPr>
      <t xml:space="preserve">
10. Un transistor puede comportarse como un interruptor.
a) FALSO </t>
    </r>
    <r>
      <rPr>
        <rFont val="Arial"/>
        <b/>
        <color theme="1"/>
      </rPr>
      <t>b) VERDADERO</t>
    </r>
    <r>
      <rPr>
        <rFont val="Arial"/>
        <color theme="1"/>
      </rPr>
      <t xml:space="preserve">
11. Almacena un bit de información sincronizado por reloj
a) Latch </t>
    </r>
    <r>
      <rPr>
        <rFont val="Arial"/>
        <b/>
        <color theme="1"/>
      </rPr>
      <t xml:space="preserve">b) Flip-Flop tipo D
</t>
    </r>
    <r>
      <rPr>
        <rFont val="Arial"/>
        <color theme="1"/>
      </rPr>
      <t xml:space="preserve">c) Registro de
desplazamiento
d) Contador binario
12. Mueve datos a la izquierda o derecha en cada pulso de
reloj
a) Contador binario b) Registro de
desplazamiento
</t>
    </r>
    <r>
      <rPr>
        <rFont val="Arial"/>
        <b/>
        <color theme="1"/>
      </rPr>
      <t>c) Latch</t>
    </r>
    <r>
      <rPr>
        <rFont val="Arial"/>
        <color theme="1"/>
      </rPr>
      <t xml:space="preserve"> d) Flip-Flop tipo D
13. Incrementa su valor en cada ciclo de reloj
a) Flip-Flop tipo D b) Registro de
desplazamiento
</t>
    </r>
    <r>
      <rPr>
        <rFont val="Arial"/>
        <b/>
        <color theme="1"/>
      </rPr>
      <t>c) Contador binario</t>
    </r>
    <r>
      <rPr>
        <rFont val="Arial"/>
        <color theme="1"/>
      </rPr>
      <t xml:space="preserve"> d) Latch
14. Almacena un bit de forma asíncrona (sin reloj)
</t>
    </r>
    <r>
      <rPr>
        <rFont val="Arial"/>
        <b/>
        <color theme="1"/>
      </rPr>
      <t>a) Flip-Flop tipo D</t>
    </r>
    <r>
      <rPr>
        <rFont val="Arial"/>
        <color theme="1"/>
      </rPr>
      <t xml:space="preserve"> b) Registro de
desplazamiento
c) Latch d) Contador binario</t>
    </r>
  </si>
  <si>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</si>
  <si>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</si>
  <si>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La practica será será un caso real, y deberan indicar con que tecnologias y sensores la desarrollarian</t>
  </si>
  <si>
    <t xml:space="preserve">3. Presentación de los Estudiantes                                </t>
  </si>
  <si>
    <t xml:space="preserve">No puedes excederte mas de 30 minutos </t>
  </si>
  <si>
    <t>Seleccion al Azar de 5 Estudiantes</t>
  </si>
  <si>
    <t>Como primera opcion pasaran de forma democratica, de lo contrario hacer uso de una ruleta online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</si>
  <si>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</si>
  <si>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</si>
  <si>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Cual ha sido el curso que mas se te ha dificultado? Cual ha sido el curso que menos se te ha dificultado? que te gusta realizar en tus tiempos libres? es primera vez que cursas arqui? que has escuchado del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</si>
  <si>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</si>
  <si>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</si>
  <si>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</si>
  <si>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</si>
  <si>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</si>
  <si>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</si>
  <si>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4.  Mostrar Programa del Curso                 </t>
  </si>
  <si>
    <t>No puedes excederte mas de 30 minutos</t>
  </si>
  <si>
    <t xml:space="preserve">2. Evaluación de Conocimientos del Curso Actual                                  </t>
  </si>
  <si>
    <t xml:space="preserve">Redactaras 20 preguntas con sus respectivas respuestas </t>
  </si>
  <si>
    <t>1. ¿Qué característica es más importante al elegir un sensor de temperatura para un cuarto de servidores?
a) Que tenga colores llamativos
b) Alta precisión y estabilidad térmica
c) Que incluya una pantalla integrada
d) Que funcione únicamente por batería
Correcta: b
2. ¿Cuál de los siguientes sensores es más adecuado para medir temperatura ambiental?
a) LDR
b) DHT22
c) Acelerómetro MPU6050
d) Sensor Hall
Correcta: b
3. ¿Qué tipo de alimentación requieren normalmente los sensores de temperatura digitales como el DHT22?
a) 110V AC
b) 3.3V o 5V DC
c) 24V DC industrial
d) Energía solar
Correcta: b
4. ¿Por qué se recomienda usar un microcontrolador como Arduino o ESP32 para el proyecto?
a) Porque incluye un disco duro
b) Porque son fáciles de programar y manejar entradas/salidas
c) Porque funcionan sin energía
d) Porque son exclusivamente para robótica
Correcta: b
5. ¿Qué microcontrolador permite enviar datos por WiFi sin módulos adicionales?
a) ATmega328 puro
b) ESP32
c) PIC16F84
d) 8051
Correcta: b
6. Si se necesita enviar datos hacia un servidor remoto, la opción más práctica es:
a) Infrarrojo
b) WiFi
c) Cable VGA
d) Puerto paralelo
Correcta: b
7. ¿Cuál es una ventaja de enviar datos mediante WiFi?
a) No requiere configuración
b) Permite comunicación inalámbrica a una red existente
c) Funciona aunque no haya router
d) Consume cero energía
Correcta: b
8. ¿Dónde sería más adecuado almacenar los registros de temperatura para análisis histórico?
a) En una hoja de papel
b) En una base de datos local o en la nube
c) En un archivo de Word
d) En un USB conectado al microcontrolador
Correcta: b
9. ¿Qué plataforma común podría usarse para visualizar los datos en tiempo real?
a) PowerPoint
b) Grafana o una app web
c) Photoshop
d) Excel sin conexión
Correcta: b
10. En la programación del sistema, la lógica principal debería:
a) Encender luces decorativas
b) Leer el sensor continuamente y enviar alertas si pasa el límite
c) Reproducir sonidos
d) Detenerse después de la primera lectura
Correcta: b
11. ¿Qué estructura de control es ideal para verificar continuamente la temperatura?
a) for
b) while(true)
c) switch-case
d) try-catch
Correcta: b
12. ¿Cuál sería la parte más crítica del sistema de monitoreo?
a) El color del gabinete
b) La precisión del sensor y la comunicación de datos
c) El tamaño del cable USB
d) El diseño del logo
Correcta: b
13. ¿Qué riesgo existe si el sensor falla sin detección de error?
a) Que el sistema funcione más rápido
b) Que se ignoren temperaturas peligrosas
c) Que el servidor aumente su velocidad
d) Que el WiFi se haga más fuerte
Correcta: b
14. ¿Qué técnica ayuda a validar si un sensor está funcionando correctamente?
a) Reiniciar el edificio
b) Comparar lecturas con valores razonables y límites
c) Golpear el sensor suavemente
d) Usar un lente de aumento
Correcta: b
15. ¿Qué acción debe realizar el sistema si detecta una lectura imposible, como -200°C?
a) Considerarla válida
b) Enviar alerta y descartar la lectura
c) Apagar todo el sistema
d) Reiniciar el sistema operativo del servidor
Correcta: b
16. ¿Cuál es una buena práctica para evitar sobrecargar la red WiFi?
a) Enviar datos cada microsegundo
b) Enviar datos a intervalos razonables
c) Nunca enviar datos
d) Usar WiFi 2.4 GHz únicamente
Correcta: b
17. ¿Por qué es útil almacenar los valores promedio además de las lecturas instantáneas?
a) Para decorar la interfaz
b) Para identificar tendencias y picos térmicos
c) Para que el archivo sea más grande
d) Para evitar usar ecuaciones
Correcta: b
18. Si el microcontrolador pierde conexión WiFi, lo más adecuado sería:
a) Apagar el sensor
b) Guardar datos temporalmente y reintentar la conexión
c) Formatear la memoria Flash
d) Subir la temperatura
Correcta: b
19. ¿Qué tipo de alerta es más conveniente para temperaturas críticas?
a) Notificación por correo o app
b) Cambiar el fondo de pantalla
c) Imprimir una hoja
d) Encender un foco azul
Correcta: a
20. ¿Cuál de los siguientes elementos NO es necesario para resolver el problema del PDF?
a) Sensor de temperatura
b) Microcontrolador
c) Sistema de comunicación
d) Tarjeta gráfica dedicada
Correcta: d</t>
  </si>
  <si>
    <t>Diseño de la Sesión de Laboratorio</t>
  </si>
  <si>
    <t>Ponderación</t>
  </si>
  <si>
    <t>Validación de Tiempo</t>
  </si>
  <si>
    <t>1. Área Actitudinal (Saber Ser)</t>
  </si>
  <si>
    <t>Tiene que estar en un rango de 3 a 5 minutos</t>
  </si>
  <si>
    <t>Nombre del Valor</t>
  </si>
  <si>
    <t>Curiosidad</t>
  </si>
  <si>
    <t>Descripcion</t>
  </si>
  <si>
    <t>es una cualidad o principio que una persona o sociedad estima como importante, bueno o deseable, ya sea por su utilidad, su significado, su importancia o por la apreciación que genera</t>
  </si>
  <si>
    <t>Como se relaciona con los conocimientos de la sesion y se aplicaria</t>
  </si>
  <si>
    <t>comprender cómo funcionan los sistemas nos impulsa a investigar más allá de lo superficial.</t>
  </si>
  <si>
    <t>2. Área Conocimiento (Saber)</t>
  </si>
  <si>
    <t>No puede exceder los 60 minutos</t>
  </si>
  <si>
    <t>Competencia a desarrollar</t>
  </si>
  <si>
    <t xml:space="preserve">El estudiante comprende e integra los fundamentos de la arquitectura ARM, el funcionamiento de programas en lenguaje ensamblador y la interaccion con el hardware mediante el analisis de instrucciones, estructuras de control y manipulacion de memoria, para desarrollar soluciones optimas en sistemas embebidos y entornos IoT </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</si>
  <si>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</si>
  <si>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</si>
  <si>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</si>
  <si>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</si>
  <si>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</si>
  <si>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</si>
  <si>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</si>
  <si>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</si>
  <si>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</si>
  <si>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</si>
  <si>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</si>
  <si>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</si>
  <si>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</si>
  <si>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</si>
  <si>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</si>
  <si>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</si>
  <si>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</si>
  <si>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</si>
  <si>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</si>
  <si>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</si>
  <si>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</si>
  <si>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</si>
  <si>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</si>
  <si>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Cuestionario en UEDI de 10 preguntas, de la teoria vista en clase</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</si>
  <si>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</si>
  <si>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</si>
  <si>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</si>
  <si>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</si>
  <si>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</si>
  <si>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</si>
  <si>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Adaptabilidad</t>
  </si>
  <si>
    <t>capacidad de una persona o sistema para ajustarse y responder de manera efectiva a cambios en su entorno</t>
  </si>
  <si>
    <t>tecnologías como Raspberry Pi muestran cómo el conocimiento técnico se aplica en contextos diversos.</t>
  </si>
  <si>
    <t xml:space="preserve">Recuerda diferentes dispositivos de electronica digital que le permitan dar soluciones a sistemas IoT analizando documentacion tecnica, catalogos de hardware que aporten un valor agregado a la solucion de sistemas embebidos y su interaccion con el entorno </t>
  </si>
  <si>
    <t xml:space="preserve">Comprende el funcionamiento de la arquitectura ARM, la interaccion del hardware con el lenguaje a bajo nivel analizando instrucciones, estructuras de control y manejo de pines multiproposito permitiendole desarrollar sismteas embebidos y entornos IoT </t>
  </si>
  <si>
    <t>Cuestionario en Kahoot para mas interactividad, con 10 preguntas de opcion multiple</t>
  </si>
  <si>
    <t>Precisión</t>
  </si>
  <si>
    <t>cercanía entre mediciones repetidas, indicando la reproducibilidad de un proceso o instrumento</t>
  </si>
  <si>
    <t>trabajar con componentes electrónicos requiere atención al detalle y exactitud en su manejo.</t>
  </si>
  <si>
    <t>Cuestionario en Kahoot para poder dar retroalimentacion en cada pregunta, colocar algunas preguntas abiertas para discutirlas en clase</t>
  </si>
  <si>
    <t>Innovacion</t>
  </si>
  <si>
    <t>reación, mejora e implementación de nuevas ideas, procesos y tecnologías para resolver problemas y desarrollar soluciones que impulsen el progreso de la sociedad y la industria</t>
  </si>
  <si>
    <t>el estudio del IoT impulsa la búsqueda de soluciones tecnológicas creativas.</t>
  </si>
  <si>
    <t xml:space="preserve">Aplica conceptos de electronica para la construccion de prototipos IoT orientados a casos de uso del mundo real mediante placas de desarrollo como raspberry pi, sensores digitales y diseño de sistemas para la automatizacion de procesos logrando mayor eficiencia </t>
  </si>
  <si>
    <t>Ejercicio practico</t>
  </si>
  <si>
    <t>Caso practico donde deben de seleccionar tecnologias, comparando modelos de raspberry</t>
  </si>
  <si>
    <t>Disciplina</t>
  </si>
  <si>
    <t xml:space="preserve">Estudia las bases del lenguaje ensamblador de forma didactica, un tiempo prudente y constante para comprender el tema. </t>
  </si>
  <si>
    <t>Desarrollo de programas a bajo nivel optimos</t>
  </si>
  <si>
    <t>actividades</t>
  </si>
  <si>
    <t>Evaluacion corta acerca de los principales terminos utilizados y de los fundamentos del lenguaje ensamblador ARM de 64 bits.</t>
  </si>
  <si>
    <t>Resolucion de dudas, restrospectiva del contenido de la semana.</t>
  </si>
  <si>
    <t>Claridad Mental</t>
  </si>
  <si>
    <t xml:space="preserve">Piensa de forma abstracta problemas de dificultad media para poder realizar una representacion visual o escrita desarrollando la logica de programacion y la solucion de problemas. </t>
  </si>
  <si>
    <t>Manipulacion de la memoria y su indexado utilizando aritmetica y logica</t>
  </si>
  <si>
    <t>Evaluacion corta acerca del manejo de indexados para el acceso a la memoria y la manipulacion de esta</t>
  </si>
  <si>
    <t>Resolucion de dudas y retrospectiva del contenido, lectura del segundo proyecto del curso</t>
  </si>
  <si>
    <t>Pensamiento Critico</t>
  </si>
  <si>
    <t xml:space="preserve">Analiza estructuras, comprende el funcionamiento y desarrolla algoritmos eficientes que cumplen con la tarea solicitada. </t>
  </si>
  <si>
    <t>Desarrollar estructuras de control, requiere una comprension de la estructura del programa y la implementacion de estructuras optimas</t>
  </si>
  <si>
    <t xml:space="preserve">Analiza el comportamiento de la arquitectura ARM utilizando registros, instrucciones y diagramas de bloques optimizando programas a bajo nivel en microprocesadores </t>
  </si>
  <si>
    <t xml:space="preserve">Traduccion de un algoritmo de alto nivel como dos ciclos para recorrer una matriz a bajo nivel. </t>
  </si>
  <si>
    <t>Resolucion de dudas y retrospeccion del contenido de la semana</t>
  </si>
  <si>
    <t>Comprension</t>
  </si>
  <si>
    <t xml:space="preserve">Entiende el contenido en cierto nivel, ya sea a traves de diferentes recursos audiovisuales que lo ayudan a entender mucho mas el tema. </t>
  </si>
  <si>
    <t>La comunicacion de ARM desde el software que es el lenguaje ensamblador al hardware, y como trabajar con ellas a traves de las llamadas al sistema.</t>
  </si>
  <si>
    <t xml:space="preserve">Evaluacion corta acerca de los tipos y codigos de syscalls y su funcionamiento a nivel de hardware. </t>
  </si>
  <si>
    <t>Adaptarse a diferentes entornos permitiendole una maleabilidad pensativa, que abarca diferentes areas de forma holistica</t>
  </si>
  <si>
    <t>Conocer las diferentes herramientas que tenemos a disposicion para un conocimiento profundo del lenguaje ensamblador, lo que a su vez nos permite adaptarnos a diferentes ambientes de desarrollo</t>
  </si>
  <si>
    <t xml:space="preserve">Crea crea soluciones innovadoras  desarrollando algoritmos mediantes aritmetica, logica y control del flujo que permitan resolver problemas computacionales orientado al analisis de datos de sistemas embebidos </t>
  </si>
  <si>
    <t>Ejercicio practico, en base a una serie de lineas de codigo a bajo nivel, mediante la utilizacion del debugger, este pueda definir los valores de cada registro indicado segun la linea de ejecucion</t>
  </si>
  <si>
    <t>Resolucion de dudas y retrospeccion del contenido de la semana.</t>
  </si>
  <si>
    <t>Diseñar y construir herramientas modernas, desarrollar el sentimiento de curiosidad para poder entrar mas a fondo en diferentes temas del area profesional</t>
  </si>
  <si>
    <t>Conocer la integracon del lenguaje ensamblador con otros lenguajes de programacion como C o Python permiten que el estudiante en su afan de crecimiento profesional quiera indagar mas sobre posibles aplicaciones del lenguaje ensamblador en el mundo actual.</t>
  </si>
  <si>
    <t xml:space="preserve">Evalua diferentes soluciones a bajo nivel en base a los recursos disponibles y encontrando la eficiencia determinando la alternativa mas optima segun el entorno en donde se este desarrollando </t>
  </si>
  <si>
    <t>Desarrollo de funciones o segmentos de codigo que se puedan integrar correctamente en C, tomando en cuenta las especificaciones ABI y su ejecucion correcta.</t>
  </si>
  <si>
    <t xml:space="preserve">Resolucion de dudas y retrospeccion del contenido de la semana. </t>
  </si>
  <si>
    <t>Proyectos</t>
  </si>
  <si>
    <t>La sumatoria de los puntos de los proyectos debe superar el  70% del total de la nota, no puede ser un 100%</t>
  </si>
  <si>
    <t>1. Primer Proyecto</t>
  </si>
  <si>
    <t>Horas para realizarlo</t>
  </si>
  <si>
    <t>Titulo</t>
  </si>
  <si>
    <t>Estación de Control de la Nave Espacial (Star Wars)</t>
  </si>
  <si>
    <t>Qué tecnologías, lenguajes de programación, plataformas, hardware o software se utilizaran</t>
  </si>
  <si>
    <t>Raspberry Pi, Raspberry Pi OS, Python, MQTT, Actuadores, Sensores, Protocolos de Comunicación, Node.js, React, MongoDB</t>
  </si>
  <si>
    <t>Descripción de lo que se realizara</t>
  </si>
  <si>
    <t>Los estudiantes crean una estación de monitoreo de una nave espacial ficticia. La estación mide temperatura, humedad ambiental y humedad del suelo (simulando “zonas verdes o de cultivo dentro de la nave”). Los LED RGB funcionan como un haz de luz o espada láser que cambia de color según el estado del sistema o según la elección del usuario en el dashboard. Los servomotores y LCD se usan para efectos físicos y visualización de datos. Todo está conectado mediante Raspberry Pi, MQTT, una API REST y almacenamiento en MongoDB para gráficas y estadísticas.</t>
  </si>
  <si>
    <t>2. Segundo Proyecto</t>
  </si>
  <si>
    <t>Motor de Álgebra Lineal Optimizado en ARM64</t>
  </si>
  <si>
    <r>
      <rPr>
        <rFont val="Arial"/>
        <color theme="1"/>
      </rPr>
      <t xml:space="preserve">ARM, Qemu, </t>
    </r>
    <r>
      <rPr>
        <rFont val="Arial"/>
        <color rgb="FF1155CC"/>
        <u/>
      </rPr>
      <t>Draw.io</t>
    </r>
    <r>
      <rPr>
        <rFont val="Arial"/>
        <color theme="1"/>
      </rPr>
      <t>, Linux, GCC.</t>
    </r>
  </si>
  <si>
    <t>Implementar un conjunto de rutinas de álgebra lineal de alto rendimiento en ensamblador ARM64, enfocándose en operaciones matriciales y vectoriales optimizadas con instrucciones de bajo nivel</t>
  </si>
  <si>
    <t>3. Tercer Proyecto</t>
  </si>
  <si>
    <t>Optativa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</si>
  <si>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</si>
  <si>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</si>
  <si>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</si>
  <si>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</si>
  <si>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</si>
  <si>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</si>
  <si>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</si>
  <si>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</si>
  <si>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</si>
  <si>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</si>
  <si>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</si>
  <si>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</si>
  <si>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</si>
  <si>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Simulación de estación de control en Proteus</t>
  </si>
  <si>
    <t>Programa de simulación proteus, Pantalla lcd, Sensor de temperatura, Sensor de humedad</t>
  </si>
  <si>
    <t>Diseñar y simular en Proteus una mini estación de monitoreo usando sensores de temperatura y humedad y una pantalla LCD, mostrando en la pantalla los valores simulados. Esto permitirá que los estudiantes practiquen la lectura de sensores y visualización de datos antes de implementarlo físicamente.</t>
  </si>
  <si>
    <t>2. Segunda Tarea</t>
  </si>
  <si>
    <t>Implementación física de estación de monitoreo con Raspberry Pi</t>
  </si>
  <si>
    <t>Raspberry Pi, Python, MQTT, Sensores y API local</t>
  </si>
  <si>
    <t>Implementar físicamente una mini estación de monitoreo usando Raspberry Pi, sensores de temperatura y humedad, LED RGB y pantalla LCD, con control y visualización de datos mediante API local y MQTT.</t>
  </si>
  <si>
    <t>3. Tercera Tarea</t>
  </si>
  <si>
    <t>Desarrollo De Algoritmos</t>
  </si>
  <si>
    <r>
      <rPr>
        <rFont val="Arial"/>
        <color theme="1"/>
      </rPr>
      <t xml:space="preserve">ARM, Qemu, </t>
    </r>
    <r>
      <rPr>
        <rFont val="Arial"/>
        <color rgb="FF1155CC"/>
        <u/>
      </rPr>
      <t>Draw.io</t>
    </r>
    <r>
      <rPr>
        <rFont val="Arial"/>
        <color theme="1"/>
      </rPr>
      <t>, Linux, GCC.</t>
    </r>
  </si>
  <si>
    <t>Implementar el algoritmo de ordenamiento burbuja cuidando la manipulacion de memoria para una cierta cantidad de datos de tamaño entero, y su comparacion frente a una implementacion en un lenguaje como C</t>
  </si>
  <si>
    <t>4. Cuarta Tarea</t>
  </si>
  <si>
    <t>Estructuras De Datos</t>
  </si>
  <si>
    <r>
      <rPr>
        <rFont val="Arial"/>
        <color theme="1"/>
      </rPr>
      <t xml:space="preserve">ARM, Qemu, </t>
    </r>
    <r>
      <rPr>
        <rFont val="Arial"/>
        <color rgb="FF1155CC"/>
        <u/>
      </rPr>
      <t>Draw.io</t>
    </r>
    <r>
      <rPr>
        <rFont val="Arial"/>
        <color theme="1"/>
      </rPr>
      <t>, Linux, GCC.</t>
    </r>
  </si>
  <si>
    <t>Implementa la construccion de un arbol binario utilizando librerias de C para el manejo de memoria dinamica en el lenguaje ensamblador.</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</si>
  <si>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</si>
  <si>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</si>
  <si>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</si>
  <si>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</si>
  <si>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</si>
  <si>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</si>
  <si>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</si>
  <si>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</si>
  <si>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</si>
  <si>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</si>
  <si>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</si>
  <si>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</si>
  <si>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</si>
  <si>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Final</t>
  </si>
  <si>
    <t>Total</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</si>
</sst>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font>
      <b/>
      <sz val="13.0"/>
      <color theme="4"/>
      <name val="Arial"/>
    </font>
    <font>
      <b/>
      <sz val="12.0"/>
      <color theme="4"/>
      <name val="Arial"/>
    </font>
    <font>
      <color rgb="FF999999"/>
      <name val="Arial"/>
    </font>
    <font>
      <color theme="1"/>
      <name val="Arial"/>
      <scheme val="minor"/>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u/>
      <color theme="1"/>
      <name val="Arial"/>
    </font>
    <font>
      <b/>
      <sz val="12.0"/>
      <color theme="1"/>
      <name val="Arial"/>
    </font>
    <font>
      <sz val="12.0"/>
      <color theme="4"/>
      <name val="Arial"/>
    </font>
    <font>
      <sz val="12.0"/>
      <color rgb="FFFFFFFF"/>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1" fillId="0" fontId="4" numFmtId="0" xfId="0" applyAlignment="1" applyBorder="1" applyFont="1">
      <alignment horizontal="center"/>
    </xf>
    <xf borderId="1" fillId="0" fontId="4" numFmtId="0" xfId="0" applyAlignment="1" applyBorder="1" applyFont="1">
      <alignment horizontal="center" shrinkToFit="0" wrapText="1"/>
    </xf>
    <xf borderId="1" fillId="0" fontId="4" numFmtId="0" xfId="0" applyAlignment="1" applyBorder="1" applyFont="1">
      <alignment horizontal="center"/>
    </xf>
    <xf borderId="1" fillId="0" fontId="3" numFmtId="0" xfId="0" applyAlignment="1" applyBorder="1" applyFont="1">
      <alignment horizontal="center" readingOrder="0" shrinkToFit="0" wrapText="1"/>
    </xf>
    <xf borderId="1" fillId="0" fontId="3" numFmtId="0" xfId="0" applyAlignment="1" applyBorder="1" applyFont="1">
      <alignment horizontal="center" shrinkToFit="0" wrapText="1"/>
    </xf>
    <xf borderId="0" fillId="0" fontId="4" numFmtId="0" xfId="0" applyAlignment="1" applyFont="1">
      <alignment shrinkToFit="0" wrapText="1"/>
    </xf>
    <xf borderId="0" fillId="0" fontId="4" numFmtId="0" xfId="0" applyAlignment="1" applyFont="1">
      <alignment readingOrder="0" shrinkToFit="0" wrapText="1"/>
    </xf>
    <xf borderId="1" fillId="0" fontId="3" numFmtId="0" xfId="0" applyBorder="1" applyFont="1"/>
    <xf borderId="2" fillId="0" fontId="4" numFmtId="0" xfId="0" applyBorder="1" applyFont="1"/>
    <xf borderId="3" fillId="0" fontId="7" numFmtId="0" xfId="0" applyBorder="1" applyFont="1"/>
    <xf borderId="4" fillId="0" fontId="7" numFmtId="0" xfId="0" applyBorder="1" applyFont="1"/>
    <xf borderId="1" fillId="0" fontId="4" numFmtId="0" xfId="0" applyBorder="1" applyFont="1"/>
    <xf borderId="0" fillId="0" fontId="8" numFmtId="0" xfId="0" applyFont="1"/>
    <xf borderId="0" fillId="0" fontId="9" numFmtId="0" xfId="0" applyAlignment="1" applyFont="1">
      <alignment shrinkToFit="0" wrapText="1"/>
    </xf>
    <xf borderId="0" fillId="3" fontId="1" numFmtId="0" xfId="0" applyFill="1" applyFont="1"/>
    <xf borderId="0" fillId="0" fontId="10"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11" numFmtId="0" xfId="0" applyAlignment="1" applyFont="1">
      <alignment shrinkToFit="0" wrapText="0"/>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horizontal="left" readingOrder="0" shrinkToFit="0" wrapText="1"/>
    </xf>
    <xf borderId="2" fillId="0" fontId="4" numFmtId="0" xfId="0" applyAlignment="1" applyBorder="1" applyFont="1">
      <alignment readingOrder="0" shrinkToFit="0" wrapText="1"/>
    </xf>
    <xf borderId="1" fillId="4" fontId="4" numFmtId="0" xfId="0" applyBorder="1" applyFont="1"/>
    <xf borderId="0" fillId="0" fontId="12" numFmtId="0" xfId="0" applyFont="1"/>
    <xf borderId="0" fillId="3" fontId="1" numFmtId="0" xfId="0" applyAlignment="1" applyFont="1">
      <alignment readingOrder="0"/>
    </xf>
    <xf borderId="2" fillId="0" fontId="4" numFmtId="0" xfId="0" applyAlignment="1" applyBorder="1" applyFont="1">
      <alignment readingOrder="0"/>
    </xf>
    <xf borderId="0" fillId="0" fontId="13" numFmtId="0" xfId="0" applyAlignment="1" applyFont="1">
      <alignment shrinkToFit="0" wrapText="1"/>
    </xf>
    <xf borderId="0" fillId="0" fontId="4" numFmtId="0" xfId="0" applyAlignment="1" applyFont="1">
      <alignment horizontal="left" shrinkToFit="0" vertical="center" wrapText="1"/>
    </xf>
    <xf borderId="2" fillId="0" fontId="4" numFmtId="0" xfId="0" applyAlignment="1" applyBorder="1" applyFont="1">
      <alignment readingOrder="0" shrinkToFit="0" vertical="bottom" wrapText="1"/>
    </xf>
    <xf borderId="0" fillId="0" fontId="14" numFmtId="0" xfId="0" applyFont="1"/>
    <xf borderId="2" fillId="0" fontId="4" numFmtId="0" xfId="0" applyAlignment="1" applyBorder="1" applyFont="1">
      <alignment vertical="bottom"/>
    </xf>
    <xf borderId="0" fillId="0" fontId="4" numFmtId="0" xfId="0" applyAlignment="1" applyFont="1">
      <alignment shrinkToFit="0" vertical="center" wrapText="1"/>
    </xf>
    <xf borderId="0" fillId="0" fontId="15" numFmtId="0" xfId="0" applyFont="1"/>
    <xf borderId="1" fillId="0" fontId="4" numFmtId="0" xfId="0" applyAlignment="1" applyBorder="1" applyFont="1">
      <alignment shrinkToFit="0" wrapText="1"/>
    </xf>
    <xf borderId="0" fillId="0" fontId="13" numFmtId="0" xfId="0" applyFont="1"/>
    <xf borderId="0" fillId="5" fontId="16" numFmtId="0" xfId="0" applyAlignment="1" applyFill="1" applyFont="1">
      <alignment readingOrder="0"/>
    </xf>
    <xf borderId="2" fillId="4" fontId="4" numFmtId="0" xfId="0" applyBorder="1" applyFont="1"/>
    <xf borderId="5" fillId="0" fontId="4" numFmtId="0" xfId="0" applyAlignment="1" applyBorder="1" applyFont="1">
      <alignment readingOrder="0" shrinkToFit="0" wrapText="1"/>
    </xf>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5" fillId="0" fontId="4" numFmtId="0" xfId="0" applyAlignment="1" applyBorder="1" applyFont="1">
      <alignment readingOrder="0"/>
    </xf>
    <xf borderId="0" fillId="0" fontId="9"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2" fillId="0" fontId="14" numFmtId="0" xfId="0" applyAlignment="1" applyBorder="1" applyFont="1">
      <alignment readingOrder="0"/>
    </xf>
    <xf borderId="11" fillId="0" fontId="7" numFmtId="0" xfId="0" applyBorder="1" applyFont="1"/>
    <xf borderId="12" fillId="0" fontId="7" numFmtId="0" xfId="0" applyBorder="1" applyFont="1"/>
    <xf borderId="2" fillId="0" fontId="14" numFmtId="0" xfId="0" applyBorder="1" applyFont="1"/>
    <xf borderId="0" fillId="0" fontId="17" numFmtId="0" xfId="0" applyFont="1"/>
    <xf borderId="5" fillId="0" fontId="4" numFmtId="0" xfId="0" applyBorder="1" applyFont="1"/>
    <xf borderId="0" fillId="5" fontId="16" numFmtId="0" xfId="0" applyFont="1"/>
    <xf borderId="5" fillId="0" fontId="4" numFmtId="0" xfId="0" applyAlignment="1" applyBorder="1" applyFont="1">
      <alignment horizontal="center" readingOrder="0" shrinkToFit="0" vertical="center" wrapText="1"/>
    </xf>
    <xf borderId="1" fillId="4" fontId="4" numFmtId="0" xfId="0" applyAlignment="1" applyBorder="1" applyFont="1">
      <alignment readingOrder="0" shrinkToFit="0" wrapText="1"/>
    </xf>
    <xf borderId="0" fillId="0" fontId="11" numFmtId="0" xfId="0" applyAlignment="1" applyFont="1">
      <alignment shrinkToFit="0" wrapText="1"/>
    </xf>
    <xf borderId="0" fillId="0" fontId="11" numFmtId="0" xfId="0" applyAlignment="1" applyFont="1">
      <alignment readingOrder="0"/>
    </xf>
    <xf borderId="3" fillId="0" fontId="4" numFmtId="0" xfId="0" applyBorder="1" applyFont="1"/>
    <xf borderId="4" fillId="0" fontId="4" numFmtId="0" xfId="0" applyBorder="1" applyFont="1"/>
    <xf borderId="5" fillId="0" fontId="18" numFmtId="0" xfId="0" applyAlignment="1" applyBorder="1" applyFont="1">
      <alignment readingOrder="0"/>
    </xf>
    <xf borderId="5" fillId="0" fontId="4" numFmtId="0" xfId="0" applyAlignment="1" applyBorder="1" applyFont="1">
      <alignment readingOrder="0" shrinkToFit="0" vertical="center" wrapText="1"/>
    </xf>
    <xf borderId="0" fillId="0" fontId="19" numFmtId="0" xfId="0" applyFont="1"/>
    <xf borderId="0" fillId="3" fontId="20" numFmtId="0" xfId="0" applyFont="1"/>
    <xf borderId="0" fillId="3" fontId="21" numFmtId="0" xfId="0" applyFont="1"/>
    <xf borderId="0" fillId="0" fontId="20" numFmtId="0" xfId="0" applyFont="1"/>
    <xf borderId="0" fillId="0" fontId="5" numFmtId="0" xfId="0" applyAlignment="1" applyFont="1">
      <alignment shrinkToFit="0" wrapText="1"/>
    </xf>
    <xf borderId="0" fillId="0" fontId="22" numFmtId="0" xfId="0" applyAlignment="1" applyFont="1">
      <alignment shrinkToFit="0" wrapText="1"/>
    </xf>
    <xf borderId="0" fillId="0" fontId="22" numFmtId="0" xfId="0" applyFont="1"/>
    <xf borderId="1" fillId="6" fontId="22" numFmtId="0" xfId="0" applyAlignment="1" applyBorder="1" applyFont="1">
      <alignment shrinkToFit="0" wrapText="1"/>
    </xf>
    <xf borderId="1" fillId="6" fontId="22" numFmtId="0" xfId="0" applyBorder="1" applyFont="1"/>
    <xf borderId="1" fillId="0" fontId="4" numFmtId="0" xfId="0" applyAlignment="1" applyBorder="1" applyFont="1">
      <alignment readingOrder="0"/>
    </xf>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40.75"/>
    <col customWidth="1" min="5" max="5" width="40.13"/>
    <col customWidth="1" min="6" max="6" width="36.63"/>
  </cols>
  <sheetData>
    <row r="1" ht="15.75" customHeight="1"/>
    <row r="2" ht="15.75" customHeight="1">
      <c r="A2" s="1">
        <f>VALUE(LEFT(C4,FIND(" - ",C4)-1))</f>
        <v>778</v>
      </c>
      <c r="B2" s="2" t="s">
        <v>0</v>
      </c>
    </row>
    <row r="3" ht="15.75" customHeight="1"/>
    <row r="4" ht="15.75" customHeight="1">
      <c r="B4" s="3" t="s">
        <v>1</v>
      </c>
      <c r="C4" s="4" t="s">
        <v>2</v>
      </c>
    </row>
    <row r="5" ht="15.75" customHeight="1">
      <c r="B5" s="5" t="s">
        <v>3</v>
      </c>
      <c r="C5" s="5" t="s">
        <v>4</v>
      </c>
    </row>
    <row r="6" ht="15.75" customHeight="1">
      <c r="H6" s="6"/>
    </row>
    <row r="7" ht="15.75" customHeight="1">
      <c r="H7" s="6"/>
    </row>
    <row r="8">
      <c r="A8" s="7"/>
      <c r="B8" s="8" t="s">
        <v>5</v>
      </c>
      <c r="C8" s="9" t="s">
        <v>6</v>
      </c>
      <c r="D8" s="8" t="s">
        <v>7</v>
      </c>
      <c r="E8" s="8" t="s">
        <v>8</v>
      </c>
      <c r="F8" s="8" t="s">
        <v>9</v>
      </c>
      <c r="G8" s="8" t="s">
        <v>10</v>
      </c>
      <c r="H8" s="8" t="s">
        <v>11</v>
      </c>
    </row>
    <row r="9">
      <c r="B9" s="10">
        <v>1.0</v>
      </c>
      <c r="C9" s="11" t="s">
        <v>12</v>
      </c>
      <c r="D9" s="12" t="s">
        <v>13</v>
      </c>
      <c r="E9" s="12" t="s">
        <v>14</v>
      </c>
      <c r="F9" s="12" t="s">
        <v>15</v>
      </c>
      <c r="G9" s="13" t="s">
        <v>16</v>
      </c>
      <c r="H9" s="14">
        <v>1.0</v>
      </c>
    </row>
    <row r="10">
      <c r="B10" s="10">
        <v>2.0</v>
      </c>
      <c r="C10" s="11" t="s">
        <v>12</v>
      </c>
      <c r="D10" s="10" t="s">
        <v>13</v>
      </c>
      <c r="E10" s="10" t="s">
        <v>14</v>
      </c>
      <c r="F10" s="10" t="s">
        <v>17</v>
      </c>
      <c r="G10" s="13" t="s">
        <v>16</v>
      </c>
      <c r="H10" s="14">
        <v>1.0</v>
      </c>
    </row>
    <row r="11">
      <c r="B11" s="10">
        <v>3.0</v>
      </c>
      <c r="C11" s="11" t="s">
        <v>12</v>
      </c>
      <c r="D11" s="10" t="s">
        <v>13</v>
      </c>
      <c r="E11" s="10" t="s">
        <v>14</v>
      </c>
      <c r="F11" s="10" t="s">
        <v>18</v>
      </c>
      <c r="G11" s="13" t="s">
        <v>16</v>
      </c>
      <c r="H11" s="14">
        <v>1.0</v>
      </c>
    </row>
    <row r="12">
      <c r="B12" s="10">
        <v>4.0</v>
      </c>
      <c r="C12" s="11" t="s">
        <v>12</v>
      </c>
      <c r="D12" s="10" t="s">
        <v>13</v>
      </c>
      <c r="E12" s="10" t="s">
        <v>14</v>
      </c>
      <c r="F12" s="10" t="s">
        <v>19</v>
      </c>
      <c r="G12" s="13" t="s">
        <v>16</v>
      </c>
      <c r="H12" s="14">
        <v>1.0</v>
      </c>
    </row>
    <row r="13">
      <c r="B13" s="10">
        <v>5.0</v>
      </c>
      <c r="C13" s="11" t="s">
        <v>20</v>
      </c>
      <c r="D13" s="10" t="s">
        <v>13</v>
      </c>
      <c r="E13" s="10" t="s">
        <v>21</v>
      </c>
      <c r="F13" s="10" t="s">
        <v>22</v>
      </c>
      <c r="G13" s="13" t="s">
        <v>16</v>
      </c>
      <c r="H13" s="14">
        <v>2.0</v>
      </c>
    </row>
    <row r="14">
      <c r="B14" s="10">
        <v>6.0</v>
      </c>
      <c r="C14" s="11" t="s">
        <v>20</v>
      </c>
      <c r="D14" s="10" t="s">
        <v>13</v>
      </c>
      <c r="E14" s="10" t="s">
        <v>21</v>
      </c>
      <c r="F14" s="10" t="s">
        <v>23</v>
      </c>
      <c r="G14" s="13" t="s">
        <v>16</v>
      </c>
      <c r="H14" s="14">
        <v>2.0</v>
      </c>
    </row>
    <row r="15">
      <c r="B15" s="10">
        <v>7.0</v>
      </c>
      <c r="C15" s="11" t="s">
        <v>20</v>
      </c>
      <c r="D15" s="10" t="s">
        <v>13</v>
      </c>
      <c r="E15" s="10" t="s">
        <v>21</v>
      </c>
      <c r="F15" s="10" t="s">
        <v>24</v>
      </c>
      <c r="G15" s="13" t="s">
        <v>16</v>
      </c>
      <c r="H15" s="14">
        <v>2.0</v>
      </c>
    </row>
    <row r="16">
      <c r="B16" s="10">
        <v>8.0</v>
      </c>
      <c r="C16" s="11" t="s">
        <v>25</v>
      </c>
      <c r="D16" s="10" t="s">
        <v>26</v>
      </c>
      <c r="E16" s="10" t="s">
        <v>27</v>
      </c>
      <c r="F16" s="10" t="s">
        <v>28</v>
      </c>
      <c r="G16" s="13" t="s">
        <v>16</v>
      </c>
      <c r="H16" s="14">
        <v>2.0</v>
      </c>
    </row>
    <row r="17">
      <c r="B17" s="10">
        <v>9.0</v>
      </c>
      <c r="C17" s="11" t="s">
        <v>12</v>
      </c>
      <c r="D17" s="10" t="s">
        <v>26</v>
      </c>
      <c r="E17" s="10" t="s">
        <v>27</v>
      </c>
      <c r="F17" s="10" t="s">
        <v>29</v>
      </c>
      <c r="G17" s="13" t="s">
        <v>30</v>
      </c>
      <c r="H17" s="14">
        <v>3.0</v>
      </c>
    </row>
    <row r="18">
      <c r="B18" s="10">
        <v>10.0</v>
      </c>
      <c r="C18" s="11" t="s">
        <v>12</v>
      </c>
      <c r="D18" s="10" t="s">
        <v>26</v>
      </c>
      <c r="E18" s="10" t="s">
        <v>27</v>
      </c>
      <c r="F18" s="10" t="s">
        <v>31</v>
      </c>
      <c r="G18" s="13" t="s">
        <v>30</v>
      </c>
      <c r="H18" s="14">
        <v>3.0</v>
      </c>
    </row>
    <row r="19">
      <c r="B19" s="10">
        <v>11.0</v>
      </c>
      <c r="C19" s="11" t="s">
        <v>12</v>
      </c>
      <c r="D19" s="10" t="s">
        <v>26</v>
      </c>
      <c r="E19" s="10" t="s">
        <v>27</v>
      </c>
      <c r="F19" s="10" t="s">
        <v>32</v>
      </c>
      <c r="G19" s="13" t="s">
        <v>30</v>
      </c>
      <c r="H19" s="14">
        <v>3.0</v>
      </c>
    </row>
    <row r="20">
      <c r="B20" s="10">
        <v>12.0</v>
      </c>
      <c r="C20" s="11" t="s">
        <v>12</v>
      </c>
      <c r="D20" s="10" t="s">
        <v>26</v>
      </c>
      <c r="E20" s="10" t="s">
        <v>27</v>
      </c>
      <c r="F20" s="10" t="s">
        <v>33</v>
      </c>
      <c r="G20" s="13" t="s">
        <v>30</v>
      </c>
      <c r="H20" s="14">
        <v>3.0</v>
      </c>
    </row>
    <row r="21">
      <c r="B21" s="10">
        <v>13.0</v>
      </c>
      <c r="C21" s="11" t="s">
        <v>12</v>
      </c>
      <c r="D21" s="10" t="s">
        <v>26</v>
      </c>
      <c r="E21" s="10" t="s">
        <v>34</v>
      </c>
      <c r="F21" s="10" t="s">
        <v>35</v>
      </c>
      <c r="G21" s="13" t="s">
        <v>30</v>
      </c>
      <c r="H21" s="14">
        <v>4.0</v>
      </c>
    </row>
    <row r="22">
      <c r="B22" s="10">
        <v>14.0</v>
      </c>
      <c r="C22" s="11" t="s">
        <v>12</v>
      </c>
      <c r="D22" s="10" t="s">
        <v>26</v>
      </c>
      <c r="E22" s="10" t="s">
        <v>34</v>
      </c>
      <c r="F22" s="10" t="s">
        <v>36</v>
      </c>
      <c r="G22" s="13" t="s">
        <v>30</v>
      </c>
      <c r="H22" s="14">
        <v>4.0</v>
      </c>
    </row>
    <row r="23">
      <c r="B23" s="10">
        <v>15.0</v>
      </c>
      <c r="C23" s="11" t="s">
        <v>12</v>
      </c>
      <c r="D23" s="10" t="s">
        <v>26</v>
      </c>
      <c r="E23" s="10" t="s">
        <v>34</v>
      </c>
      <c r="F23" s="10" t="s">
        <v>37</v>
      </c>
      <c r="G23" s="13" t="s">
        <v>30</v>
      </c>
      <c r="H23" s="14">
        <v>4.0</v>
      </c>
    </row>
    <row r="24">
      <c r="B24" s="10">
        <v>16.0</v>
      </c>
      <c r="C24" s="11" t="s">
        <v>12</v>
      </c>
      <c r="D24" s="10" t="s">
        <v>26</v>
      </c>
      <c r="E24" s="10" t="s">
        <v>34</v>
      </c>
      <c r="F24" s="10" t="s">
        <v>38</v>
      </c>
      <c r="G24" s="13" t="s">
        <v>30</v>
      </c>
      <c r="H24" s="14">
        <v>4.0</v>
      </c>
    </row>
    <row r="25">
      <c r="B25" s="10">
        <v>17.0</v>
      </c>
      <c r="C25" s="11" t="s">
        <v>12</v>
      </c>
      <c r="D25" s="10" t="s">
        <v>26</v>
      </c>
      <c r="E25" s="10" t="s">
        <v>34</v>
      </c>
      <c r="F25" s="10" t="s">
        <v>39</v>
      </c>
      <c r="G25" s="13" t="s">
        <v>30</v>
      </c>
      <c r="H25" s="14">
        <v>4.0</v>
      </c>
    </row>
    <row r="26">
      <c r="B26" s="10">
        <v>18.0</v>
      </c>
      <c r="C26" s="11" t="s">
        <v>12</v>
      </c>
      <c r="D26" s="10" t="s">
        <v>26</v>
      </c>
      <c r="E26" s="10" t="s">
        <v>34</v>
      </c>
      <c r="F26" s="10" t="s">
        <v>40</v>
      </c>
      <c r="G26" s="13" t="s">
        <v>30</v>
      </c>
      <c r="H26" s="14">
        <v>5.0</v>
      </c>
    </row>
    <row r="27">
      <c r="B27" s="10">
        <v>19.0</v>
      </c>
      <c r="C27" s="11" t="s">
        <v>12</v>
      </c>
      <c r="D27" s="10" t="s">
        <v>26</v>
      </c>
      <c r="E27" s="10" t="s">
        <v>34</v>
      </c>
      <c r="F27" s="10" t="s">
        <v>41</v>
      </c>
      <c r="G27" s="13" t="s">
        <v>30</v>
      </c>
      <c r="H27" s="14">
        <v>5.0</v>
      </c>
    </row>
    <row r="28">
      <c r="B28" s="10">
        <v>20.0</v>
      </c>
      <c r="C28" s="11" t="s">
        <v>12</v>
      </c>
      <c r="D28" s="10" t="s">
        <v>26</v>
      </c>
      <c r="E28" s="10" t="s">
        <v>34</v>
      </c>
      <c r="F28" s="10" t="s">
        <v>42</v>
      </c>
      <c r="G28" s="13" t="s">
        <v>30</v>
      </c>
      <c r="H28" s="14">
        <v>5.0</v>
      </c>
    </row>
    <row r="29">
      <c r="B29" s="10">
        <v>21.0</v>
      </c>
      <c r="C29" s="11" t="s">
        <v>12</v>
      </c>
      <c r="D29" s="10" t="s">
        <v>26</v>
      </c>
      <c r="E29" s="10" t="s">
        <v>34</v>
      </c>
      <c r="F29" s="10" t="s">
        <v>43</v>
      </c>
      <c r="G29" s="13" t="s">
        <v>30</v>
      </c>
      <c r="H29" s="14">
        <v>5.0</v>
      </c>
    </row>
    <row r="30">
      <c r="B30" s="10">
        <v>22.0</v>
      </c>
      <c r="C30" s="11" t="s">
        <v>44</v>
      </c>
      <c r="D30" s="10" t="s">
        <v>45</v>
      </c>
      <c r="E30" s="10" t="s">
        <v>46</v>
      </c>
      <c r="F30" s="10" t="s">
        <v>47</v>
      </c>
      <c r="G30" s="13" t="s">
        <v>30</v>
      </c>
      <c r="H30" s="14">
        <v>6.0</v>
      </c>
    </row>
    <row r="31">
      <c r="B31" s="10">
        <v>23.0</v>
      </c>
      <c r="C31" s="11" t="s">
        <v>44</v>
      </c>
      <c r="D31" s="10" t="s">
        <v>45</v>
      </c>
      <c r="E31" s="10" t="s">
        <v>46</v>
      </c>
      <c r="F31" s="10" t="s">
        <v>48</v>
      </c>
      <c r="G31" s="13" t="s">
        <v>30</v>
      </c>
      <c r="H31" s="14">
        <v>6.0</v>
      </c>
    </row>
    <row r="32">
      <c r="B32" s="10">
        <v>24.0</v>
      </c>
      <c r="C32" s="11" t="s">
        <v>44</v>
      </c>
      <c r="D32" s="10" t="s">
        <v>45</v>
      </c>
      <c r="E32" s="10" t="s">
        <v>46</v>
      </c>
      <c r="F32" s="10" t="s">
        <v>49</v>
      </c>
      <c r="G32" s="13" t="s">
        <v>30</v>
      </c>
      <c r="H32" s="14">
        <v>6.0</v>
      </c>
    </row>
    <row r="33">
      <c r="B33" s="10">
        <v>25.0</v>
      </c>
      <c r="C33" s="11" t="s">
        <v>50</v>
      </c>
      <c r="D33" s="10" t="s">
        <v>45</v>
      </c>
      <c r="E33" s="10" t="s">
        <v>46</v>
      </c>
      <c r="F33" s="10" t="s">
        <v>51</v>
      </c>
      <c r="G33" s="13" t="s">
        <v>30</v>
      </c>
      <c r="H33" s="14">
        <v>6.0</v>
      </c>
    </row>
    <row r="34">
      <c r="B34" s="10">
        <v>26.0</v>
      </c>
      <c r="C34" s="11" t="s">
        <v>20</v>
      </c>
      <c r="D34" s="10" t="s">
        <v>45</v>
      </c>
      <c r="E34" s="10" t="s">
        <v>52</v>
      </c>
      <c r="F34" s="10" t="s">
        <v>53</v>
      </c>
      <c r="G34" s="13" t="s">
        <v>54</v>
      </c>
      <c r="H34" s="14">
        <v>7.0</v>
      </c>
    </row>
    <row r="35">
      <c r="B35" s="10">
        <v>27.0</v>
      </c>
      <c r="C35" s="11" t="s">
        <v>20</v>
      </c>
      <c r="D35" s="10" t="s">
        <v>45</v>
      </c>
      <c r="E35" s="10" t="s">
        <v>52</v>
      </c>
      <c r="F35" s="10" t="s">
        <v>55</v>
      </c>
      <c r="G35" s="13" t="s">
        <v>54</v>
      </c>
      <c r="H35" s="14">
        <v>7.0</v>
      </c>
    </row>
    <row r="36">
      <c r="B36" s="10">
        <v>28.0</v>
      </c>
      <c r="C36" s="11" t="s">
        <v>56</v>
      </c>
      <c r="D36" s="10" t="s">
        <v>45</v>
      </c>
      <c r="E36" s="10" t="s">
        <v>52</v>
      </c>
      <c r="F36" s="10" t="s">
        <v>57</v>
      </c>
      <c r="G36" s="13" t="s">
        <v>54</v>
      </c>
      <c r="H36" s="14">
        <v>7.0</v>
      </c>
    </row>
    <row r="37">
      <c r="B37" s="10">
        <v>29.0</v>
      </c>
      <c r="C37" s="11" t="s">
        <v>20</v>
      </c>
      <c r="D37" s="10" t="s">
        <v>45</v>
      </c>
      <c r="E37" s="10" t="s">
        <v>52</v>
      </c>
      <c r="F37" s="10" t="s">
        <v>58</v>
      </c>
      <c r="G37" s="13" t="s">
        <v>54</v>
      </c>
      <c r="H37" s="14">
        <v>7.0</v>
      </c>
    </row>
    <row r="38">
      <c r="B38" s="10">
        <v>30.0</v>
      </c>
      <c r="C38" s="11" t="s">
        <v>20</v>
      </c>
      <c r="D38" s="10" t="s">
        <v>45</v>
      </c>
      <c r="E38" s="10" t="s">
        <v>52</v>
      </c>
      <c r="F38" s="10" t="s">
        <v>59</v>
      </c>
      <c r="G38" s="13" t="s">
        <v>54</v>
      </c>
      <c r="H38" s="14">
        <v>8.0</v>
      </c>
    </row>
    <row r="39">
      <c r="B39" s="10">
        <v>31.0</v>
      </c>
      <c r="C39" s="11" t="s">
        <v>20</v>
      </c>
      <c r="D39" s="10" t="s">
        <v>45</v>
      </c>
      <c r="E39" s="10" t="s">
        <v>52</v>
      </c>
      <c r="F39" s="10" t="s">
        <v>60</v>
      </c>
      <c r="G39" s="13" t="s">
        <v>54</v>
      </c>
      <c r="H39" s="14">
        <v>8.0</v>
      </c>
    </row>
    <row r="40">
      <c r="B40" s="10">
        <v>32.0</v>
      </c>
      <c r="C40" s="11" t="s">
        <v>20</v>
      </c>
      <c r="D40" s="10" t="s">
        <v>45</v>
      </c>
      <c r="E40" s="10" t="s">
        <v>52</v>
      </c>
      <c r="F40" s="10" t="s">
        <v>61</v>
      </c>
      <c r="G40" s="13" t="s">
        <v>54</v>
      </c>
      <c r="H40" s="14">
        <v>8.0</v>
      </c>
    </row>
    <row r="41">
      <c r="B41" s="10">
        <v>33.0</v>
      </c>
      <c r="C41" s="11" t="s">
        <v>20</v>
      </c>
      <c r="D41" s="10" t="s">
        <v>45</v>
      </c>
      <c r="E41" s="10" t="s">
        <v>52</v>
      </c>
      <c r="F41" s="10" t="s">
        <v>62</v>
      </c>
      <c r="G41" s="13" t="s">
        <v>54</v>
      </c>
      <c r="H41" s="14">
        <v>8.0</v>
      </c>
    </row>
    <row r="42">
      <c r="B42" s="10">
        <v>34.0</v>
      </c>
      <c r="C42" s="11" t="s">
        <v>63</v>
      </c>
      <c r="D42" s="10" t="s">
        <v>45</v>
      </c>
      <c r="E42" s="10" t="s">
        <v>52</v>
      </c>
      <c r="F42" s="10" t="s">
        <v>64</v>
      </c>
      <c r="G42" s="13" t="s">
        <v>54</v>
      </c>
      <c r="H42" s="14">
        <v>9.0</v>
      </c>
    </row>
    <row r="43">
      <c r="B43" s="10">
        <v>35.0</v>
      </c>
      <c r="C43" s="11" t="s">
        <v>63</v>
      </c>
      <c r="D43" s="10" t="s">
        <v>45</v>
      </c>
      <c r="E43" s="10" t="s">
        <v>52</v>
      </c>
      <c r="F43" s="10" t="s">
        <v>65</v>
      </c>
      <c r="G43" s="13" t="s">
        <v>54</v>
      </c>
      <c r="H43" s="14">
        <v>9.0</v>
      </c>
    </row>
    <row r="44">
      <c r="B44" s="10">
        <v>36.0</v>
      </c>
      <c r="C44" s="11" t="s">
        <v>63</v>
      </c>
      <c r="D44" s="10" t="s">
        <v>45</v>
      </c>
      <c r="E44" s="10" t="s">
        <v>52</v>
      </c>
      <c r="F44" s="10" t="s">
        <v>66</v>
      </c>
      <c r="G44" s="13" t="s">
        <v>54</v>
      </c>
      <c r="H44" s="14">
        <v>9.0</v>
      </c>
    </row>
    <row r="45">
      <c r="B45" s="10">
        <v>37.0</v>
      </c>
      <c r="C45" s="11" t="s">
        <v>20</v>
      </c>
      <c r="D45" s="10" t="s">
        <v>67</v>
      </c>
      <c r="E45" s="10" t="s">
        <v>68</v>
      </c>
      <c r="F45" s="10" t="s">
        <v>69</v>
      </c>
      <c r="G45" s="13" t="s">
        <v>54</v>
      </c>
      <c r="H45" s="14">
        <v>9.0</v>
      </c>
    </row>
    <row r="46">
      <c r="B46" s="10">
        <v>38.0</v>
      </c>
      <c r="C46" s="11" t="s">
        <v>70</v>
      </c>
      <c r="D46" s="10" t="s">
        <v>67</v>
      </c>
      <c r="E46" s="10" t="s">
        <v>68</v>
      </c>
      <c r="F46" s="10" t="s">
        <v>71</v>
      </c>
      <c r="G46" s="13" t="s">
        <v>72</v>
      </c>
      <c r="H46" s="14">
        <v>10.0</v>
      </c>
    </row>
    <row r="47">
      <c r="B47" s="10">
        <v>39.0</v>
      </c>
      <c r="C47" s="11" t="s">
        <v>70</v>
      </c>
      <c r="D47" s="10" t="s">
        <v>67</v>
      </c>
      <c r="E47" s="10" t="s">
        <v>68</v>
      </c>
      <c r="F47" s="10" t="s">
        <v>73</v>
      </c>
      <c r="G47" s="13" t="s">
        <v>72</v>
      </c>
      <c r="H47" s="14">
        <v>10.0</v>
      </c>
    </row>
    <row r="48">
      <c r="B48" s="10">
        <v>40.0</v>
      </c>
      <c r="C48" s="11" t="s">
        <v>70</v>
      </c>
      <c r="D48" s="10" t="s">
        <v>67</v>
      </c>
      <c r="E48" s="10" t="s">
        <v>74</v>
      </c>
      <c r="F48" s="10" t="s">
        <v>75</v>
      </c>
      <c r="G48" s="13" t="s">
        <v>72</v>
      </c>
      <c r="H48" s="14">
        <v>10.0</v>
      </c>
    </row>
    <row r="49">
      <c r="B49" s="10">
        <v>41.0</v>
      </c>
      <c r="C49" s="11" t="s">
        <v>44</v>
      </c>
      <c r="D49" s="10" t="s">
        <v>67</v>
      </c>
      <c r="E49" s="10" t="s">
        <v>74</v>
      </c>
      <c r="F49" s="10" t="s">
        <v>76</v>
      </c>
      <c r="G49" s="13" t="s">
        <v>72</v>
      </c>
      <c r="H49" s="14">
        <v>10.0</v>
      </c>
    </row>
    <row r="50">
      <c r="B50" s="10">
        <v>42.0</v>
      </c>
      <c r="C50" s="11" t="s">
        <v>70</v>
      </c>
      <c r="D50" s="10" t="s">
        <v>67</v>
      </c>
      <c r="E50" s="10" t="s">
        <v>74</v>
      </c>
      <c r="F50" s="10" t="s">
        <v>77</v>
      </c>
      <c r="G50" s="13" t="s">
        <v>72</v>
      </c>
      <c r="H50" s="14">
        <v>11.0</v>
      </c>
    </row>
    <row r="51">
      <c r="B51" s="10">
        <v>43.0</v>
      </c>
      <c r="C51" s="11" t="s">
        <v>63</v>
      </c>
      <c r="D51" s="10" t="s">
        <v>67</v>
      </c>
      <c r="E51" s="10" t="s">
        <v>78</v>
      </c>
      <c r="F51" s="10" t="s">
        <v>79</v>
      </c>
      <c r="G51" s="13" t="s">
        <v>72</v>
      </c>
      <c r="H51" s="14">
        <v>11.0</v>
      </c>
    </row>
    <row r="52">
      <c r="B52" s="10">
        <v>44.0</v>
      </c>
      <c r="C52" s="11" t="s">
        <v>63</v>
      </c>
      <c r="D52" s="10" t="s">
        <v>67</v>
      </c>
      <c r="E52" s="10" t="s">
        <v>78</v>
      </c>
      <c r="F52" s="10" t="s">
        <v>80</v>
      </c>
      <c r="G52" s="13" t="s">
        <v>72</v>
      </c>
      <c r="H52" s="14">
        <v>11.0</v>
      </c>
    </row>
    <row r="53">
      <c r="B53" s="10">
        <v>45.0</v>
      </c>
      <c r="C53" s="11" t="s">
        <v>63</v>
      </c>
      <c r="D53" s="10" t="s">
        <v>67</v>
      </c>
      <c r="E53" s="10" t="s">
        <v>78</v>
      </c>
      <c r="F53" s="10" t="s">
        <v>81</v>
      </c>
      <c r="G53" s="13" t="s">
        <v>72</v>
      </c>
      <c r="H53" s="14">
        <v>11.0</v>
      </c>
    </row>
    <row r="54" ht="15.75" customHeight="1">
      <c r="C54" s="15"/>
      <c r="H54" s="5"/>
    </row>
    <row r="55" ht="15.75" customHeight="1">
      <c r="C55" s="15"/>
      <c r="H55" s="5"/>
    </row>
    <row r="56" ht="15.75" customHeight="1">
      <c r="C56" s="15"/>
      <c r="H56" s="5"/>
    </row>
    <row r="57" ht="15.75" customHeight="1">
      <c r="C57" s="15"/>
      <c r="H57" s="5"/>
    </row>
    <row r="58" ht="15.75" customHeight="1">
      <c r="C58" s="15"/>
      <c r="H58" s="5"/>
    </row>
    <row r="59" ht="15.75" customHeight="1">
      <c r="C59" s="15"/>
      <c r="H59" s="5"/>
    </row>
    <row r="60" ht="15.75" customHeight="1">
      <c r="C60" s="15"/>
      <c r="H60" s="5"/>
    </row>
    <row r="61" ht="15.75" customHeight="1">
      <c r="C61" s="15"/>
      <c r="H61" s="5"/>
    </row>
    <row r="62" ht="15.75" customHeight="1">
      <c r="C62" s="15"/>
      <c r="H62" s="5"/>
    </row>
    <row r="63" ht="15.75" customHeight="1">
      <c r="C63" s="15"/>
      <c r="H63" s="5"/>
    </row>
    <row r="64" ht="15.75" customHeight="1">
      <c r="C64" s="15"/>
      <c r="H64" s="5"/>
    </row>
    <row r="65" ht="15.75" customHeight="1">
      <c r="C65" s="15"/>
      <c r="H65" s="5"/>
    </row>
    <row r="66" ht="15.75" customHeight="1">
      <c r="C66" s="15"/>
      <c r="H66" s="5"/>
    </row>
    <row r="67" ht="15.75" customHeight="1">
      <c r="C67" s="15"/>
      <c r="H67" s="5"/>
    </row>
    <row r="68" ht="15.75" customHeight="1">
      <c r="C68" s="15"/>
      <c r="H68" s="5"/>
    </row>
    <row r="69" ht="15.75" customHeight="1">
      <c r="C69" s="15"/>
      <c r="H69" s="5"/>
    </row>
    <row r="70" ht="15.75" customHeight="1">
      <c r="C70" s="15"/>
      <c r="H70" s="5"/>
    </row>
    <row r="71" ht="15.75" customHeight="1">
      <c r="C71" s="15"/>
      <c r="H71" s="5"/>
    </row>
    <row r="72" ht="15.75" customHeight="1">
      <c r="C72" s="15"/>
      <c r="H72" s="5"/>
    </row>
    <row r="73" ht="15.75" customHeight="1">
      <c r="C73" s="15"/>
      <c r="H73" s="5"/>
    </row>
    <row r="74" ht="15.75" customHeight="1">
      <c r="C74" s="15"/>
      <c r="H74" s="5"/>
    </row>
    <row r="75" ht="15.75" customHeight="1">
      <c r="C75" s="15"/>
      <c r="H75" s="5"/>
    </row>
    <row r="76" ht="15.75" customHeight="1">
      <c r="C76" s="15"/>
      <c r="H76" s="5"/>
    </row>
    <row r="77" ht="15.75" customHeight="1">
      <c r="C77" s="15"/>
      <c r="H77" s="5"/>
    </row>
    <row r="78" ht="15.75" customHeight="1">
      <c r="C78" s="15"/>
      <c r="H78" s="5"/>
    </row>
    <row r="79" ht="15.75" customHeight="1">
      <c r="C79" s="15"/>
      <c r="H79" s="5"/>
    </row>
    <row r="80" ht="15.75" customHeight="1">
      <c r="C80" s="15"/>
      <c r="H80" s="5"/>
    </row>
    <row r="81" ht="15.75" customHeight="1">
      <c r="C81" s="15"/>
      <c r="H81" s="5"/>
    </row>
    <row r="82" ht="15.75" customHeight="1">
      <c r="C82" s="15"/>
      <c r="H82" s="5"/>
    </row>
    <row r="83" ht="15.75" customHeight="1">
      <c r="C83" s="15"/>
      <c r="H83" s="5"/>
    </row>
    <row r="84" ht="15.75" customHeight="1">
      <c r="C84" s="15"/>
      <c r="H84" s="5"/>
    </row>
    <row r="85" ht="15.75" customHeight="1">
      <c r="C85" s="15"/>
      <c r="H85" s="5"/>
    </row>
    <row r="86" ht="15.75" customHeight="1">
      <c r="C86" s="15"/>
      <c r="H86" s="5"/>
    </row>
    <row r="87" ht="15.75" customHeight="1">
      <c r="C87" s="15"/>
      <c r="H87" s="5"/>
    </row>
    <row r="88" ht="15.75" customHeight="1">
      <c r="C88" s="15"/>
      <c r="H88" s="5"/>
    </row>
    <row r="89" ht="15.75" customHeight="1">
      <c r="C89" s="15"/>
      <c r="H89" s="5"/>
    </row>
    <row r="90" ht="15.75" customHeight="1">
      <c r="C90" s="15"/>
      <c r="H90" s="5"/>
    </row>
    <row r="91" ht="15.75" customHeight="1">
      <c r="C91" s="15"/>
      <c r="H91" s="5"/>
    </row>
    <row r="92" ht="15.75" customHeight="1">
      <c r="C92" s="15"/>
      <c r="H92" s="5"/>
    </row>
    <row r="93" ht="15.75" customHeight="1">
      <c r="C93" s="15"/>
      <c r="H93" s="5"/>
    </row>
    <row r="94" ht="15.75" customHeight="1">
      <c r="C94" s="15"/>
      <c r="H94" s="5"/>
    </row>
    <row r="95" ht="15.75" customHeight="1">
      <c r="C95" s="15"/>
      <c r="H95" s="5"/>
    </row>
    <row r="96" ht="15.75" customHeight="1">
      <c r="C96" s="15"/>
      <c r="H96" s="5"/>
    </row>
    <row r="97" ht="15.75" customHeight="1">
      <c r="C97" s="15"/>
      <c r="H97" s="5"/>
    </row>
    <row r="98" ht="15.75" customHeight="1">
      <c r="C98" s="15"/>
      <c r="H98" s="5"/>
    </row>
    <row r="99" ht="15.75" customHeight="1">
      <c r="C99" s="15"/>
      <c r="H99" s="5"/>
    </row>
    <row r="100" ht="15.75" customHeight="1">
      <c r="C100" s="15"/>
      <c r="H100" s="5"/>
    </row>
    <row r="101" ht="15.75" customHeight="1">
      <c r="C101" s="15"/>
      <c r="H101" s="5"/>
    </row>
    <row r="102" ht="15.75" customHeight="1">
      <c r="C102" s="16"/>
      <c r="H102" s="5"/>
    </row>
    <row r="103" ht="15.75" customHeight="1">
      <c r="C103" s="15"/>
    </row>
    <row r="104" ht="15.75" customHeight="1">
      <c r="C104" s="15"/>
    </row>
    <row r="105" ht="15.75" customHeight="1">
      <c r="C105" s="15"/>
    </row>
    <row r="106" ht="15.75" customHeight="1">
      <c r="C106" s="15"/>
    </row>
    <row r="107" ht="15.75" customHeight="1">
      <c r="C107" s="15"/>
    </row>
    <row r="108" ht="15.75" customHeight="1">
      <c r="C108" s="15"/>
    </row>
    <row r="109" ht="15.75" customHeight="1">
      <c r="C109" s="15"/>
    </row>
    <row r="110" ht="15.75" customHeight="1">
      <c r="C110" s="15"/>
    </row>
    <row r="111" ht="15.75" customHeight="1">
      <c r="C111" s="15"/>
    </row>
    <row r="112" ht="15.75" customHeight="1">
      <c r="C112" s="15"/>
    </row>
    <row r="113" ht="15.75" customHeight="1">
      <c r="C113" s="15"/>
    </row>
    <row r="114" ht="15.75" customHeight="1">
      <c r="C114" s="15"/>
    </row>
    <row r="115" ht="15.75" customHeight="1">
      <c r="C115" s="15"/>
    </row>
    <row r="116" ht="15.75" customHeight="1">
      <c r="C116" s="15"/>
    </row>
    <row r="117" ht="15.75" customHeight="1">
      <c r="C117" s="15"/>
    </row>
    <row r="118" ht="15.75" customHeight="1">
      <c r="C118" s="15"/>
    </row>
    <row r="119" ht="15.75" customHeight="1">
      <c r="C119" s="15"/>
    </row>
    <row r="120" ht="15.75" customHeight="1">
      <c r="C120" s="15"/>
    </row>
    <row r="121" ht="15.75" customHeight="1">
      <c r="C121" s="15"/>
    </row>
    <row r="122" ht="15.75" customHeight="1">
      <c r="C122" s="15"/>
    </row>
    <row r="123" ht="15.75" customHeight="1">
      <c r="C123" s="15"/>
    </row>
    <row r="124" ht="15.75" customHeight="1">
      <c r="C124" s="15"/>
    </row>
    <row r="125" ht="15.75" customHeight="1">
      <c r="C125" s="15"/>
    </row>
    <row r="126" ht="15.75" customHeight="1">
      <c r="C126" s="15"/>
    </row>
    <row r="127" ht="15.75" customHeight="1">
      <c r="C127" s="15"/>
    </row>
    <row r="128" ht="15.75" customHeight="1">
      <c r="C128" s="15"/>
    </row>
    <row r="129" ht="15.75" customHeight="1">
      <c r="C129" s="15"/>
    </row>
    <row r="130" ht="15.75" customHeight="1">
      <c r="C130" s="15"/>
    </row>
    <row r="131" ht="15.75" customHeight="1">
      <c r="C131" s="15"/>
    </row>
    <row r="132" ht="15.75" customHeight="1">
      <c r="C132" s="15"/>
    </row>
    <row r="133" ht="15.75" customHeight="1">
      <c r="C133" s="15"/>
    </row>
    <row r="134" ht="15.75" customHeight="1">
      <c r="C134" s="15"/>
    </row>
    <row r="135" ht="15.75" customHeight="1">
      <c r="C135" s="15"/>
    </row>
    <row r="136" ht="15.75" customHeight="1">
      <c r="C136" s="1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H9:H53">
      <formula1>"1,2,3,4,5,6,7,8,9,10,11,12"</formula1>
    </dataValidation>
    <dataValidation type="list" allowBlank="1" showErrorMessage="1" sqref="C54:C102">
      <formula1>METADATA!$I$17:$I$37</formula1>
    </dataValidation>
    <dataValidation type="list" allowBlank="1" showErrorMessage="1" sqref="C9:C53">
      <formula1>#REF!</formula1>
    </dataValidation>
    <dataValidation type="list" allowBlank="1" showErrorMessage="1" sqref="C4">
      <formula1>METADATA!$A$2:$A$80</formula1>
    </dataValidation>
    <dataValidation type="list" allowBlank="1" showErrorMessage="1" sqref="G9:G53">
      <formula1>"Enero,Febrero,Marzo,Abril,Mayo"</formula1>
    </dataValidation>
    <dataValidation type="list" allowBlank="1" showErrorMessage="1" sqref="H54:H102">
      <formula1>"2,3,4,5,6,7,8,9,10,11"</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7" t="s">
        <v>1</v>
      </c>
      <c r="C4" s="18" t="str">
        <f>'Diseño'!C4</f>
        <v>778 - Arquitectura de Computadoras y Ensambladores 1</v>
      </c>
      <c r="D4" s="19"/>
      <c r="E4" s="19"/>
      <c r="F4" s="19"/>
      <c r="G4" s="20"/>
    </row>
    <row r="5" ht="15.75" customHeight="1">
      <c r="B5" s="21" t="s">
        <v>11</v>
      </c>
      <c r="C5" s="18">
        <v>1.0</v>
      </c>
      <c r="D5" s="19"/>
      <c r="E5" s="19"/>
      <c r="F5" s="19"/>
      <c r="G5" s="20"/>
    </row>
    <row r="6" ht="15.75" customHeight="1">
      <c r="B6" s="21" t="s">
        <v>82</v>
      </c>
      <c r="C6" s="18">
        <f>B22+B29+B36+B41+B47+B15</f>
        <v>100</v>
      </c>
      <c r="D6" s="19"/>
      <c r="E6" s="19"/>
      <c r="F6" s="19"/>
      <c r="G6" s="20"/>
    </row>
    <row r="7" ht="15.75" customHeight="1"/>
    <row r="8" ht="15.75" customHeight="1"/>
    <row r="9" ht="15.75" customHeight="1">
      <c r="A9" s="22" t="s">
        <v>83</v>
      </c>
      <c r="G9" s="23" t="s">
        <v>84</v>
      </c>
      <c r="H9" s="24">
        <f>B15</f>
        <v>15</v>
      </c>
    </row>
    <row r="10" ht="18.0" customHeight="1">
      <c r="G10" s="25" t="s">
        <v>85</v>
      </c>
    </row>
    <row r="11" ht="30.0" customHeight="1">
      <c r="A11" s="26" t="s">
        <v>86</v>
      </c>
      <c r="B11" s="27" t="s">
        <v>87</v>
      </c>
      <c r="C11" s="19"/>
      <c r="D11" s="19"/>
      <c r="E11" s="19"/>
      <c r="F11" s="19"/>
      <c r="G11" s="19"/>
      <c r="H11" s="20"/>
      <c r="I11" s="28"/>
    </row>
    <row r="12" ht="28.5" customHeight="1">
      <c r="A12" s="26" t="s">
        <v>88</v>
      </c>
      <c r="B12" s="27" t="s">
        <v>89</v>
      </c>
      <c r="C12" s="19"/>
      <c r="D12" s="19"/>
      <c r="E12" s="19"/>
      <c r="F12" s="19"/>
      <c r="G12" s="19"/>
      <c r="H12" s="20"/>
      <c r="K12" s="29" t="s">
        <v>90</v>
      </c>
    </row>
    <row r="13" ht="50.25" customHeight="1">
      <c r="A13" s="30" t="s">
        <v>91</v>
      </c>
      <c r="B13" s="31" t="s">
        <v>92</v>
      </c>
      <c r="C13" s="19"/>
      <c r="D13" s="19"/>
      <c r="E13" s="19"/>
      <c r="F13" s="19"/>
      <c r="G13" s="19"/>
      <c r="H13" s="20"/>
    </row>
    <row r="14">
      <c r="A14" s="30" t="s">
        <v>93</v>
      </c>
      <c r="B14" s="32" t="s">
        <v>94</v>
      </c>
      <c r="C14" s="19"/>
      <c r="D14" s="19"/>
      <c r="E14" s="19"/>
      <c r="F14" s="19"/>
      <c r="G14" s="19"/>
      <c r="H14" s="20"/>
    </row>
    <row r="15">
      <c r="A15" s="33" t="s">
        <v>95</v>
      </c>
      <c r="B15" s="32">
        <v>15.0</v>
      </c>
      <c r="C15" s="19"/>
      <c r="D15" s="19"/>
      <c r="E15" s="19"/>
      <c r="F15" s="19"/>
      <c r="G15" s="19"/>
      <c r="H15" s="20"/>
    </row>
    <row r="16" ht="15.75" customHeight="1"/>
    <row r="17" ht="15.75" customHeight="1"/>
    <row r="18" ht="15.75" customHeight="1">
      <c r="A18" s="34" t="s">
        <v>96</v>
      </c>
      <c r="G18" s="23" t="s">
        <v>84</v>
      </c>
      <c r="H18" s="35">
        <v>30.0</v>
      </c>
    </row>
    <row r="19" ht="15.75" customHeight="1">
      <c r="G19" s="25" t="s">
        <v>97</v>
      </c>
    </row>
    <row r="20">
      <c r="A20" s="26" t="s">
        <v>98</v>
      </c>
      <c r="B20" s="27" t="s">
        <v>99</v>
      </c>
      <c r="C20" s="19"/>
      <c r="D20" s="19"/>
      <c r="E20" s="19"/>
      <c r="F20" s="19"/>
      <c r="G20" s="19"/>
      <c r="H20" s="20"/>
      <c r="K20" s="29" t="s">
        <v>100</v>
      </c>
    </row>
    <row r="21" ht="28.5" customHeight="1">
      <c r="A21" s="26" t="s">
        <v>101</v>
      </c>
      <c r="B21" s="27" t="s">
        <v>102</v>
      </c>
      <c r="C21" s="19"/>
      <c r="D21" s="19"/>
      <c r="E21" s="19"/>
      <c r="F21" s="19"/>
      <c r="G21" s="19"/>
      <c r="H21" s="20"/>
    </row>
    <row r="22" ht="28.5" customHeight="1">
      <c r="A22" s="33" t="s">
        <v>95</v>
      </c>
      <c r="B22" s="36">
        <v>20.0</v>
      </c>
      <c r="C22" s="19"/>
      <c r="D22" s="19"/>
      <c r="E22" s="19"/>
      <c r="F22" s="19"/>
      <c r="G22" s="19"/>
      <c r="H22" s="20"/>
    </row>
    <row r="23" ht="15.75" customHeight="1"/>
    <row r="24" ht="15.75" customHeight="1"/>
    <row r="25" ht="15.75" customHeight="1">
      <c r="A25" s="34" t="s">
        <v>103</v>
      </c>
      <c r="G25" s="37" t="s">
        <v>84</v>
      </c>
      <c r="H25" s="24">
        <f>B29</f>
        <v>15</v>
      </c>
    </row>
    <row r="26" ht="15.75" customHeight="1">
      <c r="G26" s="25" t="s">
        <v>104</v>
      </c>
      <c r="H26" s="25"/>
      <c r="I26" s="25"/>
      <c r="J26" s="25"/>
    </row>
    <row r="27" ht="39.75" customHeight="1">
      <c r="A27" s="26" t="s">
        <v>105</v>
      </c>
      <c r="B27" s="27" t="s">
        <v>106</v>
      </c>
      <c r="C27" s="19"/>
      <c r="D27" s="19"/>
      <c r="E27" s="19"/>
      <c r="F27" s="19"/>
      <c r="G27" s="19"/>
      <c r="H27" s="20"/>
      <c r="K27" s="38" t="s">
        <v>107</v>
      </c>
    </row>
    <row r="28" ht="69.75" customHeight="1">
      <c r="A28" s="26" t="s">
        <v>108</v>
      </c>
      <c r="B28" s="39" t="s">
        <v>109</v>
      </c>
      <c r="C28" s="19"/>
      <c r="D28" s="19"/>
      <c r="E28" s="19"/>
      <c r="F28" s="19"/>
      <c r="G28" s="19"/>
      <c r="H28" s="20"/>
    </row>
    <row r="29" ht="15.75" customHeight="1">
      <c r="A29" s="33" t="s">
        <v>95</v>
      </c>
      <c r="B29" s="36">
        <v>15.0</v>
      </c>
      <c r="C29" s="19"/>
      <c r="D29" s="19"/>
      <c r="E29" s="19"/>
      <c r="F29" s="19"/>
      <c r="G29" s="19"/>
      <c r="H29" s="20"/>
    </row>
    <row r="30" ht="15.75" customHeight="1"/>
    <row r="31" ht="15.75" customHeight="1"/>
    <row r="32" ht="15.75" customHeight="1">
      <c r="A32" s="34" t="s">
        <v>110</v>
      </c>
      <c r="G32" s="37" t="s">
        <v>84</v>
      </c>
      <c r="H32" s="24">
        <f>B36</f>
        <v>15</v>
      </c>
    </row>
    <row r="33" ht="15.75" customHeight="1">
      <c r="A33" s="6" t="s">
        <v>111</v>
      </c>
      <c r="G33" s="6" t="s">
        <v>112</v>
      </c>
      <c r="H33" s="40"/>
      <c r="I33" s="40"/>
    </row>
    <row r="34">
      <c r="A34" s="26" t="s">
        <v>113</v>
      </c>
      <c r="B34" s="41"/>
      <c r="C34" s="19"/>
      <c r="D34" s="19"/>
      <c r="E34" s="19"/>
      <c r="F34" s="19"/>
      <c r="G34" s="19"/>
      <c r="H34" s="20"/>
      <c r="K34" s="42" t="s">
        <v>114</v>
      </c>
    </row>
    <row r="35">
      <c r="A35" s="26" t="s">
        <v>115</v>
      </c>
      <c r="B35" s="41"/>
      <c r="C35" s="19"/>
      <c r="D35" s="19"/>
      <c r="E35" s="19"/>
      <c r="F35" s="19"/>
      <c r="G35" s="19"/>
      <c r="H35" s="20"/>
    </row>
    <row r="36">
      <c r="A36" s="33" t="s">
        <v>95</v>
      </c>
      <c r="B36" s="36">
        <v>15.0</v>
      </c>
      <c r="C36" s="19"/>
      <c r="D36" s="19"/>
      <c r="E36" s="19"/>
      <c r="F36" s="19"/>
      <c r="G36" s="19"/>
      <c r="H36" s="20"/>
    </row>
    <row r="37" ht="15.75" customHeight="1"/>
    <row r="38" ht="15.75" customHeight="1"/>
    <row r="39" ht="15.75" customHeight="1">
      <c r="A39" s="34" t="s">
        <v>116</v>
      </c>
      <c r="G39" s="37" t="s">
        <v>84</v>
      </c>
      <c r="H39" s="24">
        <f>B41</f>
        <v>20</v>
      </c>
    </row>
    <row r="40" ht="15.75" customHeight="1">
      <c r="G40" s="25" t="s">
        <v>117</v>
      </c>
    </row>
    <row r="41" ht="15.75" customHeight="1">
      <c r="A41" s="33" t="s">
        <v>95</v>
      </c>
      <c r="B41" s="36">
        <v>20.0</v>
      </c>
      <c r="C41" s="19"/>
      <c r="D41" s="19"/>
      <c r="E41" s="19"/>
      <c r="F41" s="19"/>
      <c r="G41" s="19"/>
      <c r="H41" s="20"/>
    </row>
    <row r="42" ht="15.75" customHeight="1"/>
    <row r="43" ht="15.75" customHeight="1"/>
    <row r="44" ht="15.75" customHeight="1">
      <c r="A44" s="34" t="s">
        <v>118</v>
      </c>
      <c r="G44" s="37" t="s">
        <v>84</v>
      </c>
      <c r="H44" s="24">
        <f>B47</f>
        <v>15</v>
      </c>
    </row>
    <row r="45" ht="15.75" customHeight="1">
      <c r="G45" s="25" t="s">
        <v>85</v>
      </c>
    </row>
    <row r="46">
      <c r="A46" s="26" t="s">
        <v>119</v>
      </c>
      <c r="B46" s="27" t="s">
        <v>120</v>
      </c>
      <c r="C46" s="19"/>
      <c r="D46" s="19"/>
      <c r="E46" s="19"/>
      <c r="F46" s="19"/>
      <c r="G46" s="19"/>
      <c r="H46" s="20"/>
    </row>
    <row r="47" ht="24.75" customHeight="1">
      <c r="A47" s="33" t="s">
        <v>95</v>
      </c>
      <c r="B47" s="36">
        <v>15.0</v>
      </c>
      <c r="C47" s="19"/>
      <c r="D47" s="19"/>
      <c r="E47" s="19"/>
      <c r="F47" s="19"/>
      <c r="G47" s="19"/>
      <c r="H47" s="2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30.63"/>
    <col customWidth="1" min="5" max="5" width="29.63"/>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2.0</v>
      </c>
      <c r="D5" s="19"/>
      <c r="E5" s="19"/>
      <c r="F5" s="19"/>
      <c r="G5" s="20"/>
    </row>
    <row r="6" ht="15.75" customHeight="1">
      <c r="B6" s="44" t="s">
        <v>82</v>
      </c>
      <c r="C6" s="18">
        <f>H10+H21+H44+H68</f>
        <v>105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46">
        <v>5.0</v>
      </c>
    </row>
    <row r="11" ht="15.75" customHeight="1">
      <c r="G11" s="25" t="s">
        <v>125</v>
      </c>
    </row>
    <row r="12" ht="15.75" customHeight="1">
      <c r="A12" s="30" t="s">
        <v>126</v>
      </c>
      <c r="B12" s="36" t="s">
        <v>127</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48" t="s">
        <v>129</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131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46">
        <v>60.0</v>
      </c>
      <c r="I21" s="5"/>
    </row>
    <row r="22" ht="15.75" customHeight="1">
      <c r="G22" s="25" t="s">
        <v>133</v>
      </c>
    </row>
    <row r="23">
      <c r="A23" s="30" t="s">
        <v>134</v>
      </c>
      <c r="B23" s="32" t="s">
        <v>135</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IFERROR(__xludf.DUMMYFUNCTION("FILTER('Diseño'!D:D,'Diseño'!H:H=$C$5)"),"Arquitectura De Computadores y Lineas Tecnologicas")</f>
        <v>Arquitectura De Computadores y Lineas Tecnologicas</v>
      </c>
      <c r="C28" s="20"/>
      <c r="D28" s="18" t="str">
        <f>IFERROR(__xludf.DUMMYFUNCTION("FILTER('Diseño'!E:E,'Diseño'!H:H=$C$5)"),"Evolucion De Los Procesadores Hasta La Actualidad")</f>
        <v>Evolucion De Los Procesadores Hasta La Actualidad</v>
      </c>
      <c r="E28" s="20"/>
      <c r="F28" s="18" t="str">
        <f>IFERROR(__xludf.DUMMYFUNCTION("FILTER('Diseño'!F:F,'Diseño'!H:H=$C$5)"),"Procesadores x86")</f>
        <v>Procesadores x86</v>
      </c>
      <c r="G28" s="19"/>
      <c r="H28" s="20"/>
    </row>
    <row r="29" ht="15.75" customHeight="1">
      <c r="A29" s="21">
        <v>2.0</v>
      </c>
      <c r="B29" s="18" t="str">
        <f>IFERROR(__xludf.DUMMYFUNCTION("""COMPUTED_VALUE"""),"Arquitectura De Computadores y Lineas Tecnologicas")</f>
        <v>Arquitectura De Computadores y Lineas Tecnologicas</v>
      </c>
      <c r="C29" s="20"/>
      <c r="D29" s="18" t="str">
        <f>IFERROR(__xludf.DUMMYFUNCTION("""COMPUTED_VALUE"""),"Evolucion De Los Procesadores Hasta La Actualidad")</f>
        <v>Evolucion De Los Procesadores Hasta La Actualidad</v>
      </c>
      <c r="E29" s="20"/>
      <c r="F29" s="18" t="str">
        <f>IFERROR(__xludf.DUMMYFUNCTION("""COMPUTED_VALUE"""),"Procesadores ARM")</f>
        <v>Procesadores ARM</v>
      </c>
      <c r="G29" s="19"/>
      <c r="H29" s="20"/>
    </row>
    <row r="30" ht="15.75" customHeight="1">
      <c r="A30" s="21">
        <v>3.0</v>
      </c>
      <c r="B30" s="18" t="str">
        <f>IFERROR(__xludf.DUMMYFUNCTION("""COMPUTED_VALUE"""),"Arquitectura De Computadores y Lineas Tecnologicas")</f>
        <v>Arquitectura De Computadores y Lineas Tecnologicas</v>
      </c>
      <c r="C30" s="20"/>
      <c r="D30" s="18" t="str">
        <f>IFERROR(__xludf.DUMMYFUNCTION("""COMPUTED_VALUE"""),"Evolucion De Los Procesadores Hasta La Actualidad")</f>
        <v>Evolucion De Los Procesadores Hasta La Actualidad</v>
      </c>
      <c r="E30" s="20"/>
      <c r="F30" s="18" t="str">
        <f>IFERROR(__xludf.DUMMYFUNCTION("""COMPUTED_VALUE"""),"ARM vs X86 (En La Actualidad)")</f>
        <v>ARM vs X86 (En La Actualidad)</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IFERROR(__xludf.DUMMYFUNCTION("""COMPUTED_VALUE"""),"Electronica Digital")</f>
        <v>Electronica Digital</v>
      </c>
      <c r="E31" s="20"/>
      <c r="F31" s="18" t="str">
        <f>IFERROR(__xludf.DUMMYFUNCTION("""COMPUTED_VALUE"""),"Raspberry Pi")</f>
        <v>Raspberry Pi</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10.0</v>
      </c>
      <c r="E39" s="19"/>
      <c r="F39" s="19"/>
      <c r="G39" s="19"/>
      <c r="H39" s="20"/>
    </row>
    <row r="40" ht="15.75" customHeight="1">
      <c r="A40" s="21" t="s">
        <v>146</v>
      </c>
      <c r="B40" s="21" t="s">
        <v>145</v>
      </c>
      <c r="C40" s="21" t="s">
        <v>147</v>
      </c>
      <c r="D40" s="36">
        <v>10.0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46">
        <v>30.0</v>
      </c>
    </row>
    <row r="45" ht="15.75" customHeight="1">
      <c r="G45" s="25" t="s">
        <v>152</v>
      </c>
    </row>
    <row r="46" ht="15.75" customHeight="1">
      <c r="A46" s="25" t="s">
        <v>153</v>
      </c>
    </row>
    <row r="47">
      <c r="A47" s="30" t="s">
        <v>154</v>
      </c>
      <c r="B47" s="32" t="s">
        <v>135</v>
      </c>
      <c r="C47" s="19"/>
      <c r="D47" s="19"/>
      <c r="E47" s="19"/>
      <c r="F47" s="19"/>
      <c r="G47" s="19"/>
      <c r="H47" s="20"/>
    </row>
    <row r="48" ht="15.75" customHeight="1">
      <c r="A48" s="30" t="s">
        <v>155</v>
      </c>
      <c r="B48" s="36" t="s">
        <v>156</v>
      </c>
      <c r="C48" s="19"/>
      <c r="D48" s="19"/>
      <c r="E48" s="19"/>
      <c r="F48" s="19"/>
      <c r="G48" s="19"/>
      <c r="H48" s="20"/>
    </row>
    <row r="49" ht="15.75" customHeight="1">
      <c r="A49" s="30" t="s">
        <v>122</v>
      </c>
      <c r="B49" s="60">
        <v>2.0</v>
      </c>
      <c r="C49" s="19"/>
      <c r="D49" s="19"/>
      <c r="E49" s="19"/>
      <c r="F49" s="19"/>
      <c r="G49" s="19"/>
      <c r="H49" s="20"/>
    </row>
    <row r="50" ht="15.75" customHeight="1">
      <c r="A50" s="30" t="s">
        <v>84</v>
      </c>
      <c r="B50" s="36">
        <v>10.0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159</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0">
        <v>10.0</v>
      </c>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10</v>
      </c>
    </row>
    <row r="69" ht="15.75" customHeight="1">
      <c r="G69" s="25" t="s">
        <v>163</v>
      </c>
    </row>
    <row r="70" ht="15.75" customHeight="1">
      <c r="A70" s="30" t="s">
        <v>84</v>
      </c>
      <c r="B70" s="60">
        <v>10.0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3.0</v>
      </c>
      <c r="D5" s="19"/>
      <c r="E5" s="19"/>
      <c r="F5" s="19"/>
      <c r="G5" s="20"/>
    </row>
    <row r="6" ht="15.75" customHeight="1">
      <c r="B6" s="44" t="s">
        <v>82</v>
      </c>
      <c r="C6" s="18">
        <f>H10+H21+H44+H68</f>
        <v>110</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46">
        <v>5.0</v>
      </c>
    </row>
    <row r="11" ht="15.75" customHeight="1">
      <c r="G11" s="25" t="s">
        <v>125</v>
      </c>
    </row>
    <row r="12" ht="15.75" customHeight="1">
      <c r="A12" s="30" t="s">
        <v>126</v>
      </c>
      <c r="B12" s="36" t="s">
        <v>166</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48" t="s">
        <v>167</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168</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46">
        <v>50.0</v>
      </c>
      <c r="I21" s="5"/>
    </row>
    <row r="22" ht="15.75" customHeight="1">
      <c r="G22" s="25" t="s">
        <v>133</v>
      </c>
    </row>
    <row r="23">
      <c r="A23" s="30" t="s">
        <v>134</v>
      </c>
      <c r="B23" s="32" t="s">
        <v>169</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IFERROR(__xludf.DUMMYFUNCTION("FILTER('Diseño'!D:D,'Diseño'!H:H=$C$5)"),"Electronica Digital Orientado A Sistemas IoT")</f>
        <v>Electronica Digital Orientado A Sistemas IoT</v>
      </c>
      <c r="C28" s="20"/>
      <c r="D28" s="18" t="str">
        <f>IFERROR(__xludf.DUMMYFUNCTION("FILTER('Diseño'!E:E,'Diseño'!H:H=$C$5)"),"Electronica Digital")</f>
        <v>Electronica Digital</v>
      </c>
      <c r="E28" s="20"/>
      <c r="F28" s="18" t="str">
        <f>IFERROR(__xludf.DUMMYFUNCTION("FILTER('Diseño'!F:F,'Diseño'!H:H=$C$5)"),"Componentes Electronicos")</f>
        <v>Componentes Electronicos</v>
      </c>
      <c r="G28" s="19"/>
      <c r="H28" s="20"/>
    </row>
    <row r="29" ht="15.75" customHeight="1">
      <c r="A29" s="21">
        <v>2.0</v>
      </c>
      <c r="B29" s="18" t="str">
        <f>IFERROR(__xludf.DUMMYFUNCTION("""COMPUTED_VALUE"""),"Electronica Digital Orientado A Sistemas IoT")</f>
        <v>Electronica Digital Orientado A Sistemas IoT</v>
      </c>
      <c r="C29" s="20"/>
      <c r="D29" s="18" t="str">
        <f>IFERROR(__xludf.DUMMYFUNCTION("""COMPUTED_VALUE"""),"Electronica Digital")</f>
        <v>Electronica Digital</v>
      </c>
      <c r="E29" s="20"/>
      <c r="F29" s="18" t="str">
        <f>IFERROR(__xludf.DUMMYFUNCTION("""COMPUTED_VALUE"""),"Controladores De Dispositivos")</f>
        <v>Controladores De Dispositivos</v>
      </c>
      <c r="G29" s="19"/>
      <c r="H29" s="20"/>
    </row>
    <row r="30" ht="15.75" customHeight="1">
      <c r="A30" s="21">
        <v>3.0</v>
      </c>
      <c r="B30" s="18" t="str">
        <f>IFERROR(__xludf.DUMMYFUNCTION("""COMPUTED_VALUE"""),"Electronica Digital Orientado A Sistemas IoT")</f>
        <v>Electronica Digital Orientado A Sistemas IoT</v>
      </c>
      <c r="C30" s="20"/>
      <c r="D30" s="18" t="str">
        <f>IFERROR(__xludf.DUMMYFUNCTION("""COMPUTED_VALUE"""),"Electronica Digital")</f>
        <v>Electronica Digital</v>
      </c>
      <c r="E30" s="20"/>
      <c r="F30" s="18" t="str">
        <f>IFERROR(__xludf.DUMMYFUNCTION("""COMPUTED_VALUE"""),"Interfaces De Comunicacion")</f>
        <v>Interfaces De Comunicacion</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IFERROR(__xludf.DUMMYFUNCTION("""COMPUTED_VALUE"""),"Electronica Digital")</f>
        <v>Electronica Digital</v>
      </c>
      <c r="E31" s="20"/>
      <c r="F31" s="18" t="str">
        <f>IFERROR(__xludf.DUMMYFUNCTION("""COMPUTED_VALUE"""),"Simulacion De Circuitos Electronicos")</f>
        <v>Simulacion De Circuitos Electronicos</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10.0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20.0</v>
      </c>
      <c r="E42" s="19"/>
      <c r="F42" s="19"/>
      <c r="G42" s="19"/>
      <c r="H42" s="20"/>
    </row>
    <row r="43" ht="15.75" customHeight="1"/>
    <row r="44" ht="15.75" customHeight="1">
      <c r="A44" s="45" t="s">
        <v>151</v>
      </c>
      <c r="G44" s="37" t="s">
        <v>84</v>
      </c>
      <c r="H44" s="46">
        <v>40.0</v>
      </c>
    </row>
    <row r="45" ht="15.75" customHeight="1">
      <c r="G45" s="25" t="s">
        <v>152</v>
      </c>
    </row>
    <row r="46" ht="15.75" customHeight="1">
      <c r="A46" s="25" t="s">
        <v>153</v>
      </c>
    </row>
    <row r="47">
      <c r="A47" s="30" t="s">
        <v>154</v>
      </c>
      <c r="B47" s="32" t="s">
        <v>170</v>
      </c>
      <c r="C47" s="19"/>
      <c r="D47" s="19"/>
      <c r="E47" s="19"/>
      <c r="F47" s="19"/>
      <c r="G47" s="19"/>
      <c r="H47" s="20"/>
    </row>
    <row r="48">
      <c r="A48" s="30" t="s">
        <v>155</v>
      </c>
      <c r="B48" s="36" t="s">
        <v>156</v>
      </c>
      <c r="C48" s="19"/>
      <c r="D48" s="19"/>
      <c r="E48" s="19"/>
      <c r="F48" s="19"/>
      <c r="G48" s="19"/>
      <c r="H48" s="20"/>
    </row>
    <row r="49" ht="15.75" customHeight="1">
      <c r="A49" s="30" t="s">
        <v>122</v>
      </c>
      <c r="B49" s="60">
        <v>2.0</v>
      </c>
      <c r="C49" s="19"/>
      <c r="D49" s="19"/>
      <c r="E49" s="19"/>
      <c r="F49" s="19"/>
      <c r="G49" s="19"/>
      <c r="H49" s="20"/>
    </row>
    <row r="50">
      <c r="A50" s="30" t="s">
        <v>84</v>
      </c>
      <c r="B50" s="36">
        <v>15.0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171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46">
        <v>15.0</v>
      </c>
    </row>
    <row r="69" ht="15.75" customHeight="1">
      <c r="G69" s="25" t="s">
        <v>163</v>
      </c>
    </row>
    <row r="70" ht="15.75" customHeight="1">
      <c r="A70" s="30" t="s">
        <v>84</v>
      </c>
      <c r="B70" s="60">
        <v>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3.88"/>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4.0</v>
      </c>
      <c r="D5" s="19"/>
      <c r="E5" s="19"/>
      <c r="F5" s="19"/>
      <c r="G5" s="20"/>
    </row>
    <row r="6" ht="15.75" customHeight="1">
      <c r="B6" s="44" t="s">
        <v>82</v>
      </c>
      <c r="C6" s="18">
        <f>H10+H21+H44+H68</f>
        <v>100</v>
      </c>
      <c r="D6" s="19"/>
      <c r="E6" s="19"/>
      <c r="F6" s="19"/>
      <c r="G6" s="20"/>
      <c r="I6" s="5"/>
    </row>
    <row r="7" ht="15.75" customHeight="1">
      <c r="B7" s="44" t="s">
        <v>122</v>
      </c>
      <c r="C7" s="18">
        <f>B49+B60</f>
        <v>2</v>
      </c>
      <c r="D7" s="19"/>
      <c r="E7" s="19"/>
      <c r="F7" s="19"/>
      <c r="G7" s="20"/>
    </row>
    <row r="8">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46">
        <v>5.0</v>
      </c>
    </row>
    <row r="11" ht="15.75" customHeight="1">
      <c r="G11" s="25" t="s">
        <v>125</v>
      </c>
    </row>
    <row r="12" ht="15.75" customHeight="1">
      <c r="A12" s="30" t="s">
        <v>126</v>
      </c>
      <c r="B12" s="36" t="s">
        <v>172</v>
      </c>
      <c r="C12" s="19"/>
      <c r="D12" s="19"/>
      <c r="E12" s="19"/>
      <c r="F12" s="19"/>
      <c r="G12" s="19"/>
      <c r="H12" s="20"/>
    </row>
    <row r="13" ht="15.75" customHeight="1">
      <c r="A13" s="33" t="s">
        <v>84</v>
      </c>
      <c r="B13" s="36">
        <v>5.0</v>
      </c>
      <c r="C13" s="19"/>
      <c r="D13" s="19"/>
      <c r="E13" s="19"/>
      <c r="F13" s="19"/>
      <c r="G13" s="19"/>
      <c r="H13" s="20"/>
    </row>
    <row r="14" ht="15.75" customHeight="1">
      <c r="A14" s="47" t="s">
        <v>128</v>
      </c>
      <c r="B14" s="19"/>
      <c r="C14" s="19"/>
      <c r="D14" s="19"/>
      <c r="E14" s="19"/>
      <c r="F14" s="19"/>
      <c r="G14" s="19"/>
      <c r="H14" s="20"/>
    </row>
    <row r="15" ht="15.75" customHeight="1">
      <c r="A15" s="54" t="s">
        <v>173</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174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50</v>
      </c>
      <c r="I21" s="5"/>
    </row>
    <row r="22" ht="15.75" customHeight="1">
      <c r="G22" s="25" t="s">
        <v>133</v>
      </c>
    </row>
    <row r="23">
      <c r="A23" s="30" t="s">
        <v>134</v>
      </c>
      <c r="B23" s="32" t="s">
        <v>169</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IFERROR(__xludf.DUMMYFUNCTION("FILTER('Diseño'!D:D,'Diseño'!H:H=$C$5)"),"Electronica Digital Orientado A Sistemas IoT")</f>
        <v>Electronica Digital Orientado A Sistemas IoT</v>
      </c>
      <c r="C28" s="20"/>
      <c r="D28" s="18" t="str">
        <f>IFERROR(__xludf.DUMMYFUNCTION("FILTER('Diseño'!E:E,'Diseño'!H:H=$C$5)"),"Sistemas IoT")</f>
        <v>Sistemas IoT</v>
      </c>
      <c r="E28" s="20"/>
      <c r="F28" s="18" t="str">
        <f>IFERROR(__xludf.DUMMYFUNCTION("FILTER('Diseño'!F:F,'Diseño'!H:H=$C$5)"),"Que es IoT?")</f>
        <v>Que es IoT?</v>
      </c>
      <c r="G28" s="19"/>
      <c r="H28" s="20"/>
    </row>
    <row r="29" ht="15.75" customHeight="1">
      <c r="A29" s="21">
        <v>2.0</v>
      </c>
      <c r="B29" s="18" t="str">
        <f>IFERROR(__xludf.DUMMYFUNCTION("""COMPUTED_VALUE"""),"Electronica Digital Orientado A Sistemas IoT")</f>
        <v>Electronica Digital Orientado A Sistemas IoT</v>
      </c>
      <c r="C29" s="20"/>
      <c r="D29" s="18" t="str">
        <f>IFERROR(__xludf.DUMMYFUNCTION("""COMPUTED_VALUE"""),"Sistemas IoT")</f>
        <v>Sistemas IoT</v>
      </c>
      <c r="E29" s="20"/>
      <c r="F29" s="18" t="str">
        <f>IFERROR(__xludf.DUMMYFUNCTION("""COMPUTED_VALUE"""),"Caracteristicas principales de un sistema IoT")</f>
        <v>Caracteristicas principales de un sistema IoT</v>
      </c>
      <c r="G29" s="19"/>
      <c r="H29" s="20"/>
    </row>
    <row r="30" ht="15.75" customHeight="1">
      <c r="A30" s="21">
        <v>3.0</v>
      </c>
      <c r="B30" s="18" t="str">
        <f>IFERROR(__xludf.DUMMYFUNCTION("""COMPUTED_VALUE"""),"Electronica Digital Orientado A Sistemas IoT")</f>
        <v>Electronica Digital Orientado A Sistemas IoT</v>
      </c>
      <c r="C30" s="20"/>
      <c r="D30" s="18" t="str">
        <f>IFERROR(__xludf.DUMMYFUNCTION("""COMPUTED_VALUE"""),"Sistemas IoT")</f>
        <v>Sistemas IoT</v>
      </c>
      <c r="E30" s="20"/>
      <c r="F30" s="18" t="str">
        <f>IFERROR(__xludf.DUMMYFUNCTION("""COMPUTED_VALUE"""),"IoT en la actualidad")</f>
        <v>IoT en la actualidad</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IFERROR(__xludf.DUMMYFUNCTION("""COMPUTED_VALUE"""),"Sistemas IoT")</f>
        <v>Sistemas IoT</v>
      </c>
      <c r="E31" s="20"/>
      <c r="F31" s="18" t="str">
        <f>IFERROR(__xludf.DUMMYFUNCTION("""COMPUTED_VALUE"""),"Implementacion De IoT En La Industria")</f>
        <v>Implementacion De IoT En La Industria</v>
      </c>
      <c r="G31" s="19"/>
      <c r="H31" s="20"/>
    </row>
    <row r="32" ht="15.75" customHeight="1">
      <c r="A32" s="21">
        <v>5.0</v>
      </c>
      <c r="B32" s="18" t="str">
        <f>IFERROR(__xludf.DUMMYFUNCTION("""COMPUTED_VALUE"""),"Electronica Digital Orientado A Sistemas IoT")</f>
        <v>Electronica Digital Orientado A Sistemas IoT</v>
      </c>
      <c r="C32" s="20"/>
      <c r="D32" s="18" t="str">
        <f>IFERROR(__xludf.DUMMYFUNCTION("""COMPUTED_VALUE"""),"Sistemas IoT")</f>
        <v>Sistemas IoT</v>
      </c>
      <c r="E32" s="20"/>
      <c r="F32" s="18" t="str">
        <f>IFERROR(__xludf.DUMMYFUNCTION("""COMPUTED_VALUE"""),"Ventajas Y Desventajas Del IoT")</f>
        <v>Ventajas Y Desventajas Del IoT</v>
      </c>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5.0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35.0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169</v>
      </c>
      <c r="C47" s="19"/>
      <c r="D47" s="19"/>
      <c r="E47" s="19"/>
      <c r="F47" s="19"/>
      <c r="G47" s="19"/>
      <c r="H47" s="20"/>
    </row>
    <row r="48">
      <c r="A48" s="30" t="s">
        <v>155</v>
      </c>
      <c r="B48" s="36" t="s">
        <v>156</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175</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46">
        <v>15.0</v>
      </c>
    </row>
    <row r="69" ht="15.75" customHeight="1">
      <c r="G69" s="25" t="s">
        <v>163</v>
      </c>
    </row>
    <row r="70" ht="15.75" customHeight="1">
      <c r="A70" s="30" t="s">
        <v>84</v>
      </c>
      <c r="B70" s="60">
        <v>10.0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8.13"/>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5.0</v>
      </c>
      <c r="D5" s="19"/>
      <c r="E5" s="19"/>
      <c r="F5" s="19"/>
      <c r="G5" s="20"/>
    </row>
    <row r="6" ht="15.75" customHeight="1">
      <c r="B6" s="44" t="s">
        <v>82</v>
      </c>
      <c r="C6" s="18">
        <f>H10+H21+H44+H68</f>
        <v>100</v>
      </c>
      <c r="D6" s="19"/>
      <c r="E6" s="19"/>
      <c r="F6" s="19"/>
      <c r="G6" s="20"/>
      <c r="I6" s="5"/>
    </row>
    <row r="7">
      <c r="B7" s="44" t="s">
        <v>122</v>
      </c>
      <c r="C7" s="18">
        <f>B49+B60</f>
        <v>2</v>
      </c>
      <c r="D7" s="19"/>
      <c r="E7" s="19"/>
      <c r="F7" s="19"/>
      <c r="G7" s="20"/>
    </row>
    <row r="8">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66">
        <f>B13</f>
        <v>5</v>
      </c>
    </row>
    <row r="11" ht="15.75" customHeight="1">
      <c r="G11" s="25" t="s">
        <v>125</v>
      </c>
    </row>
    <row r="12" ht="15.75" customHeight="1">
      <c r="A12" s="30" t="s">
        <v>126</v>
      </c>
      <c r="B12" s="36" t="s">
        <v>176</v>
      </c>
      <c r="C12" s="19"/>
      <c r="D12" s="19"/>
      <c r="E12" s="19"/>
      <c r="F12" s="19"/>
      <c r="G12" s="19"/>
      <c r="H12" s="20"/>
    </row>
    <row r="13" ht="15.75" customHeight="1">
      <c r="A13" s="33" t="s">
        <v>84</v>
      </c>
      <c r="B13" s="36">
        <v>5.0</v>
      </c>
      <c r="C13" s="19"/>
      <c r="D13" s="19"/>
      <c r="E13" s="19"/>
      <c r="F13" s="19"/>
      <c r="G13" s="19"/>
      <c r="H13" s="20"/>
    </row>
    <row r="14" ht="15.75" customHeight="1">
      <c r="A14" s="47" t="s">
        <v>128</v>
      </c>
      <c r="B14" s="19"/>
      <c r="C14" s="19"/>
      <c r="D14" s="19"/>
      <c r="E14" s="19"/>
      <c r="F14" s="19"/>
      <c r="G14" s="19"/>
      <c r="H14" s="20"/>
    </row>
    <row r="15" ht="15.75" customHeight="1">
      <c r="A15" s="48" t="s">
        <v>177</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48" t="s">
        <v>178</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50</v>
      </c>
      <c r="I21" s="5"/>
    </row>
    <row r="22" ht="15.75" customHeight="1">
      <c r="G22" s="25" t="s">
        <v>133</v>
      </c>
    </row>
    <row r="23">
      <c r="A23" s="30" t="s">
        <v>134</v>
      </c>
      <c r="B23" s="32" t="s">
        <v>179</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IFERROR(__xludf.DUMMYFUNCTION("FILTER('Diseño'!D:D,'Diseño'!H:H=$C$5)"),"Electronica Digital Orientado A Sistemas IoT")</f>
        <v>Electronica Digital Orientado A Sistemas IoT</v>
      </c>
      <c r="C28" s="20"/>
      <c r="D28" s="18" t="str">
        <f>IFERROR(__xludf.DUMMYFUNCTION("FILTER('Diseño'!E:E,'Diseño'!H:H=$C$5)"),"Sistemas IoT")</f>
        <v>Sistemas IoT</v>
      </c>
      <c r="E28" s="20"/>
      <c r="F28" s="18" t="str">
        <f>IFERROR(__xludf.DUMMYFUNCTION("FILTER('Diseño'!F:F,'Diseño'!H:H=$C$5)"),"Control Del Hardware de Raspberry Con Python")</f>
        <v>Control Del Hardware de Raspberry Con Python</v>
      </c>
      <c r="G28" s="19"/>
      <c r="H28" s="20"/>
    </row>
    <row r="29" ht="15.75" customHeight="1">
      <c r="A29" s="21">
        <v>2.0</v>
      </c>
      <c r="B29" s="18" t="str">
        <f>IFERROR(__xludf.DUMMYFUNCTION("""COMPUTED_VALUE"""),"Electronica Digital Orientado A Sistemas IoT")</f>
        <v>Electronica Digital Orientado A Sistemas IoT</v>
      </c>
      <c r="C29" s="20"/>
      <c r="D29" s="18" t="str">
        <f>IFERROR(__xludf.DUMMYFUNCTION("""COMPUTED_VALUE"""),"Sistemas IoT")</f>
        <v>Sistemas IoT</v>
      </c>
      <c r="E29" s="20"/>
      <c r="F29" s="18" t="str">
        <f>IFERROR(__xludf.DUMMYFUNCTION("""COMPUTED_VALUE"""),"Control De Sensores Y Actuadores Con Python")</f>
        <v>Control De Sensores Y Actuadores Con Python</v>
      </c>
      <c r="G29" s="19"/>
      <c r="H29" s="20"/>
    </row>
    <row r="30" ht="15.75" customHeight="1">
      <c r="A30" s="21">
        <v>3.0</v>
      </c>
      <c r="B30" s="18" t="str">
        <f>IFERROR(__xludf.DUMMYFUNCTION("""COMPUTED_VALUE"""),"Electronica Digital Orientado A Sistemas IoT")</f>
        <v>Electronica Digital Orientado A Sistemas IoT</v>
      </c>
      <c r="C30" s="20"/>
      <c r="D30" s="18" t="str">
        <f>IFERROR(__xludf.DUMMYFUNCTION("""COMPUTED_VALUE"""),"Sistemas IoT")</f>
        <v>Sistemas IoT</v>
      </c>
      <c r="E30" s="20"/>
      <c r="F30" s="18" t="str">
        <f>IFERROR(__xludf.DUMMYFUNCTION("""COMPUTED_VALUE"""),"Raspberry Y Cloud")</f>
        <v>Raspberry Y Cloud</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IFERROR(__xludf.DUMMYFUNCTION("""COMPUTED_VALUE"""),"Sistemas IoT")</f>
        <v>Sistemas IoT</v>
      </c>
      <c r="E31" s="20"/>
      <c r="F31" s="18" t="str">
        <f>IFERROR(__xludf.DUMMYFUNCTION("""COMPUTED_VALUE"""),"Principales Servicios Para Sistemas IoT")</f>
        <v>Principales Servicios Para Sistemas IoT</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15.0</v>
      </c>
      <c r="E39" s="19"/>
      <c r="F39" s="19"/>
      <c r="G39" s="19"/>
      <c r="H39" s="20"/>
    </row>
    <row r="40" ht="15.75" customHeight="1">
      <c r="A40" s="21" t="s">
        <v>146</v>
      </c>
      <c r="B40" s="21" t="s">
        <v>145</v>
      </c>
      <c r="C40" s="21" t="s">
        <v>147</v>
      </c>
      <c r="D40" s="36">
        <v>0.0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30.0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179</v>
      </c>
      <c r="C47" s="19"/>
      <c r="D47" s="19"/>
      <c r="E47" s="19"/>
      <c r="F47" s="19"/>
      <c r="G47" s="19"/>
      <c r="H47" s="20"/>
    </row>
    <row r="48" ht="15.75" customHeight="1">
      <c r="A48" s="30" t="s">
        <v>155</v>
      </c>
      <c r="B48" s="36" t="s">
        <v>180</v>
      </c>
      <c r="C48" s="19"/>
      <c r="D48" s="19"/>
      <c r="E48" s="19"/>
      <c r="F48" s="19"/>
      <c r="G48" s="19"/>
      <c r="H48" s="20"/>
    </row>
    <row r="49">
      <c r="A49" s="30" t="s">
        <v>122</v>
      </c>
      <c r="B49" s="60">
        <v>2.0</v>
      </c>
      <c r="C49" s="19"/>
      <c r="D49" s="19"/>
      <c r="E49" s="19"/>
      <c r="F49" s="19"/>
      <c r="G49" s="19"/>
      <c r="H49" s="20"/>
    </row>
    <row r="50">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181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c r="A58" s="30" t="s">
        <v>154</v>
      </c>
      <c r="B58" s="32" t="s">
        <v>179</v>
      </c>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46">
        <v>15.0</v>
      </c>
    </row>
    <row r="69" ht="15.75" customHeight="1">
      <c r="G69" s="25" t="s">
        <v>163</v>
      </c>
    </row>
    <row r="70" ht="15.75" customHeight="1">
      <c r="A70" s="30" t="s">
        <v>84</v>
      </c>
      <c r="B70" s="60">
        <v>10.0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6.0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182</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183</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184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60</v>
      </c>
      <c r="I21" s="5"/>
    </row>
    <row r="22" ht="15.75" customHeight="1">
      <c r="G22" s="25" t="s">
        <v>133</v>
      </c>
    </row>
    <row r="23">
      <c r="A23" s="30" t="s">
        <v>134</v>
      </c>
      <c r="B23" s="32" t="s">
        <v>170</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IFERROR(__xludf.DUMMYFUNCTION("FILTER('Diseño'!E:E,'Diseño'!H:H=$C$5)"),"Introduccion ARM")</f>
        <v>Introduccion ARM</v>
      </c>
      <c r="E28" s="20"/>
      <c r="F28" s="18" t="str">
        <f>IFERROR(__xludf.DUMMYFUNCTION("FILTER('Diseño'!F:F,'Diseño'!H:H=$C$5)"),"Que Es Ensamblador")</f>
        <v>Que Es Ensamblador</v>
      </c>
      <c r="G28" s="19"/>
      <c r="H28" s="20"/>
    </row>
    <row r="29" ht="15.75" customHeight="1">
      <c r="A29" s="21">
        <v>2.0</v>
      </c>
      <c r="B29" s="18" t="str">
        <f>IFERROR(__xludf.DUMMYFUNCTION("""COMPUTED_VALUE"""),"Lenguaje Ensamblador ARM-64 bits")</f>
        <v>Lenguaje Ensamblador ARM-64 bits</v>
      </c>
      <c r="C29" s="20"/>
      <c r="D29" s="18" t="str">
        <f>IFERROR(__xludf.DUMMYFUNCTION("""COMPUTED_VALUE"""),"Introduccion ARM")</f>
        <v>Introduccion ARM</v>
      </c>
      <c r="E29" s="20"/>
      <c r="F29" s="18" t="str">
        <f>IFERROR(__xludf.DUMMYFUNCTION("""COMPUTED_VALUE"""),"Vocabulario Basico y Tipos De Datos")</f>
        <v>Vocabulario Basico y Tipos De Datos</v>
      </c>
      <c r="G29" s="19"/>
      <c r="H29" s="20"/>
    </row>
    <row r="30" ht="15.75" customHeight="1">
      <c r="A30" s="21">
        <v>3.0</v>
      </c>
      <c r="B30" s="18" t="str">
        <f>IFERROR(__xludf.DUMMYFUNCTION("""COMPUTED_VALUE"""),"Lenguaje Ensamblador ARM-64 bits")</f>
        <v>Lenguaje Ensamblador ARM-64 bits</v>
      </c>
      <c r="C30" s="20"/>
      <c r="D30" s="18" t="str">
        <f>IFERROR(__xludf.DUMMYFUNCTION("""COMPUTED_VALUE"""),"Introduccion ARM")</f>
        <v>Introduccion ARM</v>
      </c>
      <c r="E30" s="20"/>
      <c r="F30" s="18" t="str">
        <f>IFERROR(__xludf.DUMMYFUNCTION("""COMPUTED_VALUE"""),"Registros Basicos Del Procesador")</f>
        <v>Registros Basicos Del Procesador</v>
      </c>
      <c r="G30" s="19"/>
      <c r="H30" s="20"/>
    </row>
    <row r="31" ht="15.75" customHeight="1">
      <c r="A31" s="21">
        <v>4.0</v>
      </c>
      <c r="B31" s="18" t="str">
        <f>IFERROR(__xludf.DUMMYFUNCTION("""COMPUTED_VALUE"""),"Lenguaje Ensamblador ARM-64 bits")</f>
        <v>Lenguaje Ensamblador ARM-64 bits</v>
      </c>
      <c r="C31" s="20"/>
      <c r="D31" s="18" t="str">
        <f>IFERROR(__xludf.DUMMYFUNCTION("""COMPUTED_VALUE"""),"Introduccion ARM")</f>
        <v>Introduccion ARM</v>
      </c>
      <c r="E31" s="20"/>
      <c r="F31" s="18" t="str">
        <f>IFERROR(__xludf.DUMMYFUNCTION("""COMPUTED_VALUE"""),"Instalacion De Herramientas En Linux")</f>
        <v>Instalacion De Herramientas En Linux</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35.0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170</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186</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187</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7.0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24.0"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188</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189</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190</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55</v>
      </c>
      <c r="I21" s="5"/>
    </row>
    <row r="22" ht="15.75" customHeight="1">
      <c r="G22" s="25" t="s">
        <v>133</v>
      </c>
    </row>
    <row r="23" ht="15.75" customHeight="1">
      <c r="A23" s="30" t="s">
        <v>134</v>
      </c>
      <c r="B23" s="32" t="s">
        <v>170</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IFERROR(__xludf.DUMMYFUNCTION("FILTER('Diseño'!E:E,'Diseño'!H:H=$C$5)"),"Set Instrucciones ARM")</f>
        <v>Set Instrucciones ARM</v>
      </c>
      <c r="E28" s="20"/>
      <c r="F28" s="18" t="str">
        <f>IFERROR(__xludf.DUMMYFUNCTION("FILTER('Diseño'!F:F,'Diseño'!H:H=$C$5)"),"Instrucciones Aritmeticas")</f>
        <v>Instrucciones Aritmeticas</v>
      </c>
      <c r="G28" s="19"/>
      <c r="H28" s="20"/>
    </row>
    <row r="29" ht="15.75" customHeight="1">
      <c r="A29" s="21">
        <v>2.0</v>
      </c>
      <c r="B29" s="18" t="str">
        <f>IFERROR(__xludf.DUMMYFUNCTION("""COMPUTED_VALUE"""),"Lenguaje Ensamblador ARM-64 bits")</f>
        <v>Lenguaje Ensamblador ARM-64 bits</v>
      </c>
      <c r="C29" s="20"/>
      <c r="D29" s="18" t="str">
        <f>IFERROR(__xludf.DUMMYFUNCTION("""COMPUTED_VALUE"""),"Set Instrucciones ARM")</f>
        <v>Set Instrucciones ARM</v>
      </c>
      <c r="E29" s="20"/>
      <c r="F29" s="18" t="str">
        <f>IFERROR(__xludf.DUMMYFUNCTION("""COMPUTED_VALUE"""),"Instrucciones Logicas")</f>
        <v>Instrucciones Logicas</v>
      </c>
      <c r="G29" s="19"/>
      <c r="H29" s="20"/>
    </row>
    <row r="30" ht="15.75" customHeight="1">
      <c r="A30" s="21">
        <v>3.0</v>
      </c>
      <c r="B30" s="18" t="str">
        <f>IFERROR(__xludf.DUMMYFUNCTION("""COMPUTED_VALUE"""),"Lenguaje Ensamblador ARM-64 bits")</f>
        <v>Lenguaje Ensamblador ARM-64 bits</v>
      </c>
      <c r="C30" s="20"/>
      <c r="D30" s="18" t="str">
        <f>IFERROR(__xludf.DUMMYFUNCTION("""COMPUTED_VALUE"""),"Set Instrucciones ARM")</f>
        <v>Set Instrucciones ARM</v>
      </c>
      <c r="E30" s="20"/>
      <c r="F30" s="18" t="str">
        <f>IFERROR(__xludf.DUMMYFUNCTION("""COMPUTED_VALUE"""),"Instrucciones De Carga y Almacenamiento ")</f>
        <v>Instrucciones De Carga y Almacenamiento </v>
      </c>
      <c r="G30" s="19"/>
      <c r="H30" s="20"/>
    </row>
    <row r="31" ht="15.75" customHeight="1">
      <c r="A31" s="21">
        <v>4.0</v>
      </c>
      <c r="B31" s="18" t="str">
        <f>IFERROR(__xludf.DUMMYFUNCTION("""COMPUTED_VALUE"""),"Lenguaje Ensamblador ARM-64 bits")</f>
        <v>Lenguaje Ensamblador ARM-64 bits</v>
      </c>
      <c r="C31" s="20"/>
      <c r="D31" s="18" t="str">
        <f>IFERROR(__xludf.DUMMYFUNCTION("""COMPUTED_VALUE"""),"Set Instrucciones ARM")</f>
        <v>Set Instrucciones ARM</v>
      </c>
      <c r="E31" s="20"/>
      <c r="F31" s="18" t="str">
        <f>IFERROR(__xludf.DUMMYFUNCTION("""COMPUTED_VALUE"""),"Pre y Post Indexing ")</f>
        <v>Pre y Post Indexing </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40.0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18"/>
      <c r="E42" s="19"/>
      <c r="F42" s="19"/>
      <c r="G42" s="19"/>
      <c r="H42" s="20"/>
    </row>
    <row r="43" ht="15.75" customHeight="1"/>
    <row r="44" ht="15.75" customHeight="1">
      <c r="A44" s="45" t="s">
        <v>151</v>
      </c>
      <c r="G44" s="37" t="s">
        <v>84</v>
      </c>
      <c r="H44" s="66">
        <f>B50+B61</f>
        <v>35</v>
      </c>
    </row>
    <row r="45" ht="15.75" customHeight="1">
      <c r="G45" s="25" t="s">
        <v>152</v>
      </c>
    </row>
    <row r="46" ht="15.75" customHeight="1">
      <c r="A46" s="25" t="s">
        <v>153</v>
      </c>
    </row>
    <row r="47">
      <c r="A47" s="30" t="s">
        <v>154</v>
      </c>
      <c r="B47" s="32" t="s">
        <v>170</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191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192</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8.0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68">
        <v>0.0</v>
      </c>
      <c r="B12" s="36" t="s">
        <v>193</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194</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195</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55</v>
      </c>
      <c r="I21" s="5"/>
    </row>
    <row r="22" ht="15.75" customHeight="1">
      <c r="G22" s="25" t="s">
        <v>133</v>
      </c>
    </row>
    <row r="23" ht="15.75" customHeight="1">
      <c r="A23" s="30" t="s">
        <v>134</v>
      </c>
      <c r="B23" s="32" t="s">
        <v>196</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IFERROR(__xludf.DUMMYFUNCTION("FILTER('Diseño'!E:E,'Diseño'!H:H=$C$5)"),"Set Instrucciones ARM")</f>
        <v>Set Instrucciones ARM</v>
      </c>
      <c r="E28" s="20"/>
      <c r="F28" s="18" t="str">
        <f>IFERROR(__xludf.DUMMYFUNCTION("FILTER('Diseño'!F:F,'Diseño'!H:H=$C$5)"),"Desplazamientos Y Rotaciones")</f>
        <v>Desplazamientos Y Rotaciones</v>
      </c>
      <c r="G28" s="19"/>
      <c r="H28" s="20"/>
    </row>
    <row r="29" ht="15.75" customHeight="1">
      <c r="A29" s="21">
        <v>2.0</v>
      </c>
      <c r="B29" s="18" t="str">
        <f>IFERROR(__xludf.DUMMYFUNCTION("""COMPUTED_VALUE"""),"Lenguaje Ensamblador ARM-64 bits")</f>
        <v>Lenguaje Ensamblador ARM-64 bits</v>
      </c>
      <c r="C29" s="20"/>
      <c r="D29" s="18" t="str">
        <f>IFERROR(__xludf.DUMMYFUNCTION("""COMPUTED_VALUE"""),"Set Instrucciones ARM")</f>
        <v>Set Instrucciones ARM</v>
      </c>
      <c r="E29" s="20"/>
      <c r="F29" s="18" t="str">
        <f>IFERROR(__xludf.DUMMYFUNCTION("""COMPUTED_VALUE"""),"Banderas")</f>
        <v>Banderas</v>
      </c>
      <c r="G29" s="19"/>
      <c r="H29" s="20"/>
    </row>
    <row r="30" ht="15.75" customHeight="1">
      <c r="A30" s="21">
        <v>3.0</v>
      </c>
      <c r="B30" s="18" t="str">
        <f>IFERROR(__xludf.DUMMYFUNCTION("""COMPUTED_VALUE"""),"Lenguaje Ensamblador ARM-64 bits")</f>
        <v>Lenguaje Ensamblador ARM-64 bits</v>
      </c>
      <c r="C30" s="20"/>
      <c r="D30" s="18" t="str">
        <f>IFERROR(__xludf.DUMMYFUNCTION("""COMPUTED_VALUE"""),"Set Instrucciones ARM")</f>
        <v>Set Instrucciones ARM</v>
      </c>
      <c r="E30" s="20"/>
      <c r="F30" s="18" t="str">
        <f>IFERROR(__xludf.DUMMYFUNCTION("""COMPUTED_VALUE"""),"Seleccion condicional")</f>
        <v>Seleccion condicional</v>
      </c>
      <c r="G30" s="19"/>
      <c r="H30" s="20"/>
    </row>
    <row r="31" ht="15.75" customHeight="1">
      <c r="A31" s="21">
        <v>4.0</v>
      </c>
      <c r="B31" s="18" t="str">
        <f>IFERROR(__xludf.DUMMYFUNCTION("""COMPUTED_VALUE"""),"Lenguaje Ensamblador ARM-64 bits")</f>
        <v>Lenguaje Ensamblador ARM-64 bits</v>
      </c>
      <c r="C31" s="20"/>
      <c r="D31" s="18" t="str">
        <f>IFERROR(__xludf.DUMMYFUNCTION("""COMPUTED_VALUE"""),"Set Instrucciones ARM")</f>
        <v>Set Instrucciones ARM</v>
      </c>
      <c r="E31" s="20"/>
      <c r="F31" s="18" t="str">
        <f>IFERROR(__xludf.DUMMYFUNCTION("""COMPUTED_VALUE"""),"Ciclos y Branching")</f>
        <v>Ciclos y Branching</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40.0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18"/>
      <c r="E42" s="19"/>
      <c r="F42" s="19"/>
      <c r="G42" s="19"/>
      <c r="H42" s="20"/>
    </row>
    <row r="43" ht="15.75" customHeight="1"/>
    <row r="44" ht="15.75" customHeight="1">
      <c r="A44" s="45" t="s">
        <v>151</v>
      </c>
      <c r="G44" s="37" t="s">
        <v>84</v>
      </c>
      <c r="H44" s="66">
        <f>B50+B61</f>
        <v>35</v>
      </c>
    </row>
    <row r="45" ht="15.75" customHeight="1">
      <c r="G45" s="25" t="s">
        <v>152</v>
      </c>
    </row>
    <row r="46" ht="15.75" customHeight="1">
      <c r="A46" s="25" t="s">
        <v>153</v>
      </c>
    </row>
    <row r="47">
      <c r="A47" s="30" t="s">
        <v>154</v>
      </c>
      <c r="B47" s="32" t="s">
        <v>196</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197</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198</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9.0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199</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200</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201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60</v>
      </c>
      <c r="I21" s="5"/>
    </row>
    <row r="22" ht="15.75" customHeight="1">
      <c r="G22" s="25" t="s">
        <v>133</v>
      </c>
    </row>
    <row r="23" ht="15.75" customHeight="1">
      <c r="A23" s="30" t="s">
        <v>134</v>
      </c>
      <c r="B23" s="32" t="s">
        <v>196</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IFERROR(__xludf.DUMMYFUNCTION("FILTER('Diseño'!E:E,'Diseño'!H:H=$C$5)"),"Set Instrucciones ARM")</f>
        <v>Set Instrucciones ARM</v>
      </c>
      <c r="E28" s="20"/>
      <c r="F28" s="18" t="str">
        <f>IFERROR(__xludf.DUMMYFUNCTION("FILTER('Diseño'!F:F,'Diseño'!H:H=$C$5)"),"Niveles Y Tipos De Excepciones")</f>
        <v>Niveles Y Tipos De Excepciones</v>
      </c>
      <c r="G28" s="19"/>
      <c r="H28" s="20"/>
    </row>
    <row r="29" ht="15.75" customHeight="1">
      <c r="A29" s="21">
        <v>2.0</v>
      </c>
      <c r="B29" s="18" t="str">
        <f>IFERROR(__xludf.DUMMYFUNCTION("""COMPUTED_VALUE"""),"Lenguaje Ensamblador ARM-64 bits")</f>
        <v>Lenguaje Ensamblador ARM-64 bits</v>
      </c>
      <c r="C29" s="20"/>
      <c r="D29" s="18" t="str">
        <f>IFERROR(__xludf.DUMMYFUNCTION("""COMPUTED_VALUE"""),"Set Instrucciones ARM")</f>
        <v>Set Instrucciones ARM</v>
      </c>
      <c r="E29" s="20"/>
      <c r="F29" s="18" t="str">
        <f>IFERROR(__xludf.DUMMYFUNCTION("""COMPUTED_VALUE"""),"Syscalls")</f>
        <v>Syscalls</v>
      </c>
      <c r="G29" s="19"/>
      <c r="H29" s="20"/>
    </row>
    <row r="30" ht="15.75" customHeight="1">
      <c r="A30" s="21">
        <v>3.0</v>
      </c>
      <c r="B30" s="18" t="str">
        <f>IFERROR(__xludf.DUMMYFUNCTION("""COMPUTED_VALUE"""),"Lenguaje Ensamblador ARM-64 bits")</f>
        <v>Lenguaje Ensamblador ARM-64 bits</v>
      </c>
      <c r="C30" s="20"/>
      <c r="D30" s="18" t="str">
        <f>IFERROR(__xludf.DUMMYFUNCTION("""COMPUTED_VALUE"""),"Set Instrucciones ARM")</f>
        <v>Set Instrucciones ARM</v>
      </c>
      <c r="E30" s="20"/>
      <c r="F30" s="18" t="str">
        <f>IFERROR(__xludf.DUMMYFUNCTION("""COMPUTED_VALUE"""),"Directivas De Ensamblador")</f>
        <v>Directivas De Ensamblador</v>
      </c>
      <c r="G30" s="19"/>
      <c r="H30" s="20"/>
    </row>
    <row r="31" ht="15.75" customHeight="1">
      <c r="A31" s="21">
        <v>4.0</v>
      </c>
      <c r="B31" s="18" t="str">
        <f>IFERROR(__xludf.DUMMYFUNCTION("""COMPUTED_VALUE"""),"Programacion Hibrida ARM-64 bits")</f>
        <v>Programacion Hibrida ARM-64 bits</v>
      </c>
      <c r="C31" s="20"/>
      <c r="D31" s="18" t="str">
        <f>IFERROR(__xludf.DUMMYFUNCTION("""COMPUTED_VALUE"""),"Herramientas ARM")</f>
        <v>Herramientas ARM</v>
      </c>
      <c r="E31" s="20"/>
      <c r="F31" s="18" t="str">
        <f>IFERROR(__xludf.DUMMYFUNCTION("""COMPUTED_VALUE"""),"Usando El Ensamblador De ARM (GDB)")</f>
        <v>Usando El Ensamblador De ARM (GDB)</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35.0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ht="15.75" customHeight="1">
      <c r="A47" s="30" t="s">
        <v>154</v>
      </c>
      <c r="B47" s="32" t="s">
        <v>196</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202</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c r="B71" s="19"/>
      <c r="C71" s="19"/>
      <c r="D71" s="19"/>
      <c r="E71" s="19"/>
      <c r="F71" s="19"/>
      <c r="G71" s="19"/>
      <c r="H71" s="20"/>
    </row>
    <row r="72" ht="15.75" customHeight="1">
      <c r="A72" s="54" t="s">
        <v>198</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10.0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166</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203</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204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60</v>
      </c>
      <c r="I21" s="5"/>
    </row>
    <row r="22" ht="15.75" customHeight="1">
      <c r="G22" s="25" t="s">
        <v>133</v>
      </c>
    </row>
    <row r="23">
      <c r="A23" s="30" t="s">
        <v>134</v>
      </c>
      <c r="B23" s="32" t="s">
        <v>205</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IFERROR(__xludf.DUMMYFUNCTION("FILTER('Diseño'!D:D,'Diseño'!H:H=$C$5)"),"Programacion Hibrida ARM-64 bits")</f>
        <v>Programacion Hibrida ARM-64 bits</v>
      </c>
      <c r="C28" s="20"/>
      <c r="D28" s="18" t="str">
        <f>IFERROR(__xludf.DUMMYFUNCTION("FILTER('Diseño'!E:E,'Diseño'!H:H=$C$5)"),"Herramientas ARM")</f>
        <v>Herramientas ARM</v>
      </c>
      <c r="E28" s="20"/>
      <c r="F28" s="18" t="str">
        <f>IFERROR(__xludf.DUMMYFUNCTION("FILTER('Diseño'!F:F,'Diseño'!H:H=$C$5)"),"Usando El Depurador De ARM (GDB)")</f>
        <v>Usando El Depurador De ARM (GDB)</v>
      </c>
      <c r="G28" s="19"/>
      <c r="H28" s="20"/>
    </row>
    <row r="29" ht="15.75" customHeight="1">
      <c r="A29" s="21">
        <v>2.0</v>
      </c>
      <c r="B29" s="18" t="str">
        <f>IFERROR(__xludf.DUMMYFUNCTION("""COMPUTED_VALUE"""),"Programacion Hibrida ARM-64 bits")</f>
        <v>Programacion Hibrida ARM-64 bits</v>
      </c>
      <c r="C29" s="20"/>
      <c r="D29" s="18" t="str">
        <f>IFERROR(__xludf.DUMMYFUNCTION("""COMPUTED_VALUE"""),"Herramientas ARM")</f>
        <v>Herramientas ARM</v>
      </c>
      <c r="E29" s="20"/>
      <c r="F29" s="18" t="str">
        <f>IFERROR(__xludf.DUMMYFUNCTION("""COMPUTED_VALUE"""),"Creacion De Funciones")</f>
        <v>Creacion De Funciones</v>
      </c>
      <c r="G29" s="19"/>
      <c r="H29" s="20"/>
    </row>
    <row r="30" ht="15.75" customHeight="1">
      <c r="A30" s="21">
        <v>3.0</v>
      </c>
      <c r="B30" s="18" t="str">
        <f>IFERROR(__xludf.DUMMYFUNCTION("""COMPUTED_VALUE"""),"Programacion Hibrida ARM-64 bits")</f>
        <v>Programacion Hibrida ARM-64 bits</v>
      </c>
      <c r="C30" s="20"/>
      <c r="D30" s="18" t="str">
        <f>IFERROR(__xludf.DUMMYFUNCTION("""COMPUTED_VALUE"""),"STACK de ARM")</f>
        <v>STACK de ARM</v>
      </c>
      <c r="E30" s="20"/>
      <c r="F30" s="18" t="str">
        <f>IFERROR(__xludf.DUMMYFUNCTION("""COMPUTED_VALUE"""),"El Stack Del Procesador")</f>
        <v>El Stack Del Procesador</v>
      </c>
      <c r="G30" s="19"/>
      <c r="H30" s="20"/>
    </row>
    <row r="31" ht="15.75" customHeight="1">
      <c r="A31" s="21">
        <v>4.0</v>
      </c>
      <c r="B31" s="18" t="str">
        <f>IFERROR(__xludf.DUMMYFUNCTION("""COMPUTED_VALUE"""),"Programacion Hibrida ARM-64 bits")</f>
        <v>Programacion Hibrida ARM-64 bits</v>
      </c>
      <c r="C31" s="20"/>
      <c r="D31" s="18" t="str">
        <f>IFERROR(__xludf.DUMMYFUNCTION("""COMPUTED_VALUE"""),"STACK de ARM")</f>
        <v>STACK de ARM</v>
      </c>
      <c r="E31" s="20"/>
      <c r="F31" s="18" t="str">
        <f>IFERROR(__xludf.DUMMYFUNCTION("""COMPUTED_VALUE"""),"Manejo Del Stack A Nivel De Codigo")</f>
        <v>Manejo Del Stack A Nivel De Codigo</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40.0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205</v>
      </c>
      <c r="C47" s="19"/>
      <c r="D47" s="19"/>
      <c r="E47" s="19"/>
      <c r="F47" s="19"/>
      <c r="G47" s="19"/>
      <c r="H47" s="20"/>
      <c r="I47" s="69"/>
      <c r="J47" s="69"/>
      <c r="K47" s="69"/>
      <c r="L47" s="69"/>
      <c r="M47" s="69"/>
      <c r="N47" s="69"/>
      <c r="O47" s="69"/>
      <c r="P47" s="69"/>
      <c r="Q47" s="69"/>
      <c r="R47" s="69"/>
      <c r="S47" s="69"/>
      <c r="T47" s="69"/>
      <c r="U47" s="69"/>
      <c r="V47" s="69"/>
      <c r="W47" s="69"/>
      <c r="X47" s="69"/>
      <c r="Y47" s="69"/>
      <c r="Z47" s="69"/>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206</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207</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11.0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176</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208</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209</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55</v>
      </c>
      <c r="I21" s="5"/>
    </row>
    <row r="22" ht="15.75" customHeight="1">
      <c r="G22" s="25" t="s">
        <v>133</v>
      </c>
    </row>
    <row r="23">
      <c r="A23" s="30" t="s">
        <v>134</v>
      </c>
      <c r="B23" s="32" t="s">
        <v>210</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IFERROR(__xludf.DUMMYFUNCTION("FILTER('Diseño'!D:D,'Diseño'!H:H=$C$5)"),"Programacion Hibrida ARM-64 bits")</f>
        <v>Programacion Hibrida ARM-64 bits</v>
      </c>
      <c r="C28" s="20"/>
      <c r="D28" s="18" t="str">
        <f>IFERROR(__xludf.DUMMYFUNCTION("FILTER('Diseño'!E:E,'Diseño'!H:H=$C$5)"),"STACK de ARM")</f>
        <v>STACK de ARM</v>
      </c>
      <c r="E28" s="20"/>
      <c r="F28" s="18" t="str">
        <f>IFERROR(__xludf.DUMMYFUNCTION("FILTER('Diseño'!F:F,'Diseño'!H:H=$C$5)"),"Casos De Uso Del Stack")</f>
        <v>Casos De Uso Del Stack</v>
      </c>
      <c r="G28" s="19"/>
      <c r="H28" s="20"/>
    </row>
    <row r="29" ht="15.75" customHeight="1">
      <c r="A29" s="21">
        <v>2.0</v>
      </c>
      <c r="B29" s="18" t="str">
        <f>IFERROR(__xludf.DUMMYFUNCTION("""COMPUTED_VALUE"""),"Programacion Hibrida ARM-64 bits")</f>
        <v>Programacion Hibrida ARM-64 bits</v>
      </c>
      <c r="C29" s="20"/>
      <c r="D29" s="18" t="str">
        <f>IFERROR(__xludf.DUMMYFUNCTION("""COMPUTED_VALUE"""),"Compatibilidad de ARM Con C")</f>
        <v>Compatibilidad de ARM Con C</v>
      </c>
      <c r="E29" s="20"/>
      <c r="F29" s="18" t="str">
        <f>IFERROR(__xludf.DUMMYFUNCTION("""COMPUTED_VALUE"""),"Desarrollando Bloques En ARM")</f>
        <v>Desarrollando Bloques En ARM</v>
      </c>
      <c r="G29" s="19"/>
      <c r="H29" s="20"/>
    </row>
    <row r="30" ht="15.75" customHeight="1">
      <c r="A30" s="21">
        <v>3.0</v>
      </c>
      <c r="B30" s="18" t="str">
        <f>IFERROR(__xludf.DUMMYFUNCTION("""COMPUTED_VALUE"""),"Programacion Hibrida ARM-64 bits")</f>
        <v>Programacion Hibrida ARM-64 bits</v>
      </c>
      <c r="C30" s="20"/>
      <c r="D30" s="18" t="str">
        <f>IFERROR(__xludf.DUMMYFUNCTION("""COMPUTED_VALUE"""),"Compatibilidad de ARM Con C")</f>
        <v>Compatibilidad de ARM Con C</v>
      </c>
      <c r="E30" s="20"/>
      <c r="F30" s="18" t="str">
        <f>IFERROR(__xludf.DUMMYFUNCTION("""COMPUTED_VALUE"""),"Integracion De Bloques ARM En C")</f>
        <v>Integracion De Bloques ARM En C</v>
      </c>
      <c r="G30" s="19"/>
      <c r="H30" s="20"/>
    </row>
    <row r="31" ht="15.75" customHeight="1">
      <c r="A31" s="21">
        <v>4.0</v>
      </c>
      <c r="B31" s="18" t="str">
        <f>IFERROR(__xludf.DUMMYFUNCTION("""COMPUTED_VALUE"""),"Programacion Hibrida ARM-64 bits")</f>
        <v>Programacion Hibrida ARM-64 bits</v>
      </c>
      <c r="C31" s="20"/>
      <c r="D31" s="18" t="str">
        <f>IFERROR(__xludf.DUMMYFUNCTION("""COMPUTED_VALUE"""),"Compatibilidad de ARM Con C")</f>
        <v>Compatibilidad de ARM Con C</v>
      </c>
      <c r="E31" s="20"/>
      <c r="F31" s="18" t="str">
        <f>IFERROR(__xludf.DUMMYFUNCTION("""COMPUTED_VALUE"""),"Integracion De Librerias De C En ARM")</f>
        <v>Integracion De Librerias De C En ARM</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30.0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15.0</v>
      </c>
      <c r="E42" s="19"/>
      <c r="F42" s="19"/>
      <c r="G42" s="19"/>
      <c r="H42" s="20"/>
    </row>
    <row r="43" ht="15.75" customHeight="1"/>
    <row r="44" ht="15.75" customHeight="1">
      <c r="A44" s="45" t="s">
        <v>151</v>
      </c>
      <c r="G44" s="37" t="s">
        <v>84</v>
      </c>
      <c r="H44" s="66">
        <f>B50+B61</f>
        <v>35</v>
      </c>
    </row>
    <row r="45" ht="15.75" customHeight="1">
      <c r="G45" s="25" t="s">
        <v>152</v>
      </c>
    </row>
    <row r="46" ht="15.75" customHeight="1">
      <c r="A46" s="25" t="s">
        <v>153</v>
      </c>
    </row>
    <row r="47">
      <c r="A47" s="30" t="s">
        <v>154</v>
      </c>
      <c r="B47" s="32" t="s">
        <v>210</v>
      </c>
      <c r="C47" s="19"/>
      <c r="D47" s="19"/>
      <c r="E47" s="19"/>
      <c r="F47" s="19"/>
      <c r="G47" s="19"/>
      <c r="H47" s="20"/>
    </row>
    <row r="48" ht="15.75" customHeight="1">
      <c r="A48" s="30" t="s">
        <v>155</v>
      </c>
      <c r="B48" s="18" t="s">
        <v>180</v>
      </c>
      <c r="C48" s="19"/>
      <c r="D48" s="19"/>
      <c r="E48" s="19"/>
      <c r="F48" s="19"/>
      <c r="G48" s="19"/>
      <c r="H48" s="20"/>
    </row>
    <row r="49" ht="15.75" customHeight="1">
      <c r="A49" s="30" t="s">
        <v>122</v>
      </c>
      <c r="B49" s="60">
        <v>2.0</v>
      </c>
      <c r="C49" s="19"/>
      <c r="D49" s="19"/>
      <c r="E49" s="19"/>
      <c r="F49" s="19"/>
      <c r="G49" s="19"/>
      <c r="H49" s="20"/>
    </row>
    <row r="50" ht="15.75" customHeight="1">
      <c r="A50" s="30" t="s">
        <v>84</v>
      </c>
      <c r="B50" s="36">
        <v>35.0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211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212</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213</v>
      </c>
    </row>
    <row r="3" ht="15.75" customHeight="1"/>
    <row r="4" ht="15.75" customHeight="1">
      <c r="B4" s="17" t="s">
        <v>1</v>
      </c>
      <c r="C4" s="18" t="str">
        <f>'Diseño'!C4</f>
        <v>778 - Arquitectura de Computadoras y Ensambladores 1</v>
      </c>
      <c r="D4" s="19"/>
      <c r="E4" s="19"/>
      <c r="F4" s="19"/>
      <c r="G4" s="20"/>
    </row>
    <row r="5" ht="15.75" customHeight="1">
      <c r="B5" s="44" t="s">
        <v>82</v>
      </c>
      <c r="C5" s="18">
        <f>H9+H26+H43</f>
        <v>80</v>
      </c>
      <c r="D5" s="19"/>
      <c r="E5" s="19"/>
      <c r="F5" s="19"/>
      <c r="G5" s="20"/>
    </row>
    <row r="6" ht="15.75" customHeight="1">
      <c r="B6" s="44" t="s">
        <v>122</v>
      </c>
      <c r="C6" s="18">
        <f>F9+F26+F43</f>
        <v>60</v>
      </c>
      <c r="D6" s="19"/>
      <c r="E6" s="19"/>
      <c r="F6" s="19"/>
      <c r="G6" s="20"/>
    </row>
    <row r="7" ht="15.75" customHeight="1">
      <c r="B7" s="6" t="s">
        <v>214</v>
      </c>
    </row>
    <row r="8" ht="15.75" customHeight="1"/>
    <row r="9" ht="15.75" customHeight="1">
      <c r="A9" s="45" t="s">
        <v>215</v>
      </c>
      <c r="E9" s="37" t="s">
        <v>122</v>
      </c>
      <c r="F9" s="46">
        <v>30.0</v>
      </c>
      <c r="G9" s="37" t="s">
        <v>216</v>
      </c>
      <c r="H9" s="46">
        <v>30.0</v>
      </c>
    </row>
    <row r="10" ht="15.75" customHeight="1">
      <c r="A10" s="6" t="s">
        <v>145</v>
      </c>
    </row>
    <row r="11">
      <c r="A11" s="56" t="s">
        <v>134</v>
      </c>
      <c r="B11" s="32" t="s">
        <v>169</v>
      </c>
      <c r="C11" s="19"/>
      <c r="D11" s="19"/>
      <c r="E11" s="19"/>
      <c r="F11" s="19"/>
      <c r="G11" s="19"/>
      <c r="H11" s="20"/>
    </row>
    <row r="12">
      <c r="A12" s="56" t="s">
        <v>134</v>
      </c>
      <c r="B12" s="32" t="s">
        <v>179</v>
      </c>
      <c r="C12" s="19"/>
      <c r="D12" s="19"/>
      <c r="E12" s="19"/>
      <c r="F12" s="19"/>
      <c r="G12" s="19"/>
      <c r="H12" s="20"/>
    </row>
    <row r="13" ht="15.75" customHeight="1">
      <c r="A13" s="56" t="s">
        <v>134</v>
      </c>
      <c r="B13" s="18"/>
      <c r="C13" s="19"/>
      <c r="D13" s="19"/>
      <c r="E13" s="19"/>
      <c r="F13" s="19"/>
      <c r="G13" s="19"/>
      <c r="H13" s="20"/>
    </row>
    <row r="14" ht="15.75" customHeight="1">
      <c r="A14" s="56" t="s">
        <v>217</v>
      </c>
      <c r="B14" s="70" t="s">
        <v>218</v>
      </c>
      <c r="C14" s="71"/>
      <c r="D14" s="71"/>
      <c r="E14" s="71"/>
      <c r="F14" s="71"/>
      <c r="G14" s="71"/>
      <c r="H14" s="72"/>
    </row>
    <row r="15" ht="15.75" customHeight="1">
      <c r="A15" s="47" t="s">
        <v>219</v>
      </c>
      <c r="B15" s="19"/>
      <c r="C15" s="19"/>
      <c r="D15" s="19"/>
      <c r="E15" s="19"/>
      <c r="F15" s="19"/>
      <c r="G15" s="19"/>
      <c r="H15" s="20"/>
    </row>
    <row r="16" ht="15.75" customHeight="1">
      <c r="A16" s="54" t="s">
        <v>220</v>
      </c>
      <c r="B16" s="49"/>
      <c r="C16" s="49"/>
      <c r="D16" s="49"/>
      <c r="E16" s="49"/>
      <c r="F16" s="49"/>
      <c r="G16" s="49"/>
      <c r="H16" s="50"/>
    </row>
    <row r="17" ht="15.75" customHeight="1">
      <c r="A17" s="61"/>
      <c r="H17" s="62"/>
    </row>
    <row r="18" ht="15.75" customHeight="1">
      <c r="A18" s="51"/>
      <c r="B18" s="52"/>
      <c r="C18" s="52"/>
      <c r="D18" s="52"/>
      <c r="E18" s="52"/>
      <c r="F18" s="52"/>
      <c r="G18" s="52"/>
      <c r="H18" s="53"/>
    </row>
    <row r="19" ht="15.75" customHeight="1">
      <c r="A19" s="47" t="s">
        <v>221</v>
      </c>
      <c r="B19" s="19"/>
      <c r="C19" s="19"/>
      <c r="D19" s="19"/>
      <c r="E19" s="19"/>
      <c r="F19" s="19"/>
      <c r="G19" s="19"/>
      <c r="H19" s="20"/>
    </row>
    <row r="20" ht="15.75" customHeight="1">
      <c r="A20" s="48" t="s">
        <v>222</v>
      </c>
      <c r="B20" s="49"/>
      <c r="C20" s="49"/>
      <c r="D20" s="49"/>
      <c r="E20" s="49"/>
      <c r="F20" s="49"/>
      <c r="G20" s="49"/>
      <c r="H20" s="50"/>
    </row>
    <row r="21" ht="15.75" customHeight="1">
      <c r="A21" s="61"/>
      <c r="H21" s="62"/>
    </row>
    <row r="22" ht="15.75" customHeight="1">
      <c r="A22" s="61"/>
      <c r="H22" s="62"/>
    </row>
    <row r="23" ht="15.75" customHeight="1">
      <c r="A23" s="51"/>
      <c r="B23" s="52"/>
      <c r="C23" s="52"/>
      <c r="D23" s="52"/>
      <c r="E23" s="52"/>
      <c r="F23" s="52"/>
      <c r="G23" s="52"/>
      <c r="H23" s="53"/>
    </row>
    <row r="24" ht="15.75" customHeight="1"/>
    <row r="25" ht="15.75" customHeight="1"/>
    <row r="26" ht="15.75" customHeight="1">
      <c r="A26" s="45" t="s">
        <v>223</v>
      </c>
      <c r="E26" s="37" t="s">
        <v>122</v>
      </c>
      <c r="F26" s="46">
        <v>30.0</v>
      </c>
      <c r="G26" s="37" t="s">
        <v>216</v>
      </c>
      <c r="H26" s="46">
        <v>50.0</v>
      </c>
    </row>
    <row r="27" ht="15.75" customHeight="1">
      <c r="A27" s="6" t="s">
        <v>145</v>
      </c>
    </row>
    <row r="28" ht="15.75" customHeight="1">
      <c r="A28" s="56" t="s">
        <v>134</v>
      </c>
      <c r="B28" s="36" t="s">
        <v>196</v>
      </c>
      <c r="C28" s="19"/>
      <c r="D28" s="19"/>
      <c r="E28" s="19"/>
      <c r="F28" s="19"/>
      <c r="G28" s="19"/>
      <c r="H28" s="20"/>
    </row>
    <row r="29" ht="15.75" customHeight="1">
      <c r="A29" s="56" t="s">
        <v>134</v>
      </c>
      <c r="B29" s="36" t="s">
        <v>205</v>
      </c>
      <c r="C29" s="19"/>
      <c r="D29" s="19"/>
      <c r="E29" s="19"/>
      <c r="F29" s="19"/>
      <c r="G29" s="19"/>
      <c r="H29" s="20"/>
    </row>
    <row r="30" ht="15.75" customHeight="1">
      <c r="A30" s="56" t="s">
        <v>134</v>
      </c>
      <c r="B30" s="36" t="s">
        <v>170</v>
      </c>
      <c r="C30" s="19"/>
      <c r="D30" s="19"/>
      <c r="E30" s="19"/>
      <c r="F30" s="19"/>
      <c r="G30" s="19"/>
      <c r="H30" s="20"/>
    </row>
    <row r="31" ht="15.75" customHeight="1">
      <c r="A31" s="56" t="s">
        <v>217</v>
      </c>
      <c r="B31" s="70" t="s">
        <v>224</v>
      </c>
      <c r="C31" s="71"/>
      <c r="D31" s="71"/>
      <c r="E31" s="71"/>
      <c r="F31" s="71"/>
      <c r="G31" s="71"/>
      <c r="H31" s="72"/>
    </row>
    <row r="32" ht="15.75" customHeight="1">
      <c r="A32" s="47" t="s">
        <v>219</v>
      </c>
      <c r="B32" s="19"/>
      <c r="C32" s="19"/>
      <c r="D32" s="19"/>
      <c r="E32" s="19"/>
      <c r="F32" s="19"/>
      <c r="G32" s="19"/>
      <c r="H32" s="20"/>
    </row>
    <row r="33" ht="15.75" customHeight="1">
      <c r="A33" s="73" t="s">
        <v>225</v>
      </c>
      <c r="B33" s="49"/>
      <c r="C33" s="49"/>
      <c r="D33" s="49"/>
      <c r="E33" s="49"/>
      <c r="F33" s="49"/>
      <c r="G33" s="49"/>
      <c r="H33" s="50"/>
    </row>
    <row r="34" ht="15.75" customHeight="1">
      <c r="A34" s="61"/>
      <c r="H34" s="62"/>
    </row>
    <row r="35" ht="15.75" customHeight="1">
      <c r="A35" s="51"/>
      <c r="B35" s="52"/>
      <c r="C35" s="52"/>
      <c r="D35" s="52"/>
      <c r="E35" s="52"/>
      <c r="F35" s="52"/>
      <c r="G35" s="52"/>
      <c r="H35" s="53"/>
    </row>
    <row r="36" ht="15.75" customHeight="1">
      <c r="A36" s="47" t="s">
        <v>221</v>
      </c>
      <c r="B36" s="19"/>
      <c r="C36" s="19"/>
      <c r="D36" s="19"/>
      <c r="E36" s="19"/>
      <c r="F36" s="19"/>
      <c r="G36" s="19"/>
      <c r="H36" s="20"/>
    </row>
    <row r="37" ht="15.75" customHeight="1">
      <c r="A37" s="74" t="s">
        <v>226</v>
      </c>
      <c r="B37" s="49"/>
      <c r="C37" s="49"/>
      <c r="D37" s="49"/>
      <c r="E37" s="49"/>
      <c r="F37" s="49"/>
      <c r="G37" s="49"/>
      <c r="H37" s="50"/>
    </row>
    <row r="38" ht="15.75" customHeight="1">
      <c r="A38" s="61"/>
      <c r="H38" s="62"/>
    </row>
    <row r="39" ht="15.75" customHeight="1">
      <c r="A39" s="61"/>
      <c r="H39" s="62"/>
    </row>
    <row r="40" ht="15.75" customHeight="1">
      <c r="A40" s="51"/>
      <c r="B40" s="52"/>
      <c r="C40" s="52"/>
      <c r="D40" s="52"/>
      <c r="E40" s="52"/>
      <c r="F40" s="52"/>
      <c r="G40" s="52"/>
      <c r="H40" s="53"/>
    </row>
    <row r="41" ht="15.75" customHeight="1"/>
    <row r="42" ht="15.75" customHeight="1"/>
    <row r="43" ht="15.75" customHeight="1">
      <c r="A43" s="45" t="s">
        <v>227</v>
      </c>
      <c r="E43" s="37" t="s">
        <v>122</v>
      </c>
      <c r="F43" s="66"/>
      <c r="G43" s="37" t="s">
        <v>216</v>
      </c>
      <c r="H43" s="66"/>
    </row>
    <row r="44" ht="15.75" customHeight="1">
      <c r="A44" s="40" t="s">
        <v>228</v>
      </c>
    </row>
    <row r="45" ht="15.75" customHeight="1">
      <c r="A45" s="56" t="s">
        <v>134</v>
      </c>
      <c r="B45" s="18"/>
      <c r="C45" s="19"/>
      <c r="D45" s="19"/>
      <c r="E45" s="19"/>
      <c r="F45" s="19"/>
      <c r="G45" s="19"/>
      <c r="H45" s="20"/>
    </row>
    <row r="46" ht="15.75" customHeight="1">
      <c r="A46" s="56" t="s">
        <v>134</v>
      </c>
      <c r="B46" s="18"/>
      <c r="C46" s="19"/>
      <c r="D46" s="19"/>
      <c r="E46" s="19"/>
      <c r="F46" s="19"/>
      <c r="G46" s="19"/>
      <c r="H46" s="20"/>
    </row>
    <row r="47" ht="15.75" customHeight="1">
      <c r="A47" s="56" t="s">
        <v>134</v>
      </c>
      <c r="B47" s="18"/>
      <c r="C47" s="19"/>
      <c r="D47" s="19"/>
      <c r="E47" s="19"/>
      <c r="F47" s="19"/>
      <c r="G47" s="19"/>
      <c r="H47" s="20"/>
    </row>
    <row r="48" ht="15.75" customHeight="1">
      <c r="A48" s="56" t="s">
        <v>217</v>
      </c>
      <c r="B48" s="18"/>
      <c r="C48" s="19"/>
      <c r="D48" s="19"/>
      <c r="E48" s="19"/>
      <c r="F48" s="19"/>
      <c r="G48" s="19"/>
      <c r="H48" s="20"/>
    </row>
    <row r="49" ht="15.75" customHeight="1">
      <c r="A49" s="47" t="s">
        <v>219</v>
      </c>
      <c r="B49" s="19"/>
      <c r="C49" s="19"/>
      <c r="D49" s="19"/>
      <c r="E49" s="19"/>
      <c r="F49" s="19"/>
      <c r="G49" s="19"/>
      <c r="H49" s="20"/>
    </row>
    <row r="50" ht="15.75" customHeight="1">
      <c r="A50" s="65"/>
      <c r="B50" s="49"/>
      <c r="C50" s="49"/>
      <c r="D50" s="49"/>
      <c r="E50" s="49"/>
      <c r="F50" s="49"/>
      <c r="G50" s="49"/>
      <c r="H50" s="50"/>
    </row>
    <row r="51" ht="15.75" customHeight="1">
      <c r="A51" s="61"/>
      <c r="H51" s="62"/>
    </row>
    <row r="52" ht="15.75" customHeight="1">
      <c r="A52" s="51"/>
      <c r="B52" s="52"/>
      <c r="C52" s="52"/>
      <c r="D52" s="52"/>
      <c r="E52" s="52"/>
      <c r="F52" s="52"/>
      <c r="G52" s="52"/>
      <c r="H52" s="53"/>
    </row>
    <row r="53" ht="15.75" customHeight="1">
      <c r="A53" s="47" t="s">
        <v>221</v>
      </c>
      <c r="B53" s="19"/>
      <c r="C53" s="19"/>
      <c r="D53" s="19"/>
      <c r="E53" s="19"/>
      <c r="F53" s="19"/>
      <c r="G53" s="19"/>
      <c r="H53" s="20"/>
    </row>
    <row r="54" ht="15.75" customHeight="1">
      <c r="A54" s="65"/>
      <c r="B54" s="49"/>
      <c r="C54" s="49"/>
      <c r="D54" s="49"/>
      <c r="E54" s="49"/>
      <c r="F54" s="49"/>
      <c r="G54" s="49"/>
      <c r="H54" s="50"/>
    </row>
    <row r="55" ht="15.75" customHeight="1">
      <c r="A55" s="61"/>
      <c r="H55" s="62"/>
    </row>
    <row r="56" ht="15.75" customHeight="1">
      <c r="A56" s="61"/>
      <c r="H56" s="62"/>
    </row>
    <row r="57" ht="15.75" customHeight="1">
      <c r="A57" s="51"/>
      <c r="B57" s="52"/>
      <c r="C57" s="52"/>
      <c r="D57" s="52"/>
      <c r="E57" s="52"/>
      <c r="F57" s="52"/>
      <c r="G57" s="52"/>
      <c r="H57" s="5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46:H46"/>
    <mergeCell ref="B47:H47"/>
    <mergeCell ref="B48:H48"/>
    <mergeCell ref="A49:H49"/>
    <mergeCell ref="A50:H52"/>
    <mergeCell ref="A53:H53"/>
    <mergeCell ref="A54:H57"/>
    <mergeCell ref="B30:H30"/>
    <mergeCell ref="A32:H32"/>
    <mergeCell ref="A33:H35"/>
    <mergeCell ref="A36:H36"/>
    <mergeCell ref="A37:H40"/>
    <mergeCell ref="A43:D43"/>
    <mergeCell ref="B45:H45"/>
  </mergeCells>
  <dataValidations>
    <dataValidation type="list" allowBlank="1" showErrorMessage="1" sqref="B11:B13 B28:B30 B45:B47">
      <formula1>METADATA!$I$17:$I$40</formula1>
    </dataValidation>
  </dataValidations>
  <hyperlinks>
    <hyperlink r:id="rId1" ref="A3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229</v>
      </c>
    </row>
    <row r="3" ht="15.75" customHeight="1"/>
    <row r="4" ht="15.75" customHeight="1">
      <c r="B4" s="17" t="s">
        <v>1</v>
      </c>
      <c r="C4" s="18" t="str">
        <f>'Diseño'!C4</f>
        <v>778 - Arquitectura de Computadoras y Ensambladores 1</v>
      </c>
      <c r="D4" s="19"/>
      <c r="E4" s="19"/>
      <c r="F4" s="19"/>
      <c r="G4" s="20"/>
    </row>
    <row r="5" ht="15.75" customHeight="1">
      <c r="B5" s="44" t="s">
        <v>82</v>
      </c>
      <c r="C5" s="18">
        <f>H9+H26+H43+H60+H77+H94+H111</f>
        <v>0</v>
      </c>
      <c r="D5" s="19"/>
      <c r="E5" s="19"/>
      <c r="F5" s="19"/>
      <c r="G5" s="20"/>
    </row>
    <row r="6" ht="15.75" customHeight="1">
      <c r="B6" s="44" t="s">
        <v>122</v>
      </c>
      <c r="C6" s="18">
        <f>F9+F26+F43+F60+F77+F94+F111</f>
        <v>0</v>
      </c>
      <c r="D6" s="19"/>
      <c r="E6" s="19"/>
      <c r="F6" s="19"/>
      <c r="G6" s="20"/>
    </row>
    <row r="7" ht="15.75" customHeight="1">
      <c r="B7" s="6" t="s">
        <v>230</v>
      </c>
    </row>
    <row r="8" ht="15.75" customHeight="1"/>
    <row r="9" ht="15.75" customHeight="1">
      <c r="A9" s="45" t="s">
        <v>231</v>
      </c>
      <c r="E9" s="37" t="s">
        <v>122</v>
      </c>
      <c r="F9" s="66"/>
      <c r="G9" s="37" t="s">
        <v>216</v>
      </c>
      <c r="H9" s="66"/>
    </row>
    <row r="10" ht="15.75" customHeight="1">
      <c r="A10" s="6" t="s">
        <v>232</v>
      </c>
    </row>
    <row r="11" ht="15.75" customHeight="1">
      <c r="A11" s="56" t="s">
        <v>134</v>
      </c>
      <c r="B11" s="18"/>
      <c r="C11" s="19"/>
      <c r="D11" s="19"/>
      <c r="E11" s="19"/>
      <c r="F11" s="19"/>
      <c r="G11" s="19"/>
      <c r="H11" s="20"/>
    </row>
    <row r="12" ht="15.75" customHeight="1">
      <c r="A12" s="56" t="s">
        <v>134</v>
      </c>
      <c r="B12" s="18"/>
      <c r="C12" s="19"/>
      <c r="D12" s="19"/>
      <c r="E12" s="19"/>
      <c r="F12" s="19"/>
      <c r="G12" s="19"/>
      <c r="H12" s="20"/>
    </row>
    <row r="13" ht="15.75" customHeight="1">
      <c r="A13" s="56" t="s">
        <v>134</v>
      </c>
      <c r="B13" s="18"/>
      <c r="C13" s="19"/>
      <c r="D13" s="19"/>
      <c r="E13" s="19"/>
      <c r="F13" s="19"/>
      <c r="G13" s="19"/>
      <c r="H13" s="20"/>
    </row>
    <row r="14" ht="15.75" customHeight="1">
      <c r="A14" s="56" t="s">
        <v>217</v>
      </c>
      <c r="B14" s="18"/>
      <c r="C14" s="19"/>
      <c r="D14" s="19"/>
      <c r="E14" s="19"/>
      <c r="F14" s="19"/>
      <c r="G14" s="19"/>
      <c r="H14" s="20"/>
    </row>
    <row r="15" ht="15.75" customHeight="1">
      <c r="A15" s="47" t="s">
        <v>219</v>
      </c>
      <c r="B15" s="19"/>
      <c r="C15" s="19"/>
      <c r="D15" s="19"/>
      <c r="E15" s="19"/>
      <c r="F15" s="19"/>
      <c r="G15" s="19"/>
      <c r="H15" s="20"/>
    </row>
    <row r="16" ht="15.75" customHeight="1">
      <c r="A16" s="65"/>
      <c r="B16" s="49"/>
      <c r="C16" s="49"/>
      <c r="D16" s="49"/>
      <c r="E16" s="49"/>
      <c r="F16" s="49"/>
      <c r="G16" s="49"/>
      <c r="H16" s="50"/>
    </row>
    <row r="17" ht="15.75" customHeight="1">
      <c r="A17" s="61"/>
      <c r="H17" s="62"/>
    </row>
    <row r="18" ht="15.75" customHeight="1">
      <c r="A18" s="51"/>
      <c r="B18" s="52"/>
      <c r="C18" s="52"/>
      <c r="D18" s="52"/>
      <c r="E18" s="52"/>
      <c r="F18" s="52"/>
      <c r="G18" s="52"/>
      <c r="H18" s="53"/>
    </row>
    <row r="19" ht="15.75" customHeight="1">
      <c r="A19" s="47" t="s">
        <v>221</v>
      </c>
      <c r="B19" s="19"/>
      <c r="C19" s="19"/>
      <c r="D19" s="19"/>
      <c r="E19" s="19"/>
      <c r="F19" s="19"/>
      <c r="G19" s="19"/>
      <c r="H19" s="20"/>
    </row>
    <row r="20" ht="15.75" customHeight="1">
      <c r="A20" s="65"/>
      <c r="B20" s="49"/>
      <c r="C20" s="49"/>
      <c r="D20" s="49"/>
      <c r="E20" s="49"/>
      <c r="F20" s="49"/>
      <c r="G20" s="49"/>
      <c r="H20" s="50"/>
    </row>
    <row r="21" ht="15.75" customHeight="1">
      <c r="A21" s="61"/>
      <c r="H21" s="62"/>
    </row>
    <row r="22" ht="15.75" customHeight="1">
      <c r="A22" s="61"/>
      <c r="H22" s="62"/>
    </row>
    <row r="23" ht="15.75" customHeight="1">
      <c r="A23" s="51"/>
      <c r="B23" s="52"/>
      <c r="C23" s="52"/>
      <c r="D23" s="52"/>
      <c r="E23" s="52"/>
      <c r="F23" s="52"/>
      <c r="G23" s="52"/>
      <c r="H23" s="53"/>
    </row>
    <row r="24" ht="15.75" customHeight="1"/>
    <row r="25" ht="15.75" customHeight="1"/>
    <row r="26" ht="15.75" customHeight="1">
      <c r="A26" s="45" t="s">
        <v>233</v>
      </c>
      <c r="E26" s="37" t="s">
        <v>122</v>
      </c>
      <c r="F26" s="66"/>
      <c r="G26" s="37" t="s">
        <v>216</v>
      </c>
      <c r="H26" s="66"/>
    </row>
    <row r="27" ht="15.75" customHeight="1">
      <c r="A27" s="40" t="s">
        <v>228</v>
      </c>
    </row>
    <row r="28" ht="15.75" customHeight="1">
      <c r="A28" s="56" t="s">
        <v>134</v>
      </c>
      <c r="B28" s="18"/>
      <c r="C28" s="19"/>
      <c r="D28" s="19"/>
      <c r="E28" s="19"/>
      <c r="F28" s="19"/>
      <c r="G28" s="19"/>
      <c r="H28" s="20"/>
    </row>
    <row r="29" ht="15.75" customHeight="1">
      <c r="A29" s="56" t="s">
        <v>134</v>
      </c>
      <c r="B29" s="18"/>
      <c r="C29" s="19"/>
      <c r="D29" s="19"/>
      <c r="E29" s="19"/>
      <c r="F29" s="19"/>
      <c r="G29" s="19"/>
      <c r="H29" s="20"/>
    </row>
    <row r="30" ht="15.75" customHeight="1">
      <c r="A30" s="56" t="s">
        <v>134</v>
      </c>
      <c r="B30" s="18"/>
      <c r="C30" s="19"/>
      <c r="D30" s="19"/>
      <c r="E30" s="19"/>
      <c r="F30" s="19"/>
      <c r="G30" s="19"/>
      <c r="H30" s="20"/>
    </row>
    <row r="31" ht="15.75" customHeight="1">
      <c r="A31" s="56" t="s">
        <v>217</v>
      </c>
      <c r="B31" s="18"/>
      <c r="C31" s="19"/>
      <c r="D31" s="19"/>
      <c r="E31" s="19"/>
      <c r="F31" s="19"/>
      <c r="G31" s="19"/>
      <c r="H31" s="20"/>
    </row>
    <row r="32" ht="15.75" customHeight="1">
      <c r="A32" s="47" t="s">
        <v>219</v>
      </c>
      <c r="B32" s="19"/>
      <c r="C32" s="19"/>
      <c r="D32" s="19"/>
      <c r="E32" s="19"/>
      <c r="F32" s="19"/>
      <c r="G32" s="19"/>
      <c r="H32" s="20"/>
    </row>
    <row r="33" ht="15.75" customHeight="1">
      <c r="A33" s="65"/>
      <c r="B33" s="49"/>
      <c r="C33" s="49"/>
      <c r="D33" s="49"/>
      <c r="E33" s="49"/>
      <c r="F33" s="49"/>
      <c r="G33" s="49"/>
      <c r="H33" s="50"/>
    </row>
    <row r="34" ht="15.75" customHeight="1">
      <c r="A34" s="61"/>
      <c r="H34" s="62"/>
    </row>
    <row r="35" ht="15.75" customHeight="1">
      <c r="A35" s="51"/>
      <c r="B35" s="52"/>
      <c r="C35" s="52"/>
      <c r="D35" s="52"/>
      <c r="E35" s="52"/>
      <c r="F35" s="52"/>
      <c r="G35" s="52"/>
      <c r="H35" s="53"/>
    </row>
    <row r="36" ht="15.75" customHeight="1">
      <c r="A36" s="47" t="s">
        <v>221</v>
      </c>
      <c r="B36" s="19"/>
      <c r="C36" s="19"/>
      <c r="D36" s="19"/>
      <c r="E36" s="19"/>
      <c r="F36" s="19"/>
      <c r="G36" s="19"/>
      <c r="H36" s="20"/>
    </row>
    <row r="37" ht="15.75" customHeight="1">
      <c r="A37" s="65"/>
      <c r="B37" s="49"/>
      <c r="C37" s="49"/>
      <c r="D37" s="49"/>
      <c r="E37" s="49"/>
      <c r="F37" s="49"/>
      <c r="G37" s="49"/>
      <c r="H37" s="50"/>
    </row>
    <row r="38" ht="15.75" customHeight="1">
      <c r="A38" s="61"/>
      <c r="H38" s="62"/>
    </row>
    <row r="39" ht="15.75" customHeight="1">
      <c r="A39" s="61"/>
      <c r="H39" s="62"/>
    </row>
    <row r="40" ht="15.75" customHeight="1">
      <c r="A40" s="51"/>
      <c r="B40" s="52"/>
      <c r="C40" s="52"/>
      <c r="D40" s="52"/>
      <c r="E40" s="52"/>
      <c r="F40" s="52"/>
      <c r="G40" s="52"/>
      <c r="H40" s="53"/>
    </row>
    <row r="41" ht="15.75" customHeight="1"/>
    <row r="42" ht="15.75" customHeight="1"/>
    <row r="43" ht="15.75" customHeight="1">
      <c r="A43" s="45" t="s">
        <v>234</v>
      </c>
      <c r="E43" s="37" t="s">
        <v>122</v>
      </c>
      <c r="F43" s="66"/>
      <c r="G43" s="37" t="s">
        <v>216</v>
      </c>
      <c r="H43" s="66"/>
    </row>
    <row r="44" ht="15.75" customHeight="1">
      <c r="A44" s="40" t="s">
        <v>228</v>
      </c>
    </row>
    <row r="45" ht="15.75" customHeight="1">
      <c r="A45" s="56" t="s">
        <v>134</v>
      </c>
      <c r="B45" s="18"/>
      <c r="C45" s="19"/>
      <c r="D45" s="19"/>
      <c r="E45" s="19"/>
      <c r="F45" s="19"/>
      <c r="G45" s="19"/>
      <c r="H45" s="20"/>
    </row>
    <row r="46" ht="15.75" customHeight="1">
      <c r="A46" s="56" t="s">
        <v>134</v>
      </c>
      <c r="B46" s="18"/>
      <c r="C46" s="19"/>
      <c r="D46" s="19"/>
      <c r="E46" s="19"/>
      <c r="F46" s="19"/>
      <c r="G46" s="19"/>
      <c r="H46" s="20"/>
    </row>
    <row r="47" ht="15.75" customHeight="1">
      <c r="A47" s="56" t="s">
        <v>134</v>
      </c>
      <c r="B47" s="18"/>
      <c r="C47" s="19"/>
      <c r="D47" s="19"/>
      <c r="E47" s="19"/>
      <c r="F47" s="19"/>
      <c r="G47" s="19"/>
      <c r="H47" s="20"/>
    </row>
    <row r="48" ht="15.75" customHeight="1">
      <c r="A48" s="56" t="s">
        <v>217</v>
      </c>
      <c r="B48" s="18"/>
      <c r="C48" s="19"/>
      <c r="D48" s="19"/>
      <c r="E48" s="19"/>
      <c r="F48" s="19"/>
      <c r="G48" s="19"/>
      <c r="H48" s="20"/>
    </row>
    <row r="49" ht="15.75" customHeight="1">
      <c r="A49" s="47" t="s">
        <v>219</v>
      </c>
      <c r="B49" s="19"/>
      <c r="C49" s="19"/>
      <c r="D49" s="19"/>
      <c r="E49" s="19"/>
      <c r="F49" s="19"/>
      <c r="G49" s="19"/>
      <c r="H49" s="20"/>
    </row>
    <row r="50" ht="15.75" customHeight="1">
      <c r="A50" s="65"/>
      <c r="B50" s="49"/>
      <c r="C50" s="49"/>
      <c r="D50" s="49"/>
      <c r="E50" s="49"/>
      <c r="F50" s="49"/>
      <c r="G50" s="49"/>
      <c r="H50" s="50"/>
    </row>
    <row r="51" ht="15.75" customHeight="1">
      <c r="A51" s="61"/>
      <c r="H51" s="62"/>
    </row>
    <row r="52" ht="15.75" customHeight="1">
      <c r="A52" s="51"/>
      <c r="B52" s="52"/>
      <c r="C52" s="52"/>
      <c r="D52" s="52"/>
      <c r="E52" s="52"/>
      <c r="F52" s="52"/>
      <c r="G52" s="52"/>
      <c r="H52" s="53"/>
    </row>
    <row r="53" ht="15.75" customHeight="1">
      <c r="A53" s="47" t="s">
        <v>221</v>
      </c>
      <c r="B53" s="19"/>
      <c r="C53" s="19"/>
      <c r="D53" s="19"/>
      <c r="E53" s="19"/>
      <c r="F53" s="19"/>
      <c r="G53" s="19"/>
      <c r="H53" s="20"/>
    </row>
    <row r="54" ht="15.75" customHeight="1">
      <c r="A54" s="65"/>
      <c r="B54" s="49"/>
      <c r="C54" s="49"/>
      <c r="D54" s="49"/>
      <c r="E54" s="49"/>
      <c r="F54" s="49"/>
      <c r="G54" s="49"/>
      <c r="H54" s="50"/>
    </row>
    <row r="55" ht="15.75" customHeight="1">
      <c r="A55" s="61"/>
      <c r="H55" s="62"/>
    </row>
    <row r="56" ht="15.75" customHeight="1">
      <c r="A56" s="61"/>
      <c r="H56" s="62"/>
    </row>
    <row r="57" ht="15.75" customHeight="1">
      <c r="A57" s="51"/>
      <c r="B57" s="52"/>
      <c r="C57" s="52"/>
      <c r="D57" s="52"/>
      <c r="E57" s="52"/>
      <c r="F57" s="52"/>
      <c r="G57" s="52"/>
      <c r="H57" s="53"/>
    </row>
    <row r="58" ht="15.75" customHeight="1"/>
    <row r="59" ht="15.75" customHeight="1"/>
    <row r="60" ht="15.75" customHeight="1">
      <c r="A60" s="45" t="s">
        <v>235</v>
      </c>
      <c r="E60" s="37" t="s">
        <v>122</v>
      </c>
      <c r="F60" s="66"/>
      <c r="G60" s="37" t="s">
        <v>216</v>
      </c>
      <c r="H60" s="66"/>
    </row>
    <row r="61" ht="15.75" customHeight="1">
      <c r="A61" s="40" t="s">
        <v>228</v>
      </c>
    </row>
    <row r="62" ht="15.75" customHeight="1">
      <c r="A62" s="56" t="s">
        <v>134</v>
      </c>
      <c r="B62" s="18"/>
      <c r="C62" s="19"/>
      <c r="D62" s="19"/>
      <c r="E62" s="19"/>
      <c r="F62" s="19"/>
      <c r="G62" s="19"/>
      <c r="H62" s="20"/>
    </row>
    <row r="63" ht="15.75" customHeight="1">
      <c r="A63" s="56" t="s">
        <v>134</v>
      </c>
      <c r="B63" s="18"/>
      <c r="C63" s="19"/>
      <c r="D63" s="19"/>
      <c r="E63" s="19"/>
      <c r="F63" s="19"/>
      <c r="G63" s="19"/>
      <c r="H63" s="20"/>
    </row>
    <row r="64" ht="15.75" customHeight="1">
      <c r="A64" s="56" t="s">
        <v>134</v>
      </c>
      <c r="B64" s="18"/>
      <c r="C64" s="19"/>
      <c r="D64" s="19"/>
      <c r="E64" s="19"/>
      <c r="F64" s="19"/>
      <c r="G64" s="19"/>
      <c r="H64" s="20"/>
    </row>
    <row r="65" ht="15.75" customHeight="1">
      <c r="A65" s="56" t="s">
        <v>217</v>
      </c>
      <c r="B65" s="18"/>
      <c r="C65" s="19"/>
      <c r="D65" s="19"/>
      <c r="E65" s="19"/>
      <c r="F65" s="19"/>
      <c r="G65" s="19"/>
      <c r="H65" s="20"/>
    </row>
    <row r="66" ht="15.75" customHeight="1">
      <c r="A66" s="47" t="s">
        <v>219</v>
      </c>
      <c r="B66" s="19"/>
      <c r="C66" s="19"/>
      <c r="D66" s="19"/>
      <c r="E66" s="19"/>
      <c r="F66" s="19"/>
      <c r="G66" s="19"/>
      <c r="H66" s="20"/>
    </row>
    <row r="67" ht="15.75" customHeight="1">
      <c r="A67" s="65"/>
      <c r="B67" s="49"/>
      <c r="C67" s="49"/>
      <c r="D67" s="49"/>
      <c r="E67" s="49"/>
      <c r="F67" s="49"/>
      <c r="G67" s="49"/>
      <c r="H67" s="50"/>
    </row>
    <row r="68" ht="15.75" customHeight="1">
      <c r="A68" s="61"/>
      <c r="H68" s="62"/>
    </row>
    <row r="69" ht="15.75" customHeight="1">
      <c r="A69" s="51"/>
      <c r="B69" s="52"/>
      <c r="C69" s="52"/>
      <c r="D69" s="52"/>
      <c r="E69" s="52"/>
      <c r="F69" s="52"/>
      <c r="G69" s="52"/>
      <c r="H69" s="53"/>
    </row>
    <row r="70" ht="15.75" customHeight="1">
      <c r="A70" s="47" t="s">
        <v>221</v>
      </c>
      <c r="B70" s="19"/>
      <c r="C70" s="19"/>
      <c r="D70" s="19"/>
      <c r="E70" s="19"/>
      <c r="F70" s="19"/>
      <c r="G70" s="19"/>
      <c r="H70" s="20"/>
    </row>
    <row r="71" ht="15.75" customHeight="1">
      <c r="A71" s="65"/>
      <c r="B71" s="49"/>
      <c r="C71" s="49"/>
      <c r="D71" s="49"/>
      <c r="E71" s="49"/>
      <c r="F71" s="49"/>
      <c r="G71" s="49"/>
      <c r="H71" s="50"/>
    </row>
    <row r="72" ht="15.75" customHeight="1">
      <c r="A72" s="61"/>
      <c r="H72" s="62"/>
    </row>
    <row r="73" ht="15.75" customHeight="1">
      <c r="A73" s="61"/>
      <c r="H73" s="62"/>
    </row>
    <row r="74" ht="15.75" customHeight="1">
      <c r="A74" s="51"/>
      <c r="B74" s="52"/>
      <c r="C74" s="52"/>
      <c r="D74" s="52"/>
      <c r="E74" s="52"/>
      <c r="F74" s="52"/>
      <c r="G74" s="52"/>
      <c r="H74" s="53"/>
    </row>
    <row r="75" ht="15.75" customHeight="1"/>
    <row r="76" ht="15.75" customHeight="1"/>
    <row r="77" ht="15.75" customHeight="1">
      <c r="A77" s="45" t="s">
        <v>236</v>
      </c>
      <c r="E77" s="37" t="s">
        <v>122</v>
      </c>
      <c r="F77" s="66"/>
      <c r="G77" s="37" t="s">
        <v>216</v>
      </c>
      <c r="H77" s="66"/>
    </row>
    <row r="78" ht="15.75" customHeight="1">
      <c r="A78" s="40" t="s">
        <v>228</v>
      </c>
    </row>
    <row r="79" ht="15.75" customHeight="1">
      <c r="A79" s="56" t="s">
        <v>134</v>
      </c>
      <c r="B79" s="18"/>
      <c r="C79" s="19"/>
      <c r="D79" s="19"/>
      <c r="E79" s="19"/>
      <c r="F79" s="19"/>
      <c r="G79" s="19"/>
      <c r="H79" s="20"/>
    </row>
    <row r="80" ht="15.75" customHeight="1">
      <c r="A80" s="56" t="s">
        <v>134</v>
      </c>
      <c r="B80" s="18"/>
      <c r="C80" s="19"/>
      <c r="D80" s="19"/>
      <c r="E80" s="19"/>
      <c r="F80" s="19"/>
      <c r="G80" s="19"/>
      <c r="H80" s="20"/>
    </row>
    <row r="81" ht="15.75" customHeight="1">
      <c r="A81" s="56" t="s">
        <v>134</v>
      </c>
      <c r="B81" s="18"/>
      <c r="C81" s="19"/>
      <c r="D81" s="19"/>
      <c r="E81" s="19"/>
      <c r="F81" s="19"/>
      <c r="G81" s="19"/>
      <c r="H81" s="20"/>
    </row>
    <row r="82" ht="15.75" customHeight="1">
      <c r="A82" s="56" t="s">
        <v>217</v>
      </c>
      <c r="B82" s="18"/>
      <c r="C82" s="19"/>
      <c r="D82" s="19"/>
      <c r="E82" s="19"/>
      <c r="F82" s="19"/>
      <c r="G82" s="19"/>
      <c r="H82" s="20"/>
    </row>
    <row r="83" ht="15.75" customHeight="1">
      <c r="A83" s="47" t="s">
        <v>219</v>
      </c>
      <c r="B83" s="19"/>
      <c r="C83" s="19"/>
      <c r="D83" s="19"/>
      <c r="E83" s="19"/>
      <c r="F83" s="19"/>
      <c r="G83" s="19"/>
      <c r="H83" s="20"/>
    </row>
    <row r="84" ht="15.75" customHeight="1">
      <c r="A84" s="65"/>
      <c r="B84" s="49"/>
      <c r="C84" s="49"/>
      <c r="D84" s="49"/>
      <c r="E84" s="49"/>
      <c r="F84" s="49"/>
      <c r="G84" s="49"/>
      <c r="H84" s="50"/>
    </row>
    <row r="85" ht="15.75" customHeight="1">
      <c r="A85" s="61"/>
      <c r="H85" s="62"/>
    </row>
    <row r="86" ht="15.75" customHeight="1">
      <c r="A86" s="51"/>
      <c r="B86" s="52"/>
      <c r="C86" s="52"/>
      <c r="D86" s="52"/>
      <c r="E86" s="52"/>
      <c r="F86" s="52"/>
      <c r="G86" s="52"/>
      <c r="H86" s="53"/>
    </row>
    <row r="87" ht="15.75" customHeight="1">
      <c r="A87" s="47" t="s">
        <v>221</v>
      </c>
      <c r="B87" s="19"/>
      <c r="C87" s="19"/>
      <c r="D87" s="19"/>
      <c r="E87" s="19"/>
      <c r="F87" s="19"/>
      <c r="G87" s="19"/>
      <c r="H87" s="20"/>
    </row>
    <row r="88" ht="15.75" customHeight="1">
      <c r="A88" s="65"/>
      <c r="B88" s="49"/>
      <c r="C88" s="49"/>
      <c r="D88" s="49"/>
      <c r="E88" s="49"/>
      <c r="F88" s="49"/>
      <c r="G88" s="49"/>
      <c r="H88" s="50"/>
    </row>
    <row r="89" ht="15.75" customHeight="1">
      <c r="A89" s="61"/>
      <c r="H89" s="62"/>
    </row>
    <row r="90" ht="15.75" customHeight="1">
      <c r="A90" s="61"/>
      <c r="H90" s="62"/>
    </row>
    <row r="91" ht="15.75" customHeight="1">
      <c r="A91" s="51"/>
      <c r="B91" s="52"/>
      <c r="C91" s="52"/>
      <c r="D91" s="52"/>
      <c r="E91" s="52"/>
      <c r="F91" s="52"/>
      <c r="G91" s="52"/>
      <c r="H91" s="53"/>
    </row>
    <row r="92" ht="15.75" customHeight="1"/>
    <row r="93" ht="15.75" customHeight="1"/>
    <row r="94" ht="15.75" customHeight="1">
      <c r="A94" s="45" t="s">
        <v>237</v>
      </c>
      <c r="E94" s="37" t="s">
        <v>122</v>
      </c>
      <c r="F94" s="66"/>
      <c r="G94" s="37" t="s">
        <v>216</v>
      </c>
      <c r="H94" s="66"/>
    </row>
    <row r="95" ht="15.75" customHeight="1">
      <c r="A95" s="40" t="s">
        <v>228</v>
      </c>
    </row>
    <row r="96" ht="15.75" customHeight="1">
      <c r="A96" s="56" t="s">
        <v>134</v>
      </c>
      <c r="B96" s="18"/>
      <c r="C96" s="19"/>
      <c r="D96" s="19"/>
      <c r="E96" s="19"/>
      <c r="F96" s="19"/>
      <c r="G96" s="19"/>
      <c r="H96" s="20"/>
    </row>
    <row r="97" ht="15.75" customHeight="1">
      <c r="A97" s="56" t="s">
        <v>134</v>
      </c>
      <c r="B97" s="18"/>
      <c r="C97" s="19"/>
      <c r="D97" s="19"/>
      <c r="E97" s="19"/>
      <c r="F97" s="19"/>
      <c r="G97" s="19"/>
      <c r="H97" s="20"/>
    </row>
    <row r="98" ht="15.75" customHeight="1">
      <c r="A98" s="56" t="s">
        <v>134</v>
      </c>
      <c r="B98" s="18"/>
      <c r="C98" s="19"/>
      <c r="D98" s="19"/>
      <c r="E98" s="19"/>
      <c r="F98" s="19"/>
      <c r="G98" s="19"/>
      <c r="H98" s="20"/>
    </row>
    <row r="99" ht="15.75" customHeight="1">
      <c r="A99" s="56" t="s">
        <v>217</v>
      </c>
      <c r="B99" s="18"/>
      <c r="C99" s="19"/>
      <c r="D99" s="19"/>
      <c r="E99" s="19"/>
      <c r="F99" s="19"/>
      <c r="G99" s="19"/>
      <c r="H99" s="20"/>
    </row>
    <row r="100" ht="15.75" customHeight="1">
      <c r="A100" s="47" t="s">
        <v>219</v>
      </c>
      <c r="B100" s="19"/>
      <c r="C100" s="19"/>
      <c r="D100" s="19"/>
      <c r="E100" s="19"/>
      <c r="F100" s="19"/>
      <c r="G100" s="19"/>
      <c r="H100" s="20"/>
    </row>
    <row r="101" ht="15.75" customHeight="1">
      <c r="A101" s="65"/>
      <c r="B101" s="49"/>
      <c r="C101" s="49"/>
      <c r="D101" s="49"/>
      <c r="E101" s="49"/>
      <c r="F101" s="49"/>
      <c r="G101" s="49"/>
      <c r="H101" s="50"/>
    </row>
    <row r="102" ht="15.75" customHeight="1">
      <c r="A102" s="61"/>
      <c r="H102" s="62"/>
    </row>
    <row r="103" ht="15.75" customHeight="1">
      <c r="A103" s="51"/>
      <c r="B103" s="52"/>
      <c r="C103" s="52"/>
      <c r="D103" s="52"/>
      <c r="E103" s="52"/>
      <c r="F103" s="52"/>
      <c r="G103" s="52"/>
      <c r="H103" s="53"/>
    </row>
    <row r="104" ht="15.75" customHeight="1">
      <c r="A104" s="47" t="s">
        <v>221</v>
      </c>
      <c r="B104" s="19"/>
      <c r="C104" s="19"/>
      <c r="D104" s="19"/>
      <c r="E104" s="19"/>
      <c r="F104" s="19"/>
      <c r="G104" s="19"/>
      <c r="H104" s="20"/>
    </row>
    <row r="105" ht="15.75" customHeight="1">
      <c r="A105" s="65"/>
      <c r="B105" s="49"/>
      <c r="C105" s="49"/>
      <c r="D105" s="49"/>
      <c r="E105" s="49"/>
      <c r="F105" s="49"/>
      <c r="G105" s="49"/>
      <c r="H105" s="50"/>
    </row>
    <row r="106" ht="15.75" customHeight="1">
      <c r="A106" s="61"/>
      <c r="H106" s="62"/>
    </row>
    <row r="107" ht="15.75" customHeight="1">
      <c r="A107" s="61"/>
      <c r="H107" s="62"/>
    </row>
    <row r="108" ht="15.75" customHeight="1">
      <c r="A108" s="51"/>
      <c r="B108" s="52"/>
      <c r="C108" s="52"/>
      <c r="D108" s="52"/>
      <c r="E108" s="52"/>
      <c r="F108" s="52"/>
      <c r="G108" s="52"/>
      <c r="H108" s="53"/>
    </row>
    <row r="109" ht="15.75" customHeight="1"/>
    <row r="110" ht="15.75" customHeight="1"/>
    <row r="111" ht="15.75" customHeight="1">
      <c r="A111" s="45" t="s">
        <v>238</v>
      </c>
      <c r="E111" s="37" t="s">
        <v>122</v>
      </c>
      <c r="F111" s="66"/>
      <c r="G111" s="37" t="s">
        <v>216</v>
      </c>
      <c r="H111" s="66"/>
    </row>
    <row r="112" ht="15.75" customHeight="1">
      <c r="A112" s="40" t="s">
        <v>228</v>
      </c>
    </row>
    <row r="113" ht="15.75" customHeight="1">
      <c r="A113" s="56" t="s">
        <v>134</v>
      </c>
      <c r="B113" s="18"/>
      <c r="C113" s="19"/>
      <c r="D113" s="19"/>
      <c r="E113" s="19"/>
      <c r="F113" s="19"/>
      <c r="G113" s="19"/>
      <c r="H113" s="20"/>
    </row>
    <row r="114" ht="15.75" customHeight="1">
      <c r="A114" s="56" t="s">
        <v>134</v>
      </c>
      <c r="B114" s="18"/>
      <c r="C114" s="19"/>
      <c r="D114" s="19"/>
      <c r="E114" s="19"/>
      <c r="F114" s="19"/>
      <c r="G114" s="19"/>
      <c r="H114" s="20"/>
    </row>
    <row r="115" ht="15.75" customHeight="1">
      <c r="A115" s="56" t="s">
        <v>134</v>
      </c>
      <c r="B115" s="18"/>
      <c r="C115" s="19"/>
      <c r="D115" s="19"/>
      <c r="E115" s="19"/>
      <c r="F115" s="19"/>
      <c r="G115" s="19"/>
      <c r="H115" s="20"/>
    </row>
    <row r="116" ht="15.75" customHeight="1">
      <c r="A116" s="56" t="s">
        <v>217</v>
      </c>
      <c r="B116" s="18"/>
      <c r="C116" s="19"/>
      <c r="D116" s="19"/>
      <c r="E116" s="19"/>
      <c r="F116" s="19"/>
      <c r="G116" s="19"/>
      <c r="H116" s="20"/>
    </row>
    <row r="117" ht="15.75" customHeight="1">
      <c r="A117" s="47" t="s">
        <v>219</v>
      </c>
      <c r="B117" s="19"/>
      <c r="C117" s="19"/>
      <c r="D117" s="19"/>
      <c r="E117" s="19"/>
      <c r="F117" s="19"/>
      <c r="G117" s="19"/>
      <c r="H117" s="20"/>
    </row>
    <row r="118" ht="15.75" customHeight="1">
      <c r="A118" s="65"/>
      <c r="B118" s="49"/>
      <c r="C118" s="49"/>
      <c r="D118" s="49"/>
      <c r="E118" s="49"/>
      <c r="F118" s="49"/>
      <c r="G118" s="49"/>
      <c r="H118" s="50"/>
    </row>
    <row r="119" ht="15.75" customHeight="1">
      <c r="A119" s="61"/>
      <c r="H119" s="62"/>
    </row>
    <row r="120" ht="15.75" customHeight="1">
      <c r="A120" s="51"/>
      <c r="B120" s="52"/>
      <c r="C120" s="52"/>
      <c r="D120" s="52"/>
      <c r="E120" s="52"/>
      <c r="F120" s="52"/>
      <c r="G120" s="52"/>
      <c r="H120" s="53"/>
    </row>
    <row r="121" ht="15.75" customHeight="1">
      <c r="A121" s="47" t="s">
        <v>221</v>
      </c>
      <c r="B121" s="19"/>
      <c r="C121" s="19"/>
      <c r="D121" s="19"/>
      <c r="E121" s="19"/>
      <c r="F121" s="19"/>
      <c r="G121" s="19"/>
      <c r="H121" s="20"/>
    </row>
    <row r="122" ht="15.75" customHeight="1">
      <c r="A122" s="65"/>
      <c r="B122" s="49"/>
      <c r="C122" s="49"/>
      <c r="D122" s="49"/>
      <c r="E122" s="49"/>
      <c r="F122" s="49"/>
      <c r="G122" s="49"/>
      <c r="H122" s="50"/>
    </row>
    <row r="123" ht="15.75" customHeight="1">
      <c r="A123" s="61"/>
      <c r="H123" s="62"/>
    </row>
    <row r="124" ht="15.75" customHeight="1">
      <c r="A124" s="61"/>
      <c r="H124" s="62"/>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239</v>
      </c>
    </row>
    <row r="3" ht="15.75" customHeight="1"/>
    <row r="4" ht="15.75" customHeight="1">
      <c r="B4" s="17" t="s">
        <v>1</v>
      </c>
      <c r="C4" s="18" t="str">
        <f>'Diseño'!C4</f>
        <v>778 - Arquitectura de Computadoras y Ensambladores 1</v>
      </c>
      <c r="D4" s="19"/>
      <c r="E4" s="19"/>
      <c r="F4" s="19"/>
      <c r="G4" s="20"/>
    </row>
    <row r="5" ht="15.75" customHeight="1">
      <c r="B5" s="44" t="s">
        <v>82</v>
      </c>
      <c r="C5" s="18">
        <f>H9+H26+H43+H60+H77+H94+H111</f>
        <v>18</v>
      </c>
      <c r="D5" s="19"/>
      <c r="E5" s="19"/>
      <c r="F5" s="19"/>
      <c r="G5" s="20"/>
    </row>
    <row r="6" ht="15.75" customHeight="1">
      <c r="B6" s="44" t="s">
        <v>122</v>
      </c>
      <c r="C6" s="18">
        <f>F9+F26+F43+F60+F77+F94+F111</f>
        <v>10</v>
      </c>
      <c r="D6" s="19"/>
      <c r="E6" s="19"/>
      <c r="F6" s="19"/>
      <c r="G6" s="20"/>
    </row>
    <row r="7" ht="15.75" customHeight="1">
      <c r="B7" s="6" t="s">
        <v>240</v>
      </c>
    </row>
    <row r="8" ht="15.75" customHeight="1"/>
    <row r="9" ht="15.75" customHeight="1">
      <c r="A9" s="45" t="s">
        <v>241</v>
      </c>
      <c r="E9" s="37" t="s">
        <v>122</v>
      </c>
      <c r="F9" s="46">
        <v>2.5</v>
      </c>
      <c r="G9" s="37" t="s">
        <v>216</v>
      </c>
      <c r="H9" s="46">
        <v>5.0</v>
      </c>
    </row>
    <row r="10" ht="15.75" customHeight="1">
      <c r="A10" s="6" t="s">
        <v>232</v>
      </c>
    </row>
    <row r="11" ht="15.75" customHeight="1">
      <c r="A11" s="56" t="s">
        <v>134</v>
      </c>
      <c r="B11" s="36" t="s">
        <v>169</v>
      </c>
      <c r="C11" s="19"/>
      <c r="D11" s="19"/>
      <c r="E11" s="19"/>
      <c r="F11" s="19"/>
      <c r="G11" s="19"/>
      <c r="H11" s="20"/>
    </row>
    <row r="12" ht="15.75" customHeight="1">
      <c r="A12" s="56" t="s">
        <v>134</v>
      </c>
      <c r="B12" s="36" t="s">
        <v>179</v>
      </c>
      <c r="C12" s="19"/>
      <c r="D12" s="19"/>
      <c r="E12" s="19"/>
      <c r="F12" s="19"/>
      <c r="G12" s="19"/>
      <c r="H12" s="20"/>
    </row>
    <row r="13" ht="15.75" customHeight="1">
      <c r="A13" s="56" t="s">
        <v>134</v>
      </c>
      <c r="B13" s="18"/>
      <c r="C13" s="19"/>
      <c r="D13" s="19"/>
      <c r="E13" s="19"/>
      <c r="F13" s="19"/>
      <c r="G13" s="19"/>
      <c r="H13" s="20"/>
    </row>
    <row r="14" ht="15.75" customHeight="1">
      <c r="A14" s="56" t="s">
        <v>217</v>
      </c>
      <c r="B14" s="36" t="s">
        <v>242</v>
      </c>
      <c r="C14" s="19"/>
      <c r="D14" s="19"/>
      <c r="E14" s="19"/>
      <c r="F14" s="19"/>
      <c r="G14" s="19"/>
      <c r="H14" s="20"/>
    </row>
    <row r="15" ht="15.75" customHeight="1">
      <c r="A15" s="47" t="s">
        <v>219</v>
      </c>
      <c r="B15" s="19"/>
      <c r="C15" s="19"/>
      <c r="D15" s="19"/>
      <c r="E15" s="19"/>
      <c r="F15" s="19"/>
      <c r="G15" s="19"/>
      <c r="H15" s="20"/>
    </row>
    <row r="16" ht="15.75" customHeight="1">
      <c r="A16" s="48" t="s">
        <v>243</v>
      </c>
      <c r="B16" s="49"/>
      <c r="C16" s="49"/>
      <c r="D16" s="49"/>
      <c r="E16" s="49"/>
      <c r="F16" s="49"/>
      <c r="G16" s="49"/>
      <c r="H16" s="50"/>
    </row>
    <row r="17" ht="15.75" customHeight="1">
      <c r="A17" s="61"/>
      <c r="H17" s="62"/>
    </row>
    <row r="18" ht="15.75" customHeight="1">
      <c r="A18" s="51"/>
      <c r="B18" s="52"/>
      <c r="C18" s="52"/>
      <c r="D18" s="52"/>
      <c r="E18" s="52"/>
      <c r="F18" s="52"/>
      <c r="G18" s="52"/>
      <c r="H18" s="53"/>
    </row>
    <row r="19" ht="15.75" customHeight="1">
      <c r="A19" s="47" t="s">
        <v>221</v>
      </c>
      <c r="B19" s="19"/>
      <c r="C19" s="19"/>
      <c r="D19" s="19"/>
      <c r="E19" s="19"/>
      <c r="F19" s="19"/>
      <c r="G19" s="19"/>
      <c r="H19" s="20"/>
    </row>
    <row r="20" ht="15.75" customHeight="1">
      <c r="A20" s="48" t="s">
        <v>244</v>
      </c>
      <c r="B20" s="49"/>
      <c r="C20" s="49"/>
      <c r="D20" s="49"/>
      <c r="E20" s="49"/>
      <c r="F20" s="49"/>
      <c r="G20" s="49"/>
      <c r="H20" s="50"/>
    </row>
    <row r="21" ht="15.75" customHeight="1">
      <c r="A21" s="61"/>
      <c r="H21" s="62"/>
    </row>
    <row r="22" ht="15.75" customHeight="1">
      <c r="A22" s="61"/>
      <c r="H22" s="62"/>
    </row>
    <row r="23" ht="15.75" customHeight="1">
      <c r="A23" s="51"/>
      <c r="B23" s="52"/>
      <c r="C23" s="52"/>
      <c r="D23" s="52"/>
      <c r="E23" s="52"/>
      <c r="F23" s="52"/>
      <c r="G23" s="52"/>
      <c r="H23" s="53"/>
    </row>
    <row r="24" ht="15.75" customHeight="1"/>
    <row r="25" ht="15.75" customHeight="1"/>
    <row r="26" ht="15.75" customHeight="1">
      <c r="A26" s="45" t="s">
        <v>245</v>
      </c>
      <c r="E26" s="37" t="s">
        <v>122</v>
      </c>
      <c r="F26" s="46">
        <v>2.5</v>
      </c>
      <c r="G26" s="37" t="s">
        <v>216</v>
      </c>
      <c r="H26" s="46">
        <v>5.0</v>
      </c>
    </row>
    <row r="27" ht="15.75" customHeight="1">
      <c r="A27" s="6" t="s">
        <v>232</v>
      </c>
    </row>
    <row r="28" ht="15.75" customHeight="1">
      <c r="A28" s="56" t="s">
        <v>134</v>
      </c>
      <c r="B28" s="36" t="s">
        <v>179</v>
      </c>
      <c r="C28" s="19"/>
      <c r="D28" s="19"/>
      <c r="E28" s="19"/>
      <c r="F28" s="19"/>
      <c r="G28" s="19"/>
      <c r="H28" s="20"/>
    </row>
    <row r="29" ht="15.75" customHeight="1">
      <c r="A29" s="56" t="s">
        <v>134</v>
      </c>
      <c r="B29" s="36" t="s">
        <v>169</v>
      </c>
      <c r="C29" s="19"/>
      <c r="D29" s="19"/>
      <c r="E29" s="19"/>
      <c r="F29" s="19"/>
      <c r="G29" s="19"/>
      <c r="H29" s="20"/>
    </row>
    <row r="30" ht="15.75" customHeight="1">
      <c r="A30" s="56" t="s">
        <v>134</v>
      </c>
      <c r="B30" s="18"/>
      <c r="C30" s="19"/>
      <c r="D30" s="19"/>
      <c r="E30" s="19"/>
      <c r="F30" s="19"/>
      <c r="G30" s="19"/>
      <c r="H30" s="20"/>
    </row>
    <row r="31" ht="15.75" customHeight="1">
      <c r="A31" s="56" t="s">
        <v>217</v>
      </c>
      <c r="B31" s="36" t="s">
        <v>246</v>
      </c>
      <c r="C31" s="19"/>
      <c r="D31" s="19"/>
      <c r="E31" s="19"/>
      <c r="F31" s="19"/>
      <c r="G31" s="19"/>
      <c r="H31" s="20"/>
    </row>
    <row r="32" ht="15.75" customHeight="1">
      <c r="A32" s="47" t="s">
        <v>219</v>
      </c>
      <c r="B32" s="19"/>
      <c r="C32" s="19"/>
      <c r="D32" s="19"/>
      <c r="E32" s="19"/>
      <c r="F32" s="19"/>
      <c r="G32" s="19"/>
      <c r="H32" s="20"/>
    </row>
    <row r="33" ht="15.75" customHeight="1">
      <c r="A33" s="54" t="s">
        <v>247</v>
      </c>
      <c r="B33" s="49"/>
      <c r="C33" s="49"/>
      <c r="D33" s="49"/>
      <c r="E33" s="49"/>
      <c r="F33" s="49"/>
      <c r="G33" s="49"/>
      <c r="H33" s="50"/>
    </row>
    <row r="34" ht="15.75" customHeight="1">
      <c r="A34" s="61"/>
      <c r="H34" s="62"/>
    </row>
    <row r="35" ht="15.75" customHeight="1">
      <c r="A35" s="51"/>
      <c r="B35" s="52"/>
      <c r="C35" s="52"/>
      <c r="D35" s="52"/>
      <c r="E35" s="52"/>
      <c r="F35" s="52"/>
      <c r="G35" s="52"/>
      <c r="H35" s="53"/>
    </row>
    <row r="36" ht="15.75" customHeight="1">
      <c r="A36" s="47" t="s">
        <v>221</v>
      </c>
      <c r="B36" s="19"/>
      <c r="C36" s="19"/>
      <c r="D36" s="19"/>
      <c r="E36" s="19"/>
      <c r="F36" s="19"/>
      <c r="G36" s="19"/>
      <c r="H36" s="20"/>
    </row>
    <row r="37" ht="15.75" customHeight="1">
      <c r="A37" s="48" t="s">
        <v>248</v>
      </c>
      <c r="B37" s="49"/>
      <c r="C37" s="49"/>
      <c r="D37" s="49"/>
      <c r="E37" s="49"/>
      <c r="F37" s="49"/>
      <c r="G37" s="49"/>
      <c r="H37" s="50"/>
    </row>
    <row r="38" ht="15.75" customHeight="1">
      <c r="A38" s="61"/>
      <c r="H38" s="62"/>
    </row>
    <row r="39" ht="15.75" customHeight="1">
      <c r="A39" s="61"/>
      <c r="H39" s="62"/>
    </row>
    <row r="40" ht="15.75" customHeight="1">
      <c r="A40" s="51"/>
      <c r="B40" s="52"/>
      <c r="C40" s="52"/>
      <c r="D40" s="52"/>
      <c r="E40" s="52"/>
      <c r="F40" s="52"/>
      <c r="G40" s="52"/>
      <c r="H40" s="53"/>
    </row>
    <row r="41" ht="15.75" customHeight="1"/>
    <row r="42" ht="15.75" customHeight="1"/>
    <row r="43" ht="15.75" customHeight="1">
      <c r="A43" s="45" t="s">
        <v>249</v>
      </c>
      <c r="E43" s="37" t="s">
        <v>122</v>
      </c>
      <c r="F43" s="46">
        <v>2.5</v>
      </c>
      <c r="G43" s="37" t="s">
        <v>216</v>
      </c>
      <c r="H43" s="46">
        <v>3.0</v>
      </c>
    </row>
    <row r="44" ht="15.75" customHeight="1">
      <c r="A44" s="40" t="s">
        <v>228</v>
      </c>
    </row>
    <row r="45" ht="15.75" customHeight="1">
      <c r="A45" s="56" t="s">
        <v>134</v>
      </c>
      <c r="B45" s="36" t="s">
        <v>196</v>
      </c>
      <c r="C45" s="19"/>
      <c r="D45" s="19"/>
      <c r="E45" s="19"/>
      <c r="F45" s="19"/>
      <c r="G45" s="19"/>
      <c r="H45" s="20"/>
    </row>
    <row r="46" ht="15.75" customHeight="1">
      <c r="A46" s="56" t="s">
        <v>134</v>
      </c>
      <c r="B46" s="36" t="s">
        <v>210</v>
      </c>
      <c r="C46" s="19"/>
      <c r="D46" s="19"/>
      <c r="E46" s="19"/>
      <c r="F46" s="19"/>
      <c r="G46" s="19"/>
      <c r="H46" s="20"/>
    </row>
    <row r="47" ht="15.75" customHeight="1">
      <c r="A47" s="56" t="s">
        <v>134</v>
      </c>
      <c r="B47" s="18"/>
      <c r="C47" s="19"/>
      <c r="D47" s="19"/>
      <c r="E47" s="19"/>
      <c r="F47" s="19"/>
      <c r="G47" s="19"/>
      <c r="H47" s="20"/>
    </row>
    <row r="48" ht="15.75" customHeight="1">
      <c r="A48" s="56" t="s">
        <v>217</v>
      </c>
      <c r="B48" s="36" t="s">
        <v>250</v>
      </c>
      <c r="C48" s="19"/>
      <c r="D48" s="19"/>
      <c r="E48" s="19"/>
      <c r="F48" s="19"/>
      <c r="G48" s="19"/>
      <c r="H48" s="20"/>
    </row>
    <row r="49" ht="15.75" customHeight="1">
      <c r="A49" s="47" t="s">
        <v>219</v>
      </c>
      <c r="B49" s="19"/>
      <c r="C49" s="19"/>
      <c r="D49" s="19"/>
      <c r="E49" s="19"/>
      <c r="F49" s="19"/>
      <c r="G49" s="19"/>
      <c r="H49" s="20"/>
    </row>
    <row r="50" ht="15.75" customHeight="1">
      <c r="A50" s="73" t="s">
        <v>251</v>
      </c>
      <c r="B50" s="49"/>
      <c r="C50" s="49"/>
      <c r="D50" s="49"/>
      <c r="E50" s="49"/>
      <c r="F50" s="49"/>
      <c r="G50" s="49"/>
      <c r="H50" s="50"/>
    </row>
    <row r="51" ht="15.75" customHeight="1">
      <c r="A51" s="61"/>
      <c r="H51" s="62"/>
    </row>
    <row r="52" ht="15.75" customHeight="1">
      <c r="A52" s="51"/>
      <c r="B52" s="52"/>
      <c r="C52" s="52"/>
      <c r="D52" s="52"/>
      <c r="E52" s="52"/>
      <c r="F52" s="52"/>
      <c r="G52" s="52"/>
      <c r="H52" s="53"/>
    </row>
    <row r="53" ht="15.75" customHeight="1">
      <c r="A53" s="47" t="s">
        <v>221</v>
      </c>
      <c r="B53" s="19"/>
      <c r="C53" s="19"/>
      <c r="D53" s="19"/>
      <c r="E53" s="19"/>
      <c r="F53" s="19"/>
      <c r="G53" s="19"/>
      <c r="H53" s="20"/>
    </row>
    <row r="54" ht="15.75" customHeight="1">
      <c r="A54" s="54" t="s">
        <v>252</v>
      </c>
      <c r="B54" s="49"/>
      <c r="C54" s="49"/>
      <c r="D54" s="49"/>
      <c r="E54" s="49"/>
      <c r="F54" s="49"/>
      <c r="G54" s="49"/>
      <c r="H54" s="50"/>
    </row>
    <row r="55" ht="15.75" customHeight="1">
      <c r="A55" s="61"/>
      <c r="H55" s="62"/>
    </row>
    <row r="56" ht="15.75" customHeight="1">
      <c r="A56" s="61"/>
      <c r="H56" s="62"/>
    </row>
    <row r="57" ht="15.75" customHeight="1">
      <c r="A57" s="51"/>
      <c r="B57" s="52"/>
      <c r="C57" s="52"/>
      <c r="D57" s="52"/>
      <c r="E57" s="52"/>
      <c r="F57" s="52"/>
      <c r="G57" s="52"/>
      <c r="H57" s="53"/>
    </row>
    <row r="58" ht="15.75" customHeight="1"/>
    <row r="59" ht="15.75" customHeight="1"/>
    <row r="60" ht="15.75" customHeight="1">
      <c r="A60" s="45" t="s">
        <v>253</v>
      </c>
      <c r="E60" s="37" t="s">
        <v>122</v>
      </c>
      <c r="F60" s="46">
        <v>2.5</v>
      </c>
      <c r="G60" s="37" t="s">
        <v>216</v>
      </c>
      <c r="H60" s="46">
        <v>5.0</v>
      </c>
    </row>
    <row r="61" ht="15.75" customHeight="1">
      <c r="A61" s="40" t="s">
        <v>228</v>
      </c>
    </row>
    <row r="62" ht="15.75" customHeight="1">
      <c r="A62" s="56" t="s">
        <v>134</v>
      </c>
      <c r="B62" s="36" t="s">
        <v>210</v>
      </c>
      <c r="C62" s="19"/>
      <c r="D62" s="19"/>
      <c r="E62" s="19"/>
      <c r="F62" s="19"/>
      <c r="G62" s="19"/>
      <c r="H62" s="20"/>
    </row>
    <row r="63" ht="15.75" customHeight="1">
      <c r="A63" s="56" t="s">
        <v>134</v>
      </c>
      <c r="B63" s="36" t="s">
        <v>196</v>
      </c>
      <c r="C63" s="19"/>
      <c r="D63" s="19"/>
      <c r="E63" s="19"/>
      <c r="F63" s="19"/>
      <c r="G63" s="19"/>
      <c r="H63" s="20"/>
    </row>
    <row r="64" ht="15.75" customHeight="1">
      <c r="A64" s="56" t="s">
        <v>134</v>
      </c>
      <c r="B64" s="36" t="s">
        <v>205</v>
      </c>
      <c r="C64" s="19"/>
      <c r="D64" s="19"/>
      <c r="E64" s="19"/>
      <c r="F64" s="19"/>
      <c r="G64" s="19"/>
      <c r="H64" s="20"/>
    </row>
    <row r="65" ht="15.75" customHeight="1">
      <c r="A65" s="56" t="s">
        <v>217</v>
      </c>
      <c r="B65" s="36" t="s">
        <v>254</v>
      </c>
      <c r="C65" s="19"/>
      <c r="D65" s="19"/>
      <c r="E65" s="19"/>
      <c r="F65" s="19"/>
      <c r="G65" s="19"/>
      <c r="H65" s="20"/>
    </row>
    <row r="66" ht="15.75" customHeight="1">
      <c r="A66" s="47" t="s">
        <v>219</v>
      </c>
      <c r="B66" s="19"/>
      <c r="C66" s="19"/>
      <c r="D66" s="19"/>
      <c r="E66" s="19"/>
      <c r="F66" s="19"/>
      <c r="G66" s="19"/>
      <c r="H66" s="20"/>
    </row>
    <row r="67" ht="15.75" customHeight="1">
      <c r="A67" s="73" t="s">
        <v>255</v>
      </c>
      <c r="B67" s="49"/>
      <c r="C67" s="49"/>
      <c r="D67" s="49"/>
      <c r="E67" s="49"/>
      <c r="F67" s="49"/>
      <c r="G67" s="49"/>
      <c r="H67" s="50"/>
    </row>
    <row r="68" ht="15.75" customHeight="1">
      <c r="A68" s="61"/>
      <c r="H68" s="62"/>
    </row>
    <row r="69" ht="15.75" customHeight="1">
      <c r="A69" s="51"/>
      <c r="B69" s="52"/>
      <c r="C69" s="52"/>
      <c r="D69" s="52"/>
      <c r="E69" s="52"/>
      <c r="F69" s="52"/>
      <c r="G69" s="52"/>
      <c r="H69" s="53"/>
    </row>
    <row r="70" ht="15.75" customHeight="1">
      <c r="A70" s="47" t="s">
        <v>221</v>
      </c>
      <c r="B70" s="19"/>
      <c r="C70" s="19"/>
      <c r="D70" s="19"/>
      <c r="E70" s="19"/>
      <c r="F70" s="19"/>
      <c r="G70" s="19"/>
      <c r="H70" s="20"/>
    </row>
    <row r="71" ht="15.75" customHeight="1">
      <c r="A71" s="54" t="s">
        <v>256</v>
      </c>
      <c r="B71" s="49"/>
      <c r="C71" s="49"/>
      <c r="D71" s="49"/>
      <c r="E71" s="49"/>
      <c r="F71" s="49"/>
      <c r="G71" s="49"/>
      <c r="H71" s="50"/>
    </row>
    <row r="72" ht="15.75" customHeight="1">
      <c r="A72" s="61"/>
      <c r="H72" s="62"/>
    </row>
    <row r="73" ht="15.75" customHeight="1">
      <c r="A73" s="61"/>
      <c r="H73" s="62"/>
    </row>
    <row r="74" ht="15.75" customHeight="1">
      <c r="A74" s="51"/>
      <c r="B74" s="52"/>
      <c r="C74" s="52"/>
      <c r="D74" s="52"/>
      <c r="E74" s="52"/>
      <c r="F74" s="52"/>
      <c r="G74" s="52"/>
      <c r="H74" s="53"/>
    </row>
    <row r="75" ht="15.75" customHeight="1"/>
    <row r="76" ht="15.75" customHeight="1"/>
    <row r="77" ht="15.75" customHeight="1">
      <c r="A77" s="45" t="s">
        <v>257</v>
      </c>
      <c r="E77" s="37" t="s">
        <v>122</v>
      </c>
      <c r="F77" s="66"/>
      <c r="G77" s="37" t="s">
        <v>216</v>
      </c>
      <c r="H77" s="66"/>
    </row>
    <row r="78" ht="15.75" customHeight="1">
      <c r="A78" s="40" t="s">
        <v>228</v>
      </c>
    </row>
    <row r="79" ht="15.75" customHeight="1">
      <c r="A79" s="56" t="s">
        <v>134</v>
      </c>
      <c r="B79" s="18"/>
      <c r="C79" s="19"/>
      <c r="D79" s="19"/>
      <c r="E79" s="19"/>
      <c r="F79" s="19"/>
      <c r="G79" s="19"/>
      <c r="H79" s="20"/>
    </row>
    <row r="80" ht="15.75" customHeight="1">
      <c r="A80" s="56" t="s">
        <v>134</v>
      </c>
      <c r="B80" s="18"/>
      <c r="C80" s="19"/>
      <c r="D80" s="19"/>
      <c r="E80" s="19"/>
      <c r="F80" s="19"/>
      <c r="G80" s="19"/>
      <c r="H80" s="20"/>
    </row>
    <row r="81" ht="15.75" customHeight="1">
      <c r="A81" s="56" t="s">
        <v>134</v>
      </c>
      <c r="B81" s="18"/>
      <c r="C81" s="19"/>
      <c r="D81" s="19"/>
      <c r="E81" s="19"/>
      <c r="F81" s="19"/>
      <c r="G81" s="19"/>
      <c r="H81" s="20"/>
    </row>
    <row r="82" ht="15.75" customHeight="1">
      <c r="A82" s="56" t="s">
        <v>217</v>
      </c>
      <c r="B82" s="18"/>
      <c r="C82" s="19"/>
      <c r="D82" s="19"/>
      <c r="E82" s="19"/>
      <c r="F82" s="19"/>
      <c r="G82" s="19"/>
      <c r="H82" s="20"/>
    </row>
    <row r="83" ht="15.75" customHeight="1">
      <c r="A83" s="47" t="s">
        <v>219</v>
      </c>
      <c r="B83" s="19"/>
      <c r="C83" s="19"/>
      <c r="D83" s="19"/>
      <c r="E83" s="19"/>
      <c r="F83" s="19"/>
      <c r="G83" s="19"/>
      <c r="H83" s="20"/>
    </row>
    <row r="84" ht="15.75" customHeight="1">
      <c r="A84" s="65"/>
      <c r="B84" s="49"/>
      <c r="C84" s="49"/>
      <c r="D84" s="49"/>
      <c r="E84" s="49"/>
      <c r="F84" s="49"/>
      <c r="G84" s="49"/>
      <c r="H84" s="50"/>
    </row>
    <row r="85" ht="15.75" customHeight="1">
      <c r="A85" s="61"/>
      <c r="H85" s="62"/>
    </row>
    <row r="86" ht="15.75" customHeight="1">
      <c r="A86" s="51"/>
      <c r="B86" s="52"/>
      <c r="C86" s="52"/>
      <c r="D86" s="52"/>
      <c r="E86" s="52"/>
      <c r="F86" s="52"/>
      <c r="G86" s="52"/>
      <c r="H86" s="53"/>
    </row>
    <row r="87" ht="15.75" customHeight="1">
      <c r="A87" s="47" t="s">
        <v>221</v>
      </c>
      <c r="B87" s="19"/>
      <c r="C87" s="19"/>
      <c r="D87" s="19"/>
      <c r="E87" s="19"/>
      <c r="F87" s="19"/>
      <c r="G87" s="19"/>
      <c r="H87" s="20"/>
    </row>
    <row r="88" ht="15.75" customHeight="1">
      <c r="A88" s="65"/>
      <c r="B88" s="49"/>
      <c r="C88" s="49"/>
      <c r="D88" s="49"/>
      <c r="E88" s="49"/>
      <c r="F88" s="49"/>
      <c r="G88" s="49"/>
      <c r="H88" s="50"/>
    </row>
    <row r="89" ht="15.75" customHeight="1">
      <c r="A89" s="61"/>
      <c r="H89" s="62"/>
    </row>
    <row r="90" ht="15.75" customHeight="1">
      <c r="A90" s="61"/>
      <c r="H90" s="62"/>
    </row>
    <row r="91" ht="15.75" customHeight="1">
      <c r="A91" s="51"/>
      <c r="B91" s="52"/>
      <c r="C91" s="52"/>
      <c r="D91" s="52"/>
      <c r="E91" s="52"/>
      <c r="F91" s="52"/>
      <c r="G91" s="52"/>
      <c r="H91" s="53"/>
    </row>
    <row r="92" ht="15.75" customHeight="1"/>
    <row r="93" ht="15.75" customHeight="1"/>
    <row r="94" ht="15.75" customHeight="1">
      <c r="A94" s="45" t="s">
        <v>258</v>
      </c>
      <c r="E94" s="37" t="s">
        <v>122</v>
      </c>
      <c r="F94" s="66"/>
      <c r="G94" s="37" t="s">
        <v>216</v>
      </c>
      <c r="H94" s="66"/>
    </row>
    <row r="95" ht="15.75" customHeight="1">
      <c r="A95" s="40" t="s">
        <v>228</v>
      </c>
    </row>
    <row r="96" ht="15.75" customHeight="1">
      <c r="A96" s="56" t="s">
        <v>134</v>
      </c>
      <c r="B96" s="18"/>
      <c r="C96" s="19"/>
      <c r="D96" s="19"/>
      <c r="E96" s="19"/>
      <c r="F96" s="19"/>
      <c r="G96" s="19"/>
      <c r="H96" s="20"/>
    </row>
    <row r="97" ht="15.75" customHeight="1">
      <c r="A97" s="56" t="s">
        <v>134</v>
      </c>
      <c r="B97" s="18"/>
      <c r="C97" s="19"/>
      <c r="D97" s="19"/>
      <c r="E97" s="19"/>
      <c r="F97" s="19"/>
      <c r="G97" s="19"/>
      <c r="H97" s="20"/>
    </row>
    <row r="98" ht="15.75" customHeight="1">
      <c r="A98" s="56" t="s">
        <v>134</v>
      </c>
      <c r="B98" s="18"/>
      <c r="C98" s="19"/>
      <c r="D98" s="19"/>
      <c r="E98" s="19"/>
      <c r="F98" s="19"/>
      <c r="G98" s="19"/>
      <c r="H98" s="20"/>
    </row>
    <row r="99" ht="15.75" customHeight="1">
      <c r="A99" s="56" t="s">
        <v>217</v>
      </c>
      <c r="B99" s="18"/>
      <c r="C99" s="19"/>
      <c r="D99" s="19"/>
      <c r="E99" s="19"/>
      <c r="F99" s="19"/>
      <c r="G99" s="19"/>
      <c r="H99" s="20"/>
    </row>
    <row r="100" ht="15.75" customHeight="1">
      <c r="A100" s="47" t="s">
        <v>219</v>
      </c>
      <c r="B100" s="19"/>
      <c r="C100" s="19"/>
      <c r="D100" s="19"/>
      <c r="E100" s="19"/>
      <c r="F100" s="19"/>
      <c r="G100" s="19"/>
      <c r="H100" s="20"/>
    </row>
    <row r="101" ht="15.75" customHeight="1">
      <c r="A101" s="65"/>
      <c r="B101" s="49"/>
      <c r="C101" s="49"/>
      <c r="D101" s="49"/>
      <c r="E101" s="49"/>
      <c r="F101" s="49"/>
      <c r="G101" s="49"/>
      <c r="H101" s="50"/>
    </row>
    <row r="102" ht="15.75" customHeight="1">
      <c r="A102" s="61"/>
      <c r="H102" s="62"/>
    </row>
    <row r="103" ht="15.75" customHeight="1">
      <c r="A103" s="51"/>
      <c r="B103" s="52"/>
      <c r="C103" s="52"/>
      <c r="D103" s="52"/>
      <c r="E103" s="52"/>
      <c r="F103" s="52"/>
      <c r="G103" s="52"/>
      <c r="H103" s="53"/>
    </row>
    <row r="104" ht="15.75" customHeight="1">
      <c r="A104" s="47" t="s">
        <v>221</v>
      </c>
      <c r="B104" s="19"/>
      <c r="C104" s="19"/>
      <c r="D104" s="19"/>
      <c r="E104" s="19"/>
      <c r="F104" s="19"/>
      <c r="G104" s="19"/>
      <c r="H104" s="20"/>
    </row>
    <row r="105" ht="15.75" customHeight="1">
      <c r="A105" s="65"/>
      <c r="B105" s="49"/>
      <c r="C105" s="49"/>
      <c r="D105" s="49"/>
      <c r="E105" s="49"/>
      <c r="F105" s="49"/>
      <c r="G105" s="49"/>
      <c r="H105" s="50"/>
    </row>
    <row r="106" ht="15.75" customHeight="1">
      <c r="A106" s="61"/>
      <c r="H106" s="62"/>
    </row>
    <row r="107" ht="15.75" customHeight="1">
      <c r="A107" s="61"/>
      <c r="H107" s="62"/>
    </row>
    <row r="108" ht="15.75" customHeight="1">
      <c r="A108" s="51"/>
      <c r="B108" s="52"/>
      <c r="C108" s="52"/>
      <c r="D108" s="52"/>
      <c r="E108" s="52"/>
      <c r="F108" s="52"/>
      <c r="G108" s="52"/>
      <c r="H108" s="53"/>
    </row>
    <row r="109" ht="15.75" customHeight="1"/>
    <row r="110" ht="15.75" customHeight="1"/>
    <row r="111" ht="15.75" customHeight="1">
      <c r="A111" s="45" t="s">
        <v>259</v>
      </c>
      <c r="E111" s="37" t="s">
        <v>122</v>
      </c>
      <c r="F111" s="66"/>
      <c r="G111" s="37" t="s">
        <v>216</v>
      </c>
      <c r="H111" s="66"/>
    </row>
    <row r="112" ht="15.75" customHeight="1">
      <c r="A112" s="40" t="s">
        <v>228</v>
      </c>
    </row>
    <row r="113" ht="15.75" customHeight="1">
      <c r="A113" s="56" t="s">
        <v>134</v>
      </c>
      <c r="B113" s="18"/>
      <c r="C113" s="19"/>
      <c r="D113" s="19"/>
      <c r="E113" s="19"/>
      <c r="F113" s="19"/>
      <c r="G113" s="19"/>
      <c r="H113" s="20"/>
    </row>
    <row r="114" ht="15.75" customHeight="1">
      <c r="A114" s="56" t="s">
        <v>134</v>
      </c>
      <c r="B114" s="18"/>
      <c r="C114" s="19"/>
      <c r="D114" s="19"/>
      <c r="E114" s="19"/>
      <c r="F114" s="19"/>
      <c r="G114" s="19"/>
      <c r="H114" s="20"/>
    </row>
    <row r="115" ht="15.75" customHeight="1">
      <c r="A115" s="56" t="s">
        <v>134</v>
      </c>
      <c r="B115" s="18"/>
      <c r="C115" s="19"/>
      <c r="D115" s="19"/>
      <c r="E115" s="19"/>
      <c r="F115" s="19"/>
      <c r="G115" s="19"/>
      <c r="H115" s="20"/>
    </row>
    <row r="116" ht="15.75" customHeight="1">
      <c r="A116" s="56" t="s">
        <v>217</v>
      </c>
      <c r="B116" s="18"/>
      <c r="C116" s="19"/>
      <c r="D116" s="19"/>
      <c r="E116" s="19"/>
      <c r="F116" s="19"/>
      <c r="G116" s="19"/>
      <c r="H116" s="20"/>
    </row>
    <row r="117" ht="15.75" customHeight="1">
      <c r="A117" s="47" t="s">
        <v>219</v>
      </c>
      <c r="B117" s="19"/>
      <c r="C117" s="19"/>
      <c r="D117" s="19"/>
      <c r="E117" s="19"/>
      <c r="F117" s="19"/>
      <c r="G117" s="19"/>
      <c r="H117" s="20"/>
    </row>
    <row r="118" ht="15.75" customHeight="1">
      <c r="A118" s="65"/>
      <c r="B118" s="49"/>
      <c r="C118" s="49"/>
      <c r="D118" s="49"/>
      <c r="E118" s="49"/>
      <c r="F118" s="49"/>
      <c r="G118" s="49"/>
      <c r="H118" s="50"/>
    </row>
    <row r="119" ht="15.75" customHeight="1">
      <c r="A119" s="61"/>
      <c r="H119" s="62"/>
    </row>
    <row r="120" ht="15.75" customHeight="1">
      <c r="A120" s="51"/>
      <c r="B120" s="52"/>
      <c r="C120" s="52"/>
      <c r="D120" s="52"/>
      <c r="E120" s="52"/>
      <c r="F120" s="52"/>
      <c r="G120" s="52"/>
      <c r="H120" s="53"/>
    </row>
    <row r="121" ht="15.75" customHeight="1">
      <c r="A121" s="47" t="s">
        <v>221</v>
      </c>
      <c r="B121" s="19"/>
      <c r="C121" s="19"/>
      <c r="D121" s="19"/>
      <c r="E121" s="19"/>
      <c r="F121" s="19"/>
      <c r="G121" s="19"/>
      <c r="H121" s="20"/>
    </row>
    <row r="122" ht="15.75" customHeight="1">
      <c r="A122" s="65"/>
      <c r="B122" s="49"/>
      <c r="C122" s="49"/>
      <c r="D122" s="49"/>
      <c r="E122" s="49"/>
      <c r="F122" s="49"/>
      <c r="G122" s="49"/>
      <c r="H122" s="50"/>
    </row>
    <row r="123" ht="15.75" customHeight="1">
      <c r="A123" s="61"/>
      <c r="H123" s="62"/>
    </row>
    <row r="124" ht="15.75" customHeight="1">
      <c r="A124" s="61"/>
      <c r="H124" s="62"/>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hyperlinks>
    <hyperlink r:id="rId1" ref="A50"/>
    <hyperlink r:id="rId2" ref="A67"/>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5"/>
    </row>
    <row r="2" ht="15.75" customHeight="1">
      <c r="A2" s="15"/>
      <c r="B2" s="43" t="s">
        <v>260</v>
      </c>
    </row>
    <row r="3" ht="15.75" customHeight="1">
      <c r="A3" s="15"/>
    </row>
    <row r="4" ht="15.75" customHeight="1">
      <c r="A4" s="15"/>
      <c r="B4" s="3" t="s">
        <v>1</v>
      </c>
      <c r="C4" s="3" t="str">
        <f>'Diseño'!C4</f>
        <v>778 - Arquitectura de Computadoras y Ensambladores 1</v>
      </c>
    </row>
    <row r="5" ht="15.75" customHeight="1">
      <c r="A5" s="15"/>
      <c r="B5" s="15" t="s">
        <v>3</v>
      </c>
      <c r="C5" s="5" t="s">
        <v>4</v>
      </c>
    </row>
    <row r="6" ht="15.75" customHeight="1">
      <c r="A6" s="15"/>
      <c r="B6" s="15" t="s">
        <v>261</v>
      </c>
      <c r="H6" s="75"/>
    </row>
    <row r="7" ht="15.75" customHeight="1">
      <c r="A7" s="15"/>
    </row>
    <row r="8" ht="15.75" customHeight="1">
      <c r="A8" s="15"/>
    </row>
    <row r="9" ht="15.75" customHeight="1">
      <c r="A9" s="37" t="s">
        <v>262</v>
      </c>
      <c r="B9" s="76"/>
      <c r="D9" s="37" t="s">
        <v>213</v>
      </c>
      <c r="E9" s="77"/>
      <c r="F9" s="78"/>
      <c r="G9" s="78"/>
      <c r="H9" s="78"/>
      <c r="I9" s="78"/>
      <c r="J9" s="78"/>
      <c r="K9" s="78"/>
      <c r="L9" s="78"/>
      <c r="M9" s="78"/>
      <c r="N9" s="78"/>
      <c r="O9" s="78"/>
      <c r="P9" s="78"/>
      <c r="Q9" s="78"/>
      <c r="R9" s="78"/>
      <c r="S9" s="78"/>
      <c r="T9" s="78"/>
      <c r="U9" s="78"/>
      <c r="V9" s="78"/>
      <c r="W9" s="78"/>
      <c r="X9" s="78"/>
      <c r="Y9" s="78"/>
      <c r="Z9" s="78"/>
    </row>
    <row r="10" ht="15.75" customHeight="1">
      <c r="A10" s="79" t="s">
        <v>263</v>
      </c>
      <c r="D10" s="79" t="s">
        <v>264</v>
      </c>
    </row>
    <row r="11" ht="15.75" customHeight="1">
      <c r="A11" s="80"/>
      <c r="B11" s="81"/>
      <c r="C11" s="81"/>
      <c r="D11" s="81"/>
    </row>
    <row r="12" ht="15.75" customHeight="1">
      <c r="A12" s="82" t="s">
        <v>155</v>
      </c>
      <c r="B12" s="83" t="s">
        <v>265</v>
      </c>
      <c r="C12" s="83" t="s">
        <v>266</v>
      </c>
      <c r="D12" s="83" t="s">
        <v>267</v>
      </c>
    </row>
    <row r="13">
      <c r="A13" s="44" t="s">
        <v>268</v>
      </c>
      <c r="B13" s="84">
        <v>20.0</v>
      </c>
      <c r="C13" s="84">
        <v>4.0</v>
      </c>
      <c r="D13" s="21"/>
      <c r="E13" s="79" t="s">
        <v>269</v>
      </c>
    </row>
    <row r="14" ht="15.75" customHeight="1">
      <c r="A14" s="44" t="s">
        <v>213</v>
      </c>
      <c r="B14" s="84">
        <v>60.0</v>
      </c>
      <c r="C14" s="84">
        <v>80.0</v>
      </c>
      <c r="D14" s="21"/>
    </row>
    <row r="15" ht="15.75" customHeight="1">
      <c r="A15" s="44" t="s">
        <v>229</v>
      </c>
      <c r="B15" s="21">
        <f>Practicas!C6</f>
        <v>0</v>
      </c>
      <c r="C15" s="21">
        <f>Practicas!C5</f>
        <v>0</v>
      </c>
      <c r="D15" s="21"/>
    </row>
    <row r="16" ht="15.75" customHeight="1">
      <c r="A16" s="85" t="s">
        <v>270</v>
      </c>
      <c r="B16" s="84">
        <v>10.0</v>
      </c>
      <c r="C16" s="84">
        <v>0.5</v>
      </c>
      <c r="D16" s="21"/>
    </row>
    <row r="17" ht="15.75" customHeight="1">
      <c r="A17" s="44" t="s">
        <v>239</v>
      </c>
      <c r="B17" s="84">
        <v>10.0</v>
      </c>
      <c r="C17" s="84">
        <v>18.0</v>
      </c>
      <c r="D17" s="21"/>
    </row>
    <row r="18" ht="15.75" customHeight="1">
      <c r="A18" s="86" t="s">
        <v>271</v>
      </c>
      <c r="B18" s="87">
        <f t="shared" ref="B18:C18" si="1">SUM(B13:B17)</f>
        <v>100</v>
      </c>
      <c r="C18" s="87">
        <f t="shared" si="1"/>
        <v>102.5</v>
      </c>
      <c r="D18" s="87"/>
    </row>
    <row r="19" ht="15.75" customHeight="1">
      <c r="A19" s="15"/>
    </row>
    <row r="20" ht="15.75" customHeight="1">
      <c r="A20" s="15"/>
    </row>
    <row r="21" ht="15.75" customHeight="1">
      <c r="A21" s="15"/>
    </row>
    <row r="22" ht="15.75" customHeight="1">
      <c r="A22" s="15"/>
    </row>
    <row r="23" ht="15.75" customHeight="1">
      <c r="A23" s="15"/>
    </row>
    <row r="24" ht="15.75" customHeight="1">
      <c r="A24" s="15"/>
    </row>
    <row r="25" ht="15.75" customHeight="1">
      <c r="A25" s="15"/>
    </row>
    <row r="26" ht="15.75" customHeight="1">
      <c r="A26" s="15"/>
    </row>
    <row r="27" ht="15.75" customHeight="1">
      <c r="A27" s="15"/>
    </row>
    <row r="28" ht="15.75" customHeight="1">
      <c r="A28" s="15"/>
    </row>
    <row r="29" ht="15.75" customHeight="1">
      <c r="A29" s="15"/>
    </row>
    <row r="30" ht="15.75" customHeight="1">
      <c r="A30" s="15"/>
    </row>
    <row r="31" ht="15.75" customHeight="1">
      <c r="A31" s="15"/>
    </row>
    <row r="32" ht="15.75" customHeight="1">
      <c r="A32" s="15"/>
    </row>
    <row r="33" ht="15.75" customHeight="1">
      <c r="A33" s="15"/>
    </row>
    <row r="34" ht="15.75" customHeight="1">
      <c r="A34" s="15"/>
    </row>
    <row r="35" ht="15.75" customHeight="1">
      <c r="A35" s="15"/>
    </row>
    <row r="36" ht="15.75" customHeight="1">
      <c r="A36" s="15"/>
    </row>
    <row r="37" ht="15.75" customHeight="1">
      <c r="A37" s="15"/>
    </row>
    <row r="38" ht="15.75" customHeight="1">
      <c r="A38" s="15"/>
    </row>
    <row r="39" ht="15.75" customHeight="1">
      <c r="A39" s="15"/>
    </row>
    <row r="40" ht="15.75" customHeight="1">
      <c r="A40" s="15"/>
    </row>
    <row r="41" ht="15.75" customHeight="1">
      <c r="A41" s="15"/>
    </row>
    <row r="42" ht="15.75" customHeight="1">
      <c r="A42" s="15"/>
    </row>
    <row r="43" ht="15.75" customHeight="1">
      <c r="A43" s="15"/>
    </row>
    <row r="44" ht="15.75" customHeight="1">
      <c r="A44" s="15"/>
    </row>
    <row r="45" ht="15.75" customHeight="1">
      <c r="A45" s="15"/>
    </row>
    <row r="46" ht="15.75" customHeight="1">
      <c r="A46" s="15"/>
    </row>
    <row r="47" ht="15.75" customHeight="1">
      <c r="A47" s="15"/>
    </row>
    <row r="48" ht="15.75" customHeight="1">
      <c r="A48" s="15"/>
    </row>
    <row r="49" ht="15.75" customHeight="1">
      <c r="A49" s="15"/>
    </row>
    <row r="50" ht="15.75" customHeight="1">
      <c r="A50" s="1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