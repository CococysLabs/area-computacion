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4"/>
    <sheet state="visible" name="Semana 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visible" name="Tareas" sheetId="16" r:id="rId19"/>
    <sheet state="visible" name="Resumen" sheetId="17" r:id="rId20"/>
    <sheet state="hidden" name="METADATA" sheetId="18" r:id="rId21"/>
  </sheets>
  <definedNames/>
  <calcPr/>
  <extLst>
    <ext uri="GoogleSheetsCustomDataVersion2">
      <go:sheetsCustomData xmlns:go="http://customooxmlschemas.google.com/" r:id="rId22" roundtripDataChecksum="65YAMK96c7WtgFE169IjrGF3mGJLzr1qzwJOk19h8v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<sst xmlns="http://schemas.openxmlformats.org/spreadsheetml/2006/main" count="1312" uniqueCount="266">
  <si>
    <t>Diseño de Contenido Curricular</t>
  </si>
  <si>
    <t>Curso</t>
  </si>
  <si>
    <t>781 - Organización de Lenguajes y Compiladores 2</t>
  </si>
  <si>
    <t>Periodo al que aplica</t>
  </si>
  <si>
    <t>Primer Semestre 2026</t>
  </si>
  <si>
    <t>No.</t>
  </si>
  <si>
    <t>Competencia</t>
  </si>
  <si>
    <t>Nombre de la Unidad</t>
  </si>
  <si>
    <t>Tema</t>
  </si>
  <si>
    <t>Subtema</t>
  </si>
  <si>
    <t>Mes</t>
  </si>
  <si>
    <t>Semana</t>
  </si>
  <si>
    <t xml:space="preserve">El estudiante comprende las fases de un compilador a través de diagramas de flujo y modelos teóricos con ejemplos de compilación real en lenguajes como C, Go o Java. </t>
  </si>
  <si>
    <t>Fases de la compilación</t>
  </si>
  <si>
    <t>Motivaciones para estudiar compiladores</t>
  </si>
  <si>
    <t>Enero</t>
  </si>
  <si>
    <t>Recomendaciones para el curso</t>
  </si>
  <si>
    <t xml:space="preserve">El estudiante evalúa el desempeño de cada fase del compilador a través de métricas de tiempo y uso de memoria para comparar implementaciones como GCC vs. Clang </t>
  </si>
  <si>
    <t>¿Qué es un compilador?</t>
  </si>
  <si>
    <t xml:space="preserve">El estudiante utiliza herramientas generadoras de lexers y parsers tales como Flex, Bison y ANTLR en proyectos de análisis léxico y sintáctico </t>
  </si>
  <si>
    <t>Análisis Léxico</t>
  </si>
  <si>
    <t xml:space="preserve">El estudiante explica la eliminación de recursión por la izquierda con ejemplos paso a paso para preparar gramáticas para análisis sintáctico </t>
  </si>
  <si>
    <t>Análisis Sintáctico</t>
  </si>
  <si>
    <t>Análisis Semántico</t>
  </si>
  <si>
    <t>Compilar vs Interpretar vs Transpilar</t>
  </si>
  <si>
    <t>Interpretación de instruciones básicas</t>
  </si>
  <si>
    <t>Repaso de fases del compilador</t>
  </si>
  <si>
    <t>Precedecia de operadores</t>
  </si>
  <si>
    <t>Calculadora Básica</t>
  </si>
  <si>
    <t>Acciones Semánticas</t>
  </si>
  <si>
    <t>Tipos de analizadores sintácticos</t>
  </si>
  <si>
    <t>Manejo de entornos dentro del intérprete</t>
  </si>
  <si>
    <t>Patron Visitor</t>
  </si>
  <si>
    <t xml:space="preserve">Tabla de simbolos </t>
  </si>
  <si>
    <t>Parent Pointer Tree</t>
  </si>
  <si>
    <t>Declaraciones</t>
  </si>
  <si>
    <t>Asignaciones</t>
  </si>
  <si>
    <t>Estructuras cíclicas y de control de flujo</t>
  </si>
  <si>
    <t>Lenguajes Turing Completos</t>
  </si>
  <si>
    <t>Estructuras de control</t>
  </si>
  <si>
    <t>Ciclos</t>
  </si>
  <si>
    <t>Sentencias de transferencia</t>
  </si>
  <si>
    <t>Funciones y cerraduras en un intérprete</t>
  </si>
  <si>
    <t>Funciones embebidas</t>
  </si>
  <si>
    <t>Febrero</t>
  </si>
  <si>
    <t>Funciones foráneas</t>
  </si>
  <si>
    <t>Clousures</t>
  </si>
  <si>
    <t>Resolución de variables</t>
  </si>
  <si>
    <t>Hoisting</t>
  </si>
  <si>
    <t>Call Stack</t>
  </si>
  <si>
    <t>Programación orientada a objetos en un intérprete</t>
  </si>
  <si>
    <t>Clases y Objetos</t>
  </si>
  <si>
    <t>Prototipos</t>
  </si>
  <si>
    <t>Constructores</t>
  </si>
  <si>
    <t>Sobrecarga de métodos</t>
  </si>
  <si>
    <t xml:space="preserve">El estudiante analiza representaciones intermedias de código mediante código de tres direcciones para identificar oportunidades de optimización </t>
  </si>
  <si>
    <t>Representaciones intermedias y generación de código</t>
  </si>
  <si>
    <t>Código de 3 direcciones</t>
  </si>
  <si>
    <t>Bytecode</t>
  </si>
  <si>
    <t>Assembly: RISC-V</t>
  </si>
  <si>
    <t>Tipos primitivos a bajo nivel</t>
  </si>
  <si>
    <t>Tipos enteros</t>
  </si>
  <si>
    <t>Representación de punto flotante</t>
  </si>
  <si>
    <t>Char</t>
  </si>
  <si>
    <t>Strings</t>
  </si>
  <si>
    <t xml:space="preserve">El estudiante genera código de bajo nivel y ensamblador a partir de plantillas de generación y asignación de registros considerando convenciones de llamada y optimización de registros </t>
  </si>
  <si>
    <t>Entornos, variables globales y locales en un compilador</t>
  </si>
  <si>
    <t>Tabla de simbolos</t>
  </si>
  <si>
    <t>Marzo</t>
  </si>
  <si>
    <t>Manejo del stack para variables locales</t>
  </si>
  <si>
    <t>Resolucion de variables</t>
  </si>
  <si>
    <t>Traducción de estructuras de control en un compilador</t>
  </si>
  <si>
    <t>Etiquetas</t>
  </si>
  <si>
    <t>Saltos condicionales</t>
  </si>
  <si>
    <t>Saltos incondicionales</t>
  </si>
  <si>
    <t>Traducción de funciones de primera clase en un compilador</t>
  </si>
  <si>
    <t>Paso de argumentos</t>
  </si>
  <si>
    <t>Call Frames</t>
  </si>
  <si>
    <t>Valores de retorno</t>
  </si>
  <si>
    <t>Programación orientada a objetos en un compilador</t>
  </si>
  <si>
    <t>Propiedades</t>
  </si>
  <si>
    <t>Métodos</t>
  </si>
  <si>
    <t>Abril</t>
  </si>
  <si>
    <t xml:space="preserve">El estudiante aplica técnicas de optimización de código como optimización local y global para reducir tamaño de código y mejorar rendimiento </t>
  </si>
  <si>
    <t>Manejo del heap</t>
  </si>
  <si>
    <t>Optimización de código</t>
  </si>
  <si>
    <t>Eliminación de código muerto</t>
  </si>
  <si>
    <t>Propagación de constantes</t>
  </si>
  <si>
    <t>Optmización de bucles</t>
  </si>
  <si>
    <t>Simplificación Algebraica</t>
  </si>
  <si>
    <t>Optimización de saltos condicionales</t>
  </si>
  <si>
    <t>Recolección de basura</t>
  </si>
  <si>
    <t>Garbage Collection</t>
  </si>
  <si>
    <t>Memory Leaks</t>
  </si>
  <si>
    <t>Tiempo</t>
  </si>
  <si>
    <t xml:space="preserve">1. Bienvenida y Presentación                                   </t>
  </si>
  <si>
    <t>Tiempo Aproximado</t>
  </si>
  <si>
    <t>No puedes excederte mas de 15 minutos</t>
  </si>
  <si>
    <t xml:space="preserve">Nombre y Formacion Academica </t>
  </si>
  <si>
    <t>Estudiante de sistemas, cursando últimos semestres</t>
  </si>
  <si>
    <t xml:space="preserve">Experiencia docente y profecional </t>
  </si>
  <si>
    <t>Experiencia del auxiliar como docente (si aplica) y del área profesional</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</si>
  <si>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</si>
  <si>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</si>
  <si>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Impartir laboratorios, resolver dudas, calificar proyectos</t>
  </si>
  <si>
    <t>Expectativas sobre la dinámica del curso</t>
  </si>
  <si>
    <t>Participación activa en laboratorios</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</si>
  <si>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</si>
  <si>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</si>
  <si>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</si>
  <si>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</si>
  <si>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t>Preguntas en un kahoot sobre analisis léxico, sintáctico y árboles.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</si>
  <si>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</si>
  <si>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una parte practica</t>
  </si>
  <si>
    <t>Al construír un AST, ¿cuál es la ventaja principal de usar árboles frente a listas lineales de tokens?</t>
  </si>
  <si>
    <t xml:space="preserve">3. Presentación de los Estudiantes                                </t>
  </si>
  <si>
    <t xml:space="preserve">No puedes excederte mas de 30 minutos </t>
  </si>
  <si>
    <t>Seleccion al Azar de 5 Estudiantes</t>
  </si>
  <si>
    <t>Se seleccionarán 5 estudiantes al azar para presentarse brevemente</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</si>
  <si>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</si>
  <si>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</si>
  <si>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Nombre 
Intereses o expectativas sobre el curso.
Experiencia previa relacionada con el tema (si aplica).
Un dato curioso sobre sí mismo.</t>
  </si>
  <si>
    <t xml:space="preserve">4.  Censo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</si>
  <si>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</si>
  <si>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</si>
  <si>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</si>
  <si>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Formulario para recopilar disponibilidad de horarios</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</si>
  <si>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</si>
  <si>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</si>
  <si>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Horarios y dias que esté disponible</t>
  </si>
  <si>
    <t xml:space="preserve">4.  Mostrar Programa del Curso                 </t>
  </si>
  <si>
    <t>No puedes excederte mas de 30 minutos</t>
  </si>
  <si>
    <t xml:space="preserve">2. Evaluación de Conocimientos del Curso Actual                                  </t>
  </si>
  <si>
    <t xml:space="preserve">Redactaras 20 preguntas con sus respectivas respuestas </t>
  </si>
  <si>
    <t>Preguntas sobre temas del curso: manejo de tabla de símbolos, tipos de datos, verificación semántica, código de tres direcciones</t>
  </si>
  <si>
    <t>Diseño de la Sesión de Laboratorio</t>
  </si>
  <si>
    <t>Ponderación</t>
  </si>
  <si>
    <t>Validación de Tiempo</t>
  </si>
  <si>
    <t>1. Área Actitudinal (Saber Ser)</t>
  </si>
  <si>
    <t>Tiene que estar en un rango de 3 a 5 minutos</t>
  </si>
  <si>
    <t>Nombre del Valor</t>
  </si>
  <si>
    <t>Curiosidad académica</t>
  </si>
  <si>
    <t>Descripcion</t>
  </si>
  <si>
    <t>Comprender las motivaciones y aplicaciones de los compiladores despierta interés en el diseño de lenguajes de programación y herramientas de desarrollo.</t>
  </si>
  <si>
    <t>Como se relaciona con los conocimientos de la sesion y se aplicaria</t>
  </si>
  <si>
    <t>Al conocer las fases de compilación y las diferencias entre compilar, interpretar y transpilar, se aprecia la complejidad y utilidad de estas herramientas en el desarrollo de software moderno.</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</si>
  <si>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</si>
  <si>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</si>
  <si>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</si>
  <si>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</si>
  <si>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</si>
  <si>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</si>
  <si>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</si>
  <si>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</si>
  <si>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</si>
  <si>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</si>
  <si>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</si>
  <si>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</si>
  <si>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</si>
  <si>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</si>
  <si>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</si>
  <si>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</si>
  <si>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</si>
  <si>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</si>
  <si>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</si>
  <si>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</si>
  <si>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</si>
  <si>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</si>
  <si>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</si>
  <si>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Ejercicio practico</t>
  </si>
  <si>
    <t>Coloca el tiempo que usar en la actividad, un tiempo sugerido 30 minutos</t>
  </si>
  <si>
    <t>Descripcion de la Actividad</t>
  </si>
  <si>
    <t>Actividad 2 (Optativa puedes hacerla si lo consideras apropiado)</t>
  </si>
  <si>
    <t>Coloca el tiempo que usar en la actividad, un tiempo sugerido 20 minutos</t>
  </si>
  <si>
    <t>3. Cierre</t>
  </si>
  <si>
    <t>Tiene que estar en un rango de 10 a 15 minutos</t>
  </si>
  <si>
    <t>Asignacion de Actividades</t>
  </si>
  <si>
    <t>Resolución de dudas</t>
  </si>
  <si>
    <t>Resuelve alguna duda, asigna las actividades que deben realizar, dudas de proyectos, etc</t>
  </si>
  <si>
    <t>Precisión técnica</t>
  </si>
  <si>
    <t>La precedencia de operadores y acciones semánticas requieren atención al detalle para evitar errores en la interpretación de expresiones matemáticas.</t>
  </si>
  <si>
    <t>Al implementar una calculadora básica, la correcta precedencia de operadores es fundamental para evaluar expresiones correctamente, aplicando las reglas matemáticas estándar.</t>
  </si>
  <si>
    <t>Organización y estructura</t>
  </si>
  <si>
    <t>El manejo de entornos y tabla de símbolos requiere una organización sistemática para gestionar correctamente el alcance de variables y sus valores.</t>
  </si>
  <si>
    <t>Al implementar entornos anidados con el patrón Visitor y tabla de símbolos, se mantiene un código estructurado que facilita el rastreo de declaraciones y asignaciones en diferentes scopes.</t>
  </si>
  <si>
    <t>Responsabilidad computacional</t>
  </si>
  <si>
    <t>Entender el poder de un lenguaje implica usarlo de forma ética y consciente.</t>
  </si>
  <si>
    <t>Al saber más sobre lo que pasa detras de un lenguaje puede hacer que se intente "romper" programar.</t>
  </si>
  <si>
    <t>otros</t>
  </si>
  <si>
    <t>Ejemplo práctico sobre el contenido impartido de la sesión, mejorando el código del ejemplo de la sesión anterior.</t>
  </si>
  <si>
    <t>Resolución de dudas de la calse y primer proyecto.</t>
  </si>
  <si>
    <t>Ética del alcance</t>
  </si>
  <si>
    <t>Mantener el uso de variables dentro de su contexto lógico y justo.</t>
  </si>
  <si>
    <t>La verdad no hay valor que pueda relacionar a la sesión.</t>
  </si>
  <si>
    <t>Precisión</t>
  </si>
  <si>
    <t>ya que al aplicar técnicas de optimización y análisis de código, se requiere atención a los detalles para lograr mejoras reales y evitar errores.</t>
  </si>
  <si>
    <t>Rigor</t>
  </si>
  <si>
    <t>porque se trabaja con conceptos técnicos de bajo nivel, donde la precisión y estructura lógica son clave, especialmente en temas como ensamblador o representación en memoria.</t>
  </si>
  <si>
    <t xml:space="preserve">Ejemplo práctico sobre el contenido impartido de la sesión, mejorando el código del ejemplo de la sesión anterior.							
							</t>
  </si>
  <si>
    <t>El uso correcto de las tablas de símbolos ayudan a la eficiencia del programa</t>
  </si>
  <si>
    <t>Generacion de codigo de 3 direcciones.</t>
  </si>
  <si>
    <t>Resolucion de dudas</t>
  </si>
  <si>
    <t>Rigor técnico</t>
  </si>
  <si>
    <t xml:space="preserve">La traducción de funciones e instrucciones ocupa la mayor parte de complejidad en un compilador por lo que mejora su uso </t>
  </si>
  <si>
    <t xml:space="preserve">El uso de la memoria permite que los programas generados por el compilador tengan un rendimiento adecuado </t>
  </si>
  <si>
    <t>Manejo de heap</t>
  </si>
  <si>
    <t xml:space="preserve">La optimización es el paso que nos permite corregir aquello generado en el proceso de compilación lo que permite que el resultado final siempre sea óptimo </t>
  </si>
  <si>
    <t>Proyectos</t>
  </si>
  <si>
    <t>La sumatoria de los puntos de los proyectos debe superar el  70% del total de la nota, no puede ser un 100%</t>
  </si>
  <si>
    <t>1. Primer Proyecto</t>
  </si>
  <si>
    <t>Horas para realizarlo</t>
  </si>
  <si>
    <t>Titulo</t>
  </si>
  <si>
    <t>Golampi Interpreter</t>
  </si>
  <si>
    <t>Qué tecnologías, lenguajes de programación, plataformas, hardware o software se utilizaran</t>
  </si>
  <si>
    <t>PHP
LIME
Linux</t>
  </si>
  <si>
    <t>Descripción de lo que se realizara</t>
  </si>
  <si>
    <t>Implementación de análisis lexico, semantico y sintactico para la elaboración de un intérprete.</t>
  </si>
  <si>
    <t>2. Segundo Proyecto</t>
  </si>
  <si>
    <t>Golampi Compiler</t>
  </si>
  <si>
    <t>Lenguaje ensamblador.
Qemu.</t>
  </si>
  <si>
    <t>Generacion de lenguaje a bajo nivel sobre las instrucciones realizadas en el primer proyecto, eliminando ciertas secciones del proyecto 1.</t>
  </si>
  <si>
    <t>3. Tercer Proyecto</t>
  </si>
  <si>
    <t>Optativa</t>
  </si>
  <si>
    <t>Practicas</t>
  </si>
  <si>
    <t>La sumatoria de los puntos de los practicas debe no debe super el  20%</t>
  </si>
  <si>
    <t>1. Primera Practica</t>
  </si>
  <si>
    <t>Obligatoria</t>
  </si>
  <si>
    <t>Diseñar un analizador que reconozca literales de números binarios con parte entera y fraccionaria, usando dígitos {0,1} y un único punto .. El esquema de traducción debe calcular, su equivalente en base decimal</t>
  </si>
  <si>
    <t>2. Segunda Practica</t>
  </si>
  <si>
    <t>Dado una entrada de declaraciones de variables con su tipo, propagar el tipo correspondiente a cada identificador usando atributos heredados, al final de la evaluación, una lista de pares (ID, Type) que representa todas las declaraciones del bloque.</t>
  </si>
  <si>
    <t>3. Tercera Practica</t>
  </si>
  <si>
    <t>Usando la herramienta, construir un traductor para un mini-lenguaje que soporte if/else y expresiones booleanas (&amp;&amp;, ||, !, relacionales). La salida debe ser C3D con corto-circuito.</t>
  </si>
  <si>
    <t>4. Cuarta Practica</t>
  </si>
  <si>
    <t>Usando la herramienta, construir un traductor para un mini-lenguaje que soporte while, con break y continue, y expresiones booleanas (&amp;&amp;, ||, !, relacionales) con corto-circuito. La salida debe ser C3D</t>
  </si>
  <si>
    <t>5. Quinta Practica</t>
  </si>
  <si>
    <t>6. Sexta Practica</t>
  </si>
  <si>
    <t>7. Septima Practica</t>
  </si>
  <si>
    <t>Tareas</t>
  </si>
  <si>
    <t>La sumatoria de los puntos de los practicas debe no debe super el  20% de la nota</t>
  </si>
  <si>
    <t>1. Primera Tarea</t>
  </si>
  <si>
    <t>Implementar una calculadora que lea expresiones como 12+3*4-5/2, genere tokens, construya un árbol de expresión y devuelva el resultado en consola. No se requiere generación de código ni manejo de errores complejo: el foco está en la cadena de procesamiento de léxico y sintaxis.</t>
  </si>
  <si>
    <t>2. Segunda Tarea</t>
  </si>
  <si>
    <t>Interpretador de Ciclos</t>
  </si>
  <si>
    <t>Crear un pequeño intérprete que maneje ciclos while y for con una sintaxis</t>
  </si>
  <si>
    <t>3. Tercera Tarea</t>
  </si>
  <si>
    <t>Creación de funciones en lenguaje de compilación</t>
  </si>
  <si>
    <t>Se debera de realizar una gramatica y un interprete la cual pueda leer y ejecutar funciones con y sin parámetros.</t>
  </si>
  <si>
    <t>4. Cuarta Tarea</t>
  </si>
  <si>
    <t>Creacion de instrucciones basica a bajo nivel</t>
  </si>
  <si>
    <t>Las instrucciones basicas que se realizaron en el proyecto 1, como lo son sumas, restas, multiplicacion y division se deberan de realizar ahora a un lenguaje de bajo nivel donde se genere un archivo con las instrucciones de bajo nivel para posteriormente este archivo ejecutarlo en un emulador de lenguaje ensamblador.</t>
  </si>
  <si>
    <t>5. Quinta Tarea</t>
  </si>
  <si>
    <t>6. Sexta Tarea</t>
  </si>
  <si>
    <t>Generar código de tres direcciones</t>
  </si>
  <si>
    <t>Basado en un grámatica para generar representación intermedia, adaptarla a la herramienta del proyecto y en base a una entrada generada por el estudiante, realizar un análisis al código de tres direcciones obtenido.</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</si>
  <si>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</si>
  <si>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</si>
  <si>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</si>
  <si>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</si>
  <si>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</si>
  <si>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</si>
  <si>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</si>
  <si>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</si>
  <si>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</si>
  <si>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</si>
  <si>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</si>
  <si>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Total</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</si>
</sst>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theme="1"/>
      <name val="Arial"/>
      <scheme val="minor"/>
    </font>
    <font/>
    <font>
      <b/>
      <sz val="13.0"/>
      <color theme="4"/>
      <name val="Arial"/>
    </font>
    <font>
      <b/>
      <sz val="12.0"/>
      <color theme="4"/>
      <name val="Arial"/>
    </font>
    <font>
      <color rgb="FF999999"/>
      <name val="Arial"/>
    </font>
    <font>
      <b/>
      <sz val="13.0"/>
      <color rgb="FF4285F4"/>
      <name val="Arial"/>
    </font>
    <font>
      <b/>
      <sz val="12.0"/>
      <color rgb="FF4285F4"/>
      <name val="Arial"/>
    </font>
    <font>
      <color rgb="FFCCCCCC"/>
      <name val="Arial"/>
    </font>
    <font>
      <b/>
      <sz val="12.0"/>
      <color rgb="FFFF6D01"/>
      <name val="Arial"/>
    </font>
    <font>
      <b/>
      <sz val="12.0"/>
      <color rgb="FFFFFFFF"/>
      <name val="Arial"/>
    </font>
    <font>
      <color rgb="FFD9D9D9"/>
      <name val="Arial"/>
    </font>
    <font>
      <b/>
      <sz val="12.0"/>
      <color theme="1"/>
      <name val="Arial"/>
    </font>
    <font>
      <sz val="12.0"/>
      <color theme="4"/>
      <name val="Arial"/>
    </font>
    <font>
      <sz val="12.0"/>
      <color rgb="FFFFFFFF"/>
      <name val="Arial"/>
    </font>
    <font>
      <sz val="12.0"/>
      <color theme="1"/>
      <name val="Arial"/>
    </font>
  </fonts>
  <fills count="9">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0" fillId="0" fontId="7" numFmtId="0" xfId="0" applyAlignment="1" applyFont="1">
      <alignment readingOrder="0"/>
    </xf>
    <xf borderId="1" fillId="0" fontId="4" numFmtId="0" xfId="0" applyAlignment="1" applyBorder="1" applyFont="1">
      <alignment shrinkToFit="0" vertical="bottom" wrapText="1"/>
    </xf>
    <xf borderId="1" fillId="0" fontId="4" numFmtId="0" xfId="0" applyAlignment="1" applyBorder="1" applyFont="1">
      <alignment horizontal="right" vertical="bottom"/>
    </xf>
    <xf borderId="1" fillId="0" fontId="4" numFmtId="0" xfId="0" applyAlignment="1" applyBorder="1" applyFont="1">
      <alignment vertical="bottom"/>
    </xf>
    <xf borderId="0" fillId="0" fontId="4" numFmtId="0" xfId="0" applyAlignment="1" applyFont="1">
      <alignment readingOrder="0"/>
    </xf>
    <xf borderId="1" fillId="0" fontId="4" numFmtId="0" xfId="0" applyAlignment="1" applyBorder="1" applyFont="1">
      <alignment horizontal="right" vertical="bottom"/>
    </xf>
    <xf borderId="1" fillId="0" fontId="4" numFmtId="0" xfId="0" applyAlignment="1" applyBorder="1" applyFont="1">
      <alignment vertical="bottom"/>
    </xf>
    <xf borderId="1" fillId="3" fontId="4" numFmtId="0" xfId="0" applyAlignment="1" applyBorder="1" applyFill="1" applyFont="1">
      <alignment shrinkToFit="0" vertical="bottom" wrapText="1"/>
    </xf>
    <xf borderId="0" fillId="0" fontId="4" numFmtId="0" xfId="0" applyAlignment="1" applyFont="1">
      <alignment shrinkToFit="0" wrapText="1"/>
    </xf>
    <xf borderId="1" fillId="0" fontId="3" numFmtId="0" xfId="0" applyBorder="1" applyFont="1"/>
    <xf borderId="2" fillId="0" fontId="4" numFmtId="0" xfId="0" applyBorder="1" applyFont="1"/>
    <xf borderId="3" fillId="0" fontId="8" numFmtId="0" xfId="0" applyBorder="1" applyFont="1"/>
    <xf borderId="4" fillId="0" fontId="8" numFmtId="0" xfId="0" applyBorder="1" applyFont="1"/>
    <xf borderId="1" fillId="0" fontId="4" numFmtId="0" xfId="0" applyBorder="1" applyFont="1"/>
    <xf borderId="0" fillId="0" fontId="9" numFmtId="0" xfId="0" applyFont="1"/>
    <xf borderId="0" fillId="0" fontId="10" numFmtId="0" xfId="0" applyAlignment="1" applyFont="1">
      <alignment shrinkToFit="0" wrapText="1"/>
    </xf>
    <xf borderId="0" fillId="4" fontId="1" numFmtId="0" xfId="0" applyFill="1" applyFont="1"/>
    <xf borderId="0" fillId="0" fontId="11" numFmtId="0" xfId="0" applyFont="1"/>
    <xf borderId="1" fillId="5" fontId="4" numFmtId="0" xfId="0" applyAlignment="1" applyBorder="1" applyFill="1" applyFont="1">
      <alignment shrinkToFit="0" vertical="bottom" wrapText="1"/>
    </xf>
    <xf borderId="2" fillId="0" fontId="4" numFmtId="0" xfId="0" applyAlignment="1" applyBorder="1" applyFont="1">
      <alignment readingOrder="0" vertical="bottom"/>
    </xf>
    <xf borderId="0" fillId="0" fontId="4" numFmtId="0" xfId="0" applyAlignment="1" applyFont="1">
      <alignment horizontal="center" shrinkToFit="0" vertical="center" wrapText="1"/>
    </xf>
    <xf borderId="1" fillId="5" fontId="4" numFmtId="0" xfId="0" applyAlignment="1" applyBorder="1" applyFont="1">
      <alignment shrinkToFit="0" wrapText="1"/>
    </xf>
    <xf borderId="2" fillId="0" fontId="4" numFmtId="0" xfId="0" applyAlignment="1" applyBorder="1" applyFont="1">
      <alignment readingOrder="0"/>
    </xf>
    <xf borderId="1" fillId="5" fontId="4" numFmtId="0" xfId="0" applyBorder="1" applyFont="1"/>
    <xf borderId="0" fillId="0" fontId="12" numFmtId="0" xfId="0" applyFont="1"/>
    <xf borderId="0" fillId="0" fontId="13" numFmtId="0" xfId="0" applyAlignment="1" applyFont="1">
      <alignment shrinkToFit="0" wrapText="1"/>
    </xf>
    <xf borderId="0" fillId="0" fontId="4" numFmtId="0" xfId="0" applyAlignment="1" applyFont="1">
      <alignment horizontal="left" shrinkToFit="0" vertical="center" wrapText="1"/>
    </xf>
    <xf borderId="0" fillId="0" fontId="12" numFmtId="0" xfId="0" applyAlignment="1" applyFont="1">
      <alignment readingOrder="0"/>
    </xf>
    <xf borderId="0" fillId="0" fontId="14" numFmtId="0" xfId="0" applyFont="1"/>
    <xf borderId="0" fillId="0" fontId="4" numFmtId="0" xfId="0" applyAlignment="1" applyFont="1">
      <alignment shrinkToFit="0" vertical="center" wrapText="1"/>
    </xf>
    <xf borderId="0" fillId="0" fontId="15" numFmtId="0" xfId="0" applyFont="1"/>
    <xf borderId="1" fillId="0" fontId="4" numFmtId="0" xfId="0" applyAlignment="1" applyBorder="1" applyFont="1">
      <alignment shrinkToFit="0" wrapText="1"/>
    </xf>
    <xf borderId="0" fillId="0" fontId="13" numFmtId="0" xfId="0" applyFont="1"/>
    <xf borderId="0" fillId="6" fontId="16" numFmtId="0" xfId="0" applyAlignment="1" applyFill="1" applyFont="1">
      <alignment readingOrder="0"/>
    </xf>
    <xf borderId="2" fillId="5" fontId="4" numFmtId="0" xfId="0" applyBorder="1" applyFont="1"/>
    <xf borderId="5" fillId="0" fontId="4" numFmtId="0" xfId="0" applyAlignment="1" applyBorder="1" applyFont="1">
      <alignment readingOrder="0" shrinkToFit="0" wrapText="1"/>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0" fillId="6" fontId="16" numFmtId="0" xfId="0" applyFont="1"/>
    <xf borderId="0" fillId="0" fontId="10" numFmtId="0" xfId="0" applyFont="1"/>
    <xf borderId="1" fillId="7" fontId="4" numFmtId="0" xfId="0" applyBorder="1" applyFill="1" applyFont="1"/>
    <xf borderId="2" fillId="7" fontId="4" numFmtId="0" xfId="0" applyBorder="1" applyFont="1"/>
    <xf borderId="2" fillId="0" fontId="4" numFmtId="0" xfId="0" applyBorder="1" applyFont="1"/>
    <xf borderId="1" fillId="8" fontId="4" numFmtId="0" xfId="0" applyBorder="1" applyFill="1" applyFont="1"/>
    <xf borderId="2" fillId="8" fontId="4" numFmtId="0" xfId="0" applyBorder="1" applyFont="1"/>
    <xf borderId="2" fillId="0" fontId="14" numFmtId="0" xfId="0" applyBorder="1" applyFont="1"/>
    <xf borderId="5" fillId="0" fontId="4" numFmtId="0" xfId="0" applyBorder="1" applyFont="1"/>
    <xf borderId="11" fillId="0" fontId="8" numFmtId="0" xfId="0" applyBorder="1" applyFont="1"/>
    <xf borderId="12" fillId="0" fontId="8" numFmtId="0" xfId="0" applyBorder="1" applyFont="1"/>
    <xf borderId="0" fillId="0" fontId="17" numFmtId="0" xfId="0" applyFont="1"/>
    <xf borderId="2" fillId="0" fontId="14" numFmtId="0" xfId="0" applyAlignment="1" applyBorder="1" applyFont="1">
      <alignment readingOrder="0"/>
    </xf>
    <xf borderId="5" fillId="0" fontId="4" numFmtId="0" xfId="0" applyAlignment="1" applyBorder="1" applyFont="1">
      <alignment readingOrder="0"/>
    </xf>
    <xf borderId="5" fillId="0" fontId="4" numFmtId="0" xfId="0" applyAlignment="1" applyBorder="1" applyFont="1">
      <alignment readingOrder="0" shrinkToFit="0" vertical="center" wrapText="1"/>
    </xf>
    <xf borderId="0" fillId="0" fontId="7" numFmtId="0" xfId="0" applyFont="1"/>
    <xf borderId="5" fillId="0" fontId="4" numFmtId="0" xfId="0" applyAlignment="1" applyBorder="1" applyFont="1">
      <alignment readingOrder="0" shrinkToFit="0" vertical="top" wrapText="1"/>
    </xf>
    <xf borderId="0" fillId="0" fontId="18" numFmtId="0" xfId="0" applyFont="1"/>
    <xf borderId="0" fillId="4" fontId="19" numFmtId="0" xfId="0" applyFont="1"/>
    <xf borderId="0" fillId="4" fontId="20" numFmtId="0" xfId="0" applyFont="1"/>
    <xf borderId="0" fillId="0" fontId="19" numFmtId="0" xfId="0" applyFont="1"/>
    <xf borderId="0" fillId="0" fontId="5" numFmtId="0" xfId="0" applyAlignment="1" applyFont="1">
      <alignment shrinkToFit="0" wrapText="1"/>
    </xf>
    <xf borderId="0" fillId="0" fontId="21" numFmtId="0" xfId="0" applyAlignment="1" applyFont="1">
      <alignment shrinkToFit="0" wrapText="1"/>
    </xf>
    <xf borderId="0" fillId="0" fontId="21" numFmtId="0" xfId="0" applyFont="1"/>
    <xf borderId="1" fillId="7" fontId="21" numFmtId="0" xfId="0" applyAlignment="1" applyBorder="1" applyFont="1">
      <alignment shrinkToFit="0" wrapText="1"/>
    </xf>
    <xf borderId="1" fillId="7" fontId="21" numFmtId="0" xfId="0" applyBorder="1" applyFont="1"/>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150.0"/>
    <col customWidth="1" min="4" max="4" width="19.38"/>
    <col customWidth="1" min="5" max="5" width="45.13"/>
    <col customWidth="1" min="6" max="6" width="31.25"/>
  </cols>
  <sheetData>
    <row r="1" ht="15.75" customHeight="1"/>
    <row r="2" ht="15.75" customHeight="1">
      <c r="A2" s="1">
        <f>VALUE(LEFT(C4,FIND(" - ",C4)-1))</f>
        <v>781</v>
      </c>
      <c r="B2" s="2" t="s">
        <v>0</v>
      </c>
    </row>
    <row r="3" ht="15.75" customHeight="1"/>
    <row r="4" ht="15.75" customHeight="1">
      <c r="B4" s="3" t="s">
        <v>1</v>
      </c>
      <c r="C4" s="4" t="s">
        <v>2</v>
      </c>
    </row>
    <row r="5" ht="15.75" customHeight="1">
      <c r="B5" s="5" t="s">
        <v>3</v>
      </c>
      <c r="C5" s="5" t="s">
        <v>4</v>
      </c>
    </row>
    <row r="6" ht="15.75" customHeight="1">
      <c r="H6" s="6"/>
    </row>
    <row r="7" ht="15.75" customHeight="1">
      <c r="H7" s="6"/>
    </row>
    <row r="8" ht="15.75" customHeight="1">
      <c r="A8" s="7"/>
      <c r="B8" s="8" t="s">
        <v>5</v>
      </c>
      <c r="C8" s="9" t="s">
        <v>6</v>
      </c>
      <c r="D8" s="8" t="s">
        <v>7</v>
      </c>
      <c r="E8" s="8" t="s">
        <v>8</v>
      </c>
      <c r="F8" s="8" t="s">
        <v>9</v>
      </c>
      <c r="G8" s="8" t="s">
        <v>10</v>
      </c>
      <c r="H8" s="8" t="s">
        <v>11</v>
      </c>
    </row>
    <row r="9" ht="15.75" customHeight="1">
      <c r="B9" s="10">
        <v>1.0</v>
      </c>
      <c r="C9" s="11" t="s">
        <v>12</v>
      </c>
      <c r="D9" s="12">
        <v>1.0</v>
      </c>
      <c r="E9" s="13" t="s">
        <v>13</v>
      </c>
      <c r="F9" s="13" t="s">
        <v>14</v>
      </c>
      <c r="G9" s="14" t="s">
        <v>15</v>
      </c>
      <c r="H9" s="10">
        <v>1.0</v>
      </c>
    </row>
    <row r="10" ht="15.75" customHeight="1">
      <c r="B10" s="10">
        <v>2.0</v>
      </c>
      <c r="C10" s="11" t="s">
        <v>12</v>
      </c>
      <c r="D10" s="15">
        <v>1.0</v>
      </c>
      <c r="E10" s="16" t="s">
        <v>13</v>
      </c>
      <c r="F10" s="16" t="s">
        <v>16</v>
      </c>
      <c r="G10" s="14" t="s">
        <v>15</v>
      </c>
      <c r="H10" s="10">
        <v>1.0</v>
      </c>
    </row>
    <row r="11" ht="15.75" customHeight="1">
      <c r="B11" s="10">
        <v>3.0</v>
      </c>
      <c r="C11" s="11" t="s">
        <v>17</v>
      </c>
      <c r="D11" s="15">
        <v>1.0</v>
      </c>
      <c r="E11" s="16" t="s">
        <v>13</v>
      </c>
      <c r="F11" s="16" t="s">
        <v>18</v>
      </c>
      <c r="G11" s="14" t="s">
        <v>15</v>
      </c>
      <c r="H11" s="10">
        <v>1.0</v>
      </c>
    </row>
    <row r="12" ht="15.75" customHeight="1">
      <c r="B12" s="10">
        <v>4.0</v>
      </c>
      <c r="C12" s="11" t="s">
        <v>19</v>
      </c>
      <c r="D12" s="15">
        <v>1.0</v>
      </c>
      <c r="E12" s="16" t="s">
        <v>13</v>
      </c>
      <c r="F12" s="16" t="s">
        <v>20</v>
      </c>
      <c r="G12" s="14" t="s">
        <v>15</v>
      </c>
      <c r="H12" s="10">
        <v>1.0</v>
      </c>
    </row>
    <row r="13" ht="15.75" customHeight="1">
      <c r="B13" s="10">
        <v>5.0</v>
      </c>
      <c r="C13" s="11" t="s">
        <v>21</v>
      </c>
      <c r="D13" s="15">
        <v>1.0</v>
      </c>
      <c r="E13" s="16" t="s">
        <v>13</v>
      </c>
      <c r="F13" s="16" t="s">
        <v>22</v>
      </c>
      <c r="G13" s="14" t="s">
        <v>15</v>
      </c>
      <c r="H13" s="10">
        <v>1.0</v>
      </c>
    </row>
    <row r="14" ht="15.75" customHeight="1">
      <c r="B14" s="10">
        <v>6.0</v>
      </c>
      <c r="C14" s="11" t="s">
        <v>17</v>
      </c>
      <c r="D14" s="15">
        <v>1.0</v>
      </c>
      <c r="E14" s="16" t="s">
        <v>13</v>
      </c>
      <c r="F14" s="16" t="s">
        <v>23</v>
      </c>
      <c r="G14" s="14" t="s">
        <v>15</v>
      </c>
      <c r="H14" s="10">
        <v>1.0</v>
      </c>
    </row>
    <row r="15" ht="15.75" customHeight="1">
      <c r="B15" s="10">
        <v>7.0</v>
      </c>
      <c r="C15" s="11" t="s">
        <v>12</v>
      </c>
      <c r="D15" s="15">
        <v>1.0</v>
      </c>
      <c r="E15" s="16" t="s">
        <v>13</v>
      </c>
      <c r="F15" s="16" t="s">
        <v>24</v>
      </c>
      <c r="G15" s="14" t="s">
        <v>15</v>
      </c>
      <c r="H15" s="10">
        <v>1.0</v>
      </c>
    </row>
    <row r="16" ht="15.75" customHeight="1">
      <c r="B16" s="10">
        <v>8.0</v>
      </c>
      <c r="C16" s="11" t="s">
        <v>12</v>
      </c>
      <c r="D16" s="15">
        <v>1.0</v>
      </c>
      <c r="E16" s="16" t="s">
        <v>25</v>
      </c>
      <c r="F16" s="16" t="s">
        <v>26</v>
      </c>
      <c r="G16" s="14" t="s">
        <v>15</v>
      </c>
      <c r="H16" s="14">
        <v>2.0</v>
      </c>
    </row>
    <row r="17" ht="15.75" customHeight="1">
      <c r="B17" s="10">
        <v>9.0</v>
      </c>
      <c r="C17" s="11" t="s">
        <v>19</v>
      </c>
      <c r="D17" s="15">
        <v>1.0</v>
      </c>
      <c r="E17" s="16" t="s">
        <v>25</v>
      </c>
      <c r="F17" s="16" t="s">
        <v>27</v>
      </c>
      <c r="G17" s="14" t="s">
        <v>15</v>
      </c>
      <c r="H17" s="14">
        <v>2.0</v>
      </c>
    </row>
    <row r="18" ht="15.75" customHeight="1">
      <c r="B18" s="10">
        <v>10.0</v>
      </c>
      <c r="C18" s="11" t="s">
        <v>19</v>
      </c>
      <c r="D18" s="15">
        <v>1.0</v>
      </c>
      <c r="E18" s="16" t="s">
        <v>25</v>
      </c>
      <c r="F18" s="16" t="s">
        <v>28</v>
      </c>
      <c r="G18" s="14" t="s">
        <v>15</v>
      </c>
      <c r="H18" s="14">
        <v>2.0</v>
      </c>
    </row>
    <row r="19" ht="15.75" customHeight="1">
      <c r="B19" s="10">
        <v>11.0</v>
      </c>
      <c r="C19" s="11" t="s">
        <v>12</v>
      </c>
      <c r="D19" s="15">
        <v>1.0</v>
      </c>
      <c r="E19" s="16" t="s">
        <v>25</v>
      </c>
      <c r="F19" s="16" t="s">
        <v>29</v>
      </c>
      <c r="G19" s="14" t="s">
        <v>15</v>
      </c>
      <c r="H19" s="14">
        <v>2.0</v>
      </c>
    </row>
    <row r="20" ht="15.75" customHeight="1">
      <c r="B20" s="10">
        <v>12.0</v>
      </c>
      <c r="C20" s="11" t="s">
        <v>21</v>
      </c>
      <c r="D20" s="15">
        <v>1.0</v>
      </c>
      <c r="E20" s="16" t="s">
        <v>25</v>
      </c>
      <c r="F20" s="16" t="s">
        <v>30</v>
      </c>
      <c r="G20" s="14" t="s">
        <v>15</v>
      </c>
      <c r="H20" s="14">
        <v>2.0</v>
      </c>
    </row>
    <row r="21" ht="15.75" customHeight="1">
      <c r="B21" s="10">
        <v>13.0</v>
      </c>
      <c r="C21" s="11" t="s">
        <v>12</v>
      </c>
      <c r="D21" s="15">
        <v>1.0</v>
      </c>
      <c r="E21" s="16" t="s">
        <v>31</v>
      </c>
      <c r="F21" s="16" t="s">
        <v>32</v>
      </c>
      <c r="G21" s="14" t="s">
        <v>15</v>
      </c>
      <c r="H21" s="14">
        <v>3.0</v>
      </c>
    </row>
    <row r="22" ht="15.75" customHeight="1">
      <c r="B22" s="10">
        <v>14.0</v>
      </c>
      <c r="C22" s="11" t="s">
        <v>19</v>
      </c>
      <c r="D22" s="15">
        <v>1.0</v>
      </c>
      <c r="E22" s="16" t="s">
        <v>31</v>
      </c>
      <c r="F22" s="16" t="s">
        <v>33</v>
      </c>
      <c r="G22" s="14" t="s">
        <v>15</v>
      </c>
      <c r="H22" s="14">
        <v>3.0</v>
      </c>
    </row>
    <row r="23" ht="15.75" customHeight="1">
      <c r="B23" s="10">
        <v>15.0</v>
      </c>
      <c r="C23" s="11" t="s">
        <v>12</v>
      </c>
      <c r="D23" s="15">
        <v>1.0</v>
      </c>
      <c r="E23" s="16" t="s">
        <v>31</v>
      </c>
      <c r="F23" s="16" t="s">
        <v>34</v>
      </c>
      <c r="G23" s="14" t="s">
        <v>15</v>
      </c>
      <c r="H23" s="14">
        <v>3.0</v>
      </c>
    </row>
    <row r="24" ht="15.75" customHeight="1">
      <c r="B24" s="10">
        <v>16.0</v>
      </c>
      <c r="C24" s="11" t="s">
        <v>12</v>
      </c>
      <c r="D24" s="15">
        <v>1.0</v>
      </c>
      <c r="E24" s="16" t="s">
        <v>31</v>
      </c>
      <c r="F24" s="16" t="s">
        <v>35</v>
      </c>
      <c r="G24" s="14" t="s">
        <v>15</v>
      </c>
      <c r="H24" s="14">
        <v>3.0</v>
      </c>
    </row>
    <row r="25" ht="15.75" customHeight="1">
      <c r="B25" s="10">
        <v>17.0</v>
      </c>
      <c r="C25" s="11" t="s">
        <v>12</v>
      </c>
      <c r="D25" s="15">
        <v>1.0</v>
      </c>
      <c r="E25" s="16" t="s">
        <v>31</v>
      </c>
      <c r="F25" s="16" t="s">
        <v>36</v>
      </c>
      <c r="G25" s="14" t="s">
        <v>15</v>
      </c>
      <c r="H25" s="14">
        <v>3.0</v>
      </c>
    </row>
    <row r="26" ht="15.75" customHeight="1">
      <c r="B26" s="10">
        <v>18.0</v>
      </c>
      <c r="C26" s="11" t="s">
        <v>12</v>
      </c>
      <c r="D26" s="15">
        <v>1.0</v>
      </c>
      <c r="E26" s="16" t="s">
        <v>37</v>
      </c>
      <c r="F26" s="16" t="s">
        <v>38</v>
      </c>
      <c r="G26" s="14" t="s">
        <v>15</v>
      </c>
      <c r="H26" s="14">
        <v>4.0</v>
      </c>
    </row>
    <row r="27" ht="15.75" customHeight="1">
      <c r="B27" s="10">
        <v>19.0</v>
      </c>
      <c r="C27" s="11" t="s">
        <v>19</v>
      </c>
      <c r="D27" s="15">
        <v>1.0</v>
      </c>
      <c r="E27" s="16" t="s">
        <v>37</v>
      </c>
      <c r="F27" s="16" t="s">
        <v>39</v>
      </c>
      <c r="G27" s="14" t="s">
        <v>15</v>
      </c>
      <c r="H27" s="14">
        <v>4.0</v>
      </c>
    </row>
    <row r="28" ht="15.75" customHeight="1">
      <c r="B28" s="10">
        <v>20.0</v>
      </c>
      <c r="C28" s="11" t="s">
        <v>19</v>
      </c>
      <c r="D28" s="15">
        <v>1.0</v>
      </c>
      <c r="E28" s="16" t="s">
        <v>37</v>
      </c>
      <c r="F28" s="16" t="s">
        <v>40</v>
      </c>
      <c r="G28" s="14" t="s">
        <v>15</v>
      </c>
      <c r="H28" s="14">
        <v>4.0</v>
      </c>
    </row>
    <row r="29" ht="15.75" customHeight="1">
      <c r="B29" s="10">
        <v>21.0</v>
      </c>
      <c r="C29" s="11" t="s">
        <v>19</v>
      </c>
      <c r="D29" s="15">
        <v>1.0</v>
      </c>
      <c r="E29" s="16" t="s">
        <v>37</v>
      </c>
      <c r="F29" s="16" t="s">
        <v>41</v>
      </c>
      <c r="G29" s="14" t="s">
        <v>15</v>
      </c>
      <c r="H29" s="14">
        <v>4.0</v>
      </c>
    </row>
    <row r="30" ht="15.75" customHeight="1">
      <c r="B30" s="10">
        <v>22.0</v>
      </c>
      <c r="C30" s="11" t="s">
        <v>19</v>
      </c>
      <c r="D30" s="15">
        <v>2.0</v>
      </c>
      <c r="E30" s="16" t="s">
        <v>42</v>
      </c>
      <c r="F30" s="16" t="s">
        <v>43</v>
      </c>
      <c r="G30" s="10" t="s">
        <v>44</v>
      </c>
      <c r="H30" s="14">
        <v>5.0</v>
      </c>
    </row>
    <row r="31" ht="15.75" customHeight="1">
      <c r="B31" s="10">
        <v>23.0</v>
      </c>
      <c r="C31" s="11" t="s">
        <v>19</v>
      </c>
      <c r="D31" s="15">
        <v>2.0</v>
      </c>
      <c r="E31" s="16" t="s">
        <v>42</v>
      </c>
      <c r="F31" s="16" t="s">
        <v>45</v>
      </c>
      <c r="G31" s="10" t="s">
        <v>44</v>
      </c>
      <c r="H31" s="14">
        <v>5.0</v>
      </c>
    </row>
    <row r="32" ht="15.75" customHeight="1">
      <c r="B32" s="10">
        <v>24.0</v>
      </c>
      <c r="C32" s="11" t="s">
        <v>19</v>
      </c>
      <c r="D32" s="15">
        <v>2.0</v>
      </c>
      <c r="E32" s="16" t="s">
        <v>42</v>
      </c>
      <c r="F32" s="16" t="s">
        <v>46</v>
      </c>
      <c r="G32" s="10" t="s">
        <v>44</v>
      </c>
      <c r="H32" s="14">
        <v>5.0</v>
      </c>
    </row>
    <row r="33" ht="15.75" customHeight="1">
      <c r="B33" s="10">
        <v>25.0</v>
      </c>
      <c r="C33" s="11" t="s">
        <v>19</v>
      </c>
      <c r="D33" s="15">
        <v>2.0</v>
      </c>
      <c r="E33" s="16" t="s">
        <v>42</v>
      </c>
      <c r="F33" s="16" t="s">
        <v>47</v>
      </c>
      <c r="G33" s="10" t="s">
        <v>44</v>
      </c>
      <c r="H33" s="14">
        <v>5.0</v>
      </c>
    </row>
    <row r="34" ht="15.75" customHeight="1">
      <c r="B34" s="10">
        <v>26.0</v>
      </c>
      <c r="C34" s="11" t="s">
        <v>19</v>
      </c>
      <c r="D34" s="15">
        <v>2.0</v>
      </c>
      <c r="E34" s="16" t="s">
        <v>42</v>
      </c>
      <c r="F34" s="16" t="s">
        <v>48</v>
      </c>
      <c r="G34" s="10" t="s">
        <v>44</v>
      </c>
      <c r="H34" s="14">
        <v>5.0</v>
      </c>
    </row>
    <row r="35" ht="15.75" customHeight="1">
      <c r="B35" s="10">
        <v>27.0</v>
      </c>
      <c r="C35" s="11" t="s">
        <v>12</v>
      </c>
      <c r="D35" s="15">
        <v>2.0</v>
      </c>
      <c r="E35" s="16" t="s">
        <v>42</v>
      </c>
      <c r="F35" s="16" t="s">
        <v>49</v>
      </c>
      <c r="G35" s="10" t="s">
        <v>44</v>
      </c>
      <c r="H35" s="14">
        <v>5.0</v>
      </c>
    </row>
    <row r="36" ht="15.75" customHeight="1">
      <c r="B36" s="10">
        <v>28.0</v>
      </c>
      <c r="C36" s="11" t="s">
        <v>12</v>
      </c>
      <c r="D36" s="15">
        <v>2.0</v>
      </c>
      <c r="E36" s="16" t="s">
        <v>50</v>
      </c>
      <c r="F36" s="16" t="s">
        <v>51</v>
      </c>
      <c r="G36" s="10" t="s">
        <v>44</v>
      </c>
      <c r="H36" s="14">
        <v>6.0</v>
      </c>
    </row>
    <row r="37" ht="15.75" customHeight="1">
      <c r="B37" s="10">
        <v>29.0</v>
      </c>
      <c r="C37" s="11" t="s">
        <v>12</v>
      </c>
      <c r="D37" s="15">
        <v>2.0</v>
      </c>
      <c r="E37" s="16" t="s">
        <v>50</v>
      </c>
      <c r="F37" s="16" t="s">
        <v>52</v>
      </c>
      <c r="G37" s="10" t="s">
        <v>44</v>
      </c>
      <c r="H37" s="14">
        <v>6.0</v>
      </c>
    </row>
    <row r="38" ht="15.75" customHeight="1">
      <c r="B38" s="10">
        <v>30.0</v>
      </c>
      <c r="C38" s="11" t="s">
        <v>12</v>
      </c>
      <c r="D38" s="15">
        <v>2.0</v>
      </c>
      <c r="E38" s="16" t="s">
        <v>50</v>
      </c>
      <c r="F38" s="16" t="s">
        <v>53</v>
      </c>
      <c r="G38" s="10" t="s">
        <v>44</v>
      </c>
      <c r="H38" s="14">
        <v>6.0</v>
      </c>
    </row>
    <row r="39" ht="15.75" customHeight="1">
      <c r="B39" s="10">
        <v>31.0</v>
      </c>
      <c r="C39" s="11" t="s">
        <v>12</v>
      </c>
      <c r="D39" s="15">
        <v>2.0</v>
      </c>
      <c r="E39" s="16" t="s">
        <v>50</v>
      </c>
      <c r="F39" s="16" t="s">
        <v>54</v>
      </c>
      <c r="G39" s="10" t="s">
        <v>44</v>
      </c>
      <c r="H39" s="14">
        <v>6.0</v>
      </c>
    </row>
    <row r="40" ht="15.75" customHeight="1">
      <c r="B40" s="10">
        <v>32.0</v>
      </c>
      <c r="C40" s="11" t="s">
        <v>55</v>
      </c>
      <c r="D40" s="15">
        <v>2.0</v>
      </c>
      <c r="E40" s="17" t="s">
        <v>56</v>
      </c>
      <c r="F40" s="16" t="s">
        <v>57</v>
      </c>
      <c r="G40" s="10" t="s">
        <v>44</v>
      </c>
      <c r="H40" s="14">
        <v>7.0</v>
      </c>
    </row>
    <row r="41" ht="15.75" customHeight="1">
      <c r="B41" s="10">
        <v>33.0</v>
      </c>
      <c r="C41" s="11" t="s">
        <v>55</v>
      </c>
      <c r="D41" s="15">
        <v>2.0</v>
      </c>
      <c r="E41" s="17" t="s">
        <v>56</v>
      </c>
      <c r="F41" s="16" t="s">
        <v>58</v>
      </c>
      <c r="G41" s="10" t="s">
        <v>44</v>
      </c>
      <c r="H41" s="14">
        <v>7.0</v>
      </c>
    </row>
    <row r="42" ht="15.75" customHeight="1">
      <c r="B42" s="10">
        <v>34.0</v>
      </c>
      <c r="C42" s="11" t="s">
        <v>55</v>
      </c>
      <c r="D42" s="15">
        <v>2.0</v>
      </c>
      <c r="E42" s="17" t="s">
        <v>56</v>
      </c>
      <c r="F42" s="16" t="s">
        <v>59</v>
      </c>
      <c r="G42" s="10" t="s">
        <v>44</v>
      </c>
      <c r="H42" s="14">
        <v>7.0</v>
      </c>
    </row>
    <row r="43" ht="15.75" customHeight="1">
      <c r="B43" s="10">
        <v>35.0</v>
      </c>
      <c r="C43" s="11" t="s">
        <v>55</v>
      </c>
      <c r="D43" s="15">
        <v>2.0</v>
      </c>
      <c r="E43" s="17" t="s">
        <v>60</v>
      </c>
      <c r="F43" s="16" t="s">
        <v>61</v>
      </c>
      <c r="G43" s="10" t="s">
        <v>44</v>
      </c>
      <c r="H43" s="14">
        <v>7.0</v>
      </c>
    </row>
    <row r="44" ht="15.75" customHeight="1">
      <c r="B44" s="10">
        <v>36.0</v>
      </c>
      <c r="C44" s="11" t="s">
        <v>55</v>
      </c>
      <c r="D44" s="15">
        <v>2.0</v>
      </c>
      <c r="E44" s="17" t="s">
        <v>60</v>
      </c>
      <c r="F44" s="16" t="s">
        <v>62</v>
      </c>
      <c r="G44" s="10" t="s">
        <v>44</v>
      </c>
      <c r="H44" s="14">
        <v>7.0</v>
      </c>
    </row>
    <row r="45" ht="15.75" customHeight="1">
      <c r="B45" s="10">
        <v>37.0</v>
      </c>
      <c r="C45" s="11" t="s">
        <v>55</v>
      </c>
      <c r="D45" s="15">
        <v>2.0</v>
      </c>
      <c r="E45" s="17" t="s">
        <v>60</v>
      </c>
      <c r="F45" s="16" t="s">
        <v>63</v>
      </c>
      <c r="G45" s="10" t="s">
        <v>44</v>
      </c>
      <c r="H45" s="14">
        <v>7.0</v>
      </c>
    </row>
    <row r="46" ht="15.75" customHeight="1">
      <c r="B46" s="10">
        <v>38.0</v>
      </c>
      <c r="C46" s="11" t="s">
        <v>55</v>
      </c>
      <c r="D46" s="15">
        <v>2.0</v>
      </c>
      <c r="E46" s="17" t="s">
        <v>60</v>
      </c>
      <c r="F46" s="16" t="s">
        <v>64</v>
      </c>
      <c r="G46" s="10" t="s">
        <v>44</v>
      </c>
      <c r="H46" s="14">
        <v>7.0</v>
      </c>
    </row>
    <row r="47" ht="15.75" customHeight="1">
      <c r="B47" s="10">
        <v>39.0</v>
      </c>
      <c r="C47" s="11" t="s">
        <v>65</v>
      </c>
      <c r="D47" s="15">
        <v>3.0</v>
      </c>
      <c r="E47" s="16" t="s">
        <v>66</v>
      </c>
      <c r="F47" s="16" t="s">
        <v>67</v>
      </c>
      <c r="G47" s="10" t="s">
        <v>68</v>
      </c>
      <c r="H47" s="14">
        <v>8.0</v>
      </c>
    </row>
    <row r="48" ht="15.75" customHeight="1">
      <c r="B48" s="10">
        <v>40.0</v>
      </c>
      <c r="C48" s="11" t="s">
        <v>65</v>
      </c>
      <c r="D48" s="15">
        <v>3.0</v>
      </c>
      <c r="E48" s="16" t="s">
        <v>66</v>
      </c>
      <c r="F48" s="16" t="s">
        <v>69</v>
      </c>
      <c r="G48" s="10" t="s">
        <v>68</v>
      </c>
      <c r="H48" s="14">
        <v>8.0</v>
      </c>
    </row>
    <row r="49" ht="15.75" customHeight="1">
      <c r="B49" s="10">
        <v>41.0</v>
      </c>
      <c r="C49" s="11" t="s">
        <v>65</v>
      </c>
      <c r="D49" s="15">
        <v>3.0</v>
      </c>
      <c r="E49" s="16" t="s">
        <v>66</v>
      </c>
      <c r="F49" s="16" t="s">
        <v>70</v>
      </c>
      <c r="G49" s="10" t="s">
        <v>68</v>
      </c>
      <c r="H49" s="14">
        <v>8.0</v>
      </c>
    </row>
    <row r="50" ht="15.75" customHeight="1">
      <c r="B50" s="10">
        <v>42.0</v>
      </c>
      <c r="C50" s="11" t="s">
        <v>65</v>
      </c>
      <c r="D50" s="15">
        <v>3.0</v>
      </c>
      <c r="E50" s="16" t="s">
        <v>71</v>
      </c>
      <c r="F50" s="16" t="s">
        <v>72</v>
      </c>
      <c r="G50" s="10" t="s">
        <v>68</v>
      </c>
      <c r="H50" s="14">
        <v>8.0</v>
      </c>
    </row>
    <row r="51" ht="15.75" customHeight="1">
      <c r="B51" s="10">
        <v>43.0</v>
      </c>
      <c r="C51" s="11" t="s">
        <v>65</v>
      </c>
      <c r="D51" s="15">
        <v>3.0</v>
      </c>
      <c r="E51" s="16" t="s">
        <v>71</v>
      </c>
      <c r="F51" s="16" t="s">
        <v>73</v>
      </c>
      <c r="G51" s="10" t="s">
        <v>68</v>
      </c>
      <c r="H51" s="14">
        <v>8.0</v>
      </c>
    </row>
    <row r="52" ht="15.75" customHeight="1">
      <c r="B52" s="10">
        <v>44.0</v>
      </c>
      <c r="C52" s="11" t="s">
        <v>65</v>
      </c>
      <c r="D52" s="15">
        <v>3.0</v>
      </c>
      <c r="E52" s="16" t="s">
        <v>71</v>
      </c>
      <c r="F52" s="16" t="s">
        <v>74</v>
      </c>
      <c r="G52" s="10" t="s">
        <v>68</v>
      </c>
      <c r="H52" s="14">
        <v>8.0</v>
      </c>
    </row>
    <row r="53" ht="15.75" customHeight="1">
      <c r="B53" s="10">
        <v>45.0</v>
      </c>
      <c r="C53" s="11" t="s">
        <v>65</v>
      </c>
      <c r="D53" s="15">
        <v>3.0</v>
      </c>
      <c r="E53" s="16" t="s">
        <v>75</v>
      </c>
      <c r="F53" s="16" t="s">
        <v>76</v>
      </c>
      <c r="G53" s="10" t="s">
        <v>68</v>
      </c>
      <c r="H53" s="14">
        <v>9.0</v>
      </c>
    </row>
    <row r="54" ht="15.75" customHeight="1">
      <c r="B54" s="10">
        <v>46.0</v>
      </c>
      <c r="C54" s="11" t="s">
        <v>55</v>
      </c>
      <c r="D54" s="15">
        <v>3.0</v>
      </c>
      <c r="E54" s="16" t="s">
        <v>75</v>
      </c>
      <c r="F54" s="16" t="s">
        <v>77</v>
      </c>
      <c r="G54" s="10" t="s">
        <v>68</v>
      </c>
      <c r="H54" s="14">
        <v>9.0</v>
      </c>
    </row>
    <row r="55" ht="15.75" customHeight="1">
      <c r="B55" s="10">
        <v>47.0</v>
      </c>
      <c r="C55" s="11" t="s">
        <v>65</v>
      </c>
      <c r="D55" s="15">
        <v>3.0</v>
      </c>
      <c r="E55" s="16" t="s">
        <v>75</v>
      </c>
      <c r="F55" s="16" t="s">
        <v>78</v>
      </c>
      <c r="G55" s="10" t="s">
        <v>68</v>
      </c>
      <c r="H55" s="14">
        <v>9.0</v>
      </c>
    </row>
    <row r="56" ht="15.75" customHeight="1">
      <c r="B56" s="10">
        <v>48.0</v>
      </c>
      <c r="C56" s="11" t="s">
        <v>55</v>
      </c>
      <c r="D56" s="15">
        <v>3.0</v>
      </c>
      <c r="E56" s="16" t="s">
        <v>79</v>
      </c>
      <c r="F56" s="16" t="s">
        <v>80</v>
      </c>
      <c r="G56" s="10" t="s">
        <v>68</v>
      </c>
      <c r="H56" s="14">
        <v>9.0</v>
      </c>
    </row>
    <row r="57" ht="15.75" customHeight="1">
      <c r="B57" s="10">
        <v>49.0</v>
      </c>
      <c r="C57" s="11" t="s">
        <v>65</v>
      </c>
      <c r="D57" s="15">
        <v>3.0</v>
      </c>
      <c r="E57" s="16" t="s">
        <v>79</v>
      </c>
      <c r="F57" s="16" t="s">
        <v>81</v>
      </c>
      <c r="G57" s="10" t="s">
        <v>82</v>
      </c>
      <c r="H57" s="14">
        <v>11.0</v>
      </c>
    </row>
    <row r="58" ht="15.75" customHeight="1">
      <c r="B58" s="10">
        <v>50.0</v>
      </c>
      <c r="C58" s="11" t="s">
        <v>83</v>
      </c>
      <c r="D58" s="15">
        <v>3.0</v>
      </c>
      <c r="E58" s="16" t="s">
        <v>79</v>
      </c>
      <c r="F58" s="16" t="s">
        <v>84</v>
      </c>
      <c r="G58" s="10" t="s">
        <v>82</v>
      </c>
      <c r="H58" s="14">
        <v>11.0</v>
      </c>
    </row>
    <row r="59" ht="15.75" customHeight="1">
      <c r="B59" s="10">
        <v>51.0</v>
      </c>
      <c r="C59" s="11" t="s">
        <v>83</v>
      </c>
      <c r="D59" s="15">
        <v>4.0</v>
      </c>
      <c r="E59" s="16" t="s">
        <v>85</v>
      </c>
      <c r="F59" s="16" t="s">
        <v>86</v>
      </c>
      <c r="G59" s="10" t="s">
        <v>82</v>
      </c>
      <c r="H59" s="14">
        <v>11.0</v>
      </c>
    </row>
    <row r="60" ht="15.75" customHeight="1">
      <c r="B60" s="10">
        <v>52.0</v>
      </c>
      <c r="C60" s="11" t="s">
        <v>83</v>
      </c>
      <c r="D60" s="15">
        <v>4.0</v>
      </c>
      <c r="E60" s="16" t="s">
        <v>85</v>
      </c>
      <c r="F60" s="16" t="s">
        <v>87</v>
      </c>
      <c r="G60" s="10" t="s">
        <v>82</v>
      </c>
      <c r="H60" s="14">
        <v>11.0</v>
      </c>
    </row>
    <row r="61" ht="15.75" customHeight="1">
      <c r="B61" s="10">
        <v>53.0</v>
      </c>
      <c r="C61" s="11" t="s">
        <v>83</v>
      </c>
      <c r="D61" s="15">
        <v>4.0</v>
      </c>
      <c r="E61" s="16" t="s">
        <v>85</v>
      </c>
      <c r="F61" s="16" t="s">
        <v>88</v>
      </c>
      <c r="G61" s="10" t="s">
        <v>82</v>
      </c>
      <c r="H61" s="14">
        <v>11.0</v>
      </c>
    </row>
    <row r="62" ht="15.75" customHeight="1">
      <c r="B62" s="10">
        <v>54.0</v>
      </c>
      <c r="C62" s="11" t="s">
        <v>83</v>
      </c>
      <c r="D62" s="15">
        <v>4.0</v>
      </c>
      <c r="E62" s="16" t="s">
        <v>85</v>
      </c>
      <c r="F62" s="16" t="s">
        <v>89</v>
      </c>
      <c r="G62" s="10" t="s">
        <v>82</v>
      </c>
      <c r="H62" s="14">
        <v>11.0</v>
      </c>
    </row>
    <row r="63" ht="15.75" customHeight="1">
      <c r="B63" s="10">
        <v>55.0</v>
      </c>
      <c r="C63" s="11" t="s">
        <v>83</v>
      </c>
      <c r="D63" s="15">
        <v>4.0</v>
      </c>
      <c r="E63" s="16" t="s">
        <v>85</v>
      </c>
      <c r="F63" s="16" t="s">
        <v>90</v>
      </c>
      <c r="G63" s="10" t="s">
        <v>82</v>
      </c>
      <c r="H63" s="14">
        <v>11.0</v>
      </c>
    </row>
    <row r="64" ht="15.75" customHeight="1">
      <c r="B64" s="10">
        <v>56.0</v>
      </c>
      <c r="C64" s="11" t="s">
        <v>83</v>
      </c>
      <c r="D64" s="15">
        <v>4.0</v>
      </c>
      <c r="E64" s="16" t="s">
        <v>91</v>
      </c>
      <c r="F64" s="16" t="s">
        <v>92</v>
      </c>
      <c r="G64" s="10" t="s">
        <v>82</v>
      </c>
      <c r="H64" s="14">
        <v>11.0</v>
      </c>
    </row>
    <row r="65" ht="15.75" customHeight="1">
      <c r="B65" s="10">
        <v>57.0</v>
      </c>
      <c r="C65" s="11" t="s">
        <v>83</v>
      </c>
      <c r="D65" s="15">
        <v>4.0</v>
      </c>
      <c r="E65" s="16" t="s">
        <v>91</v>
      </c>
      <c r="F65" s="16" t="s">
        <v>93</v>
      </c>
      <c r="G65" s="10" t="s">
        <v>82</v>
      </c>
      <c r="H65" s="14">
        <v>11.0</v>
      </c>
    </row>
    <row r="66" ht="15.75" customHeight="1">
      <c r="C66" s="18"/>
      <c r="H66" s="5"/>
    </row>
    <row r="67" ht="15.75" customHeight="1">
      <c r="C67" s="18"/>
      <c r="H67" s="5"/>
    </row>
    <row r="68" ht="15.75" customHeight="1">
      <c r="C68" s="18"/>
      <c r="H68" s="5"/>
    </row>
    <row r="69" ht="15.75" customHeight="1">
      <c r="C69" s="18"/>
      <c r="H69" s="5"/>
    </row>
    <row r="70" ht="15.75" customHeight="1">
      <c r="C70" s="18"/>
      <c r="H70" s="5"/>
    </row>
    <row r="71" ht="15.75" customHeight="1">
      <c r="C71" s="18"/>
      <c r="H71" s="5"/>
    </row>
    <row r="72" ht="15.75" customHeight="1">
      <c r="C72" s="18"/>
      <c r="H72" s="5"/>
    </row>
    <row r="73" ht="15.75" customHeight="1">
      <c r="C73" s="18"/>
      <c r="H73" s="5"/>
    </row>
    <row r="74" ht="15.75" customHeight="1">
      <c r="C74" s="18"/>
      <c r="H74" s="5"/>
    </row>
    <row r="75" ht="15.75" customHeight="1">
      <c r="C75" s="18"/>
      <c r="H75" s="5"/>
    </row>
    <row r="76" ht="15.75" customHeight="1">
      <c r="C76" s="18"/>
      <c r="H76" s="5"/>
    </row>
    <row r="77" ht="15.75" customHeight="1">
      <c r="C77" s="18"/>
      <c r="H77" s="5"/>
    </row>
    <row r="78" ht="15.75" customHeight="1">
      <c r="C78" s="18"/>
      <c r="H78" s="5"/>
    </row>
    <row r="79" ht="15.75" customHeight="1">
      <c r="C79" s="18"/>
      <c r="H79" s="5"/>
    </row>
    <row r="80" ht="15.75" customHeight="1">
      <c r="C80" s="18"/>
      <c r="H80" s="5"/>
    </row>
    <row r="81" ht="15.75" customHeight="1">
      <c r="C81" s="18"/>
      <c r="H81" s="5"/>
    </row>
    <row r="82" ht="15.75" customHeight="1">
      <c r="C82" s="18"/>
      <c r="H82" s="5"/>
    </row>
    <row r="83" ht="15.75" customHeight="1">
      <c r="C83" s="18"/>
      <c r="H83" s="5"/>
    </row>
    <row r="84" ht="15.75" customHeight="1">
      <c r="C84" s="18"/>
      <c r="H84" s="5"/>
    </row>
    <row r="85" ht="15.75" customHeight="1">
      <c r="C85" s="18"/>
      <c r="H85" s="5"/>
    </row>
    <row r="86" ht="15.75" customHeight="1">
      <c r="C86" s="18"/>
      <c r="H86" s="5"/>
    </row>
    <row r="87" ht="15.75" customHeight="1">
      <c r="C87" s="18"/>
      <c r="H87" s="5"/>
    </row>
    <row r="88" ht="15.75" customHeight="1">
      <c r="C88" s="18"/>
      <c r="H88" s="5"/>
    </row>
    <row r="89" ht="15.75" customHeight="1">
      <c r="C89" s="18"/>
      <c r="H89" s="5"/>
    </row>
    <row r="90" ht="15.75" customHeight="1">
      <c r="C90" s="18"/>
      <c r="H90" s="5"/>
    </row>
    <row r="91" ht="15.75" customHeight="1">
      <c r="C91" s="18"/>
      <c r="H91" s="5"/>
    </row>
    <row r="92" ht="15.75" customHeight="1">
      <c r="C92" s="18"/>
      <c r="H92" s="5"/>
    </row>
    <row r="93" ht="15.75" customHeight="1">
      <c r="C93" s="18"/>
      <c r="H93" s="5"/>
    </row>
    <row r="94" ht="15.75" customHeight="1">
      <c r="C94" s="18"/>
      <c r="H94" s="5"/>
    </row>
    <row r="95" ht="15.75" customHeight="1">
      <c r="C95" s="18"/>
      <c r="H95" s="5"/>
    </row>
    <row r="96" ht="15.75" customHeight="1">
      <c r="C96" s="18"/>
      <c r="H96" s="5"/>
    </row>
    <row r="97" ht="15.75" customHeight="1">
      <c r="C97" s="18"/>
      <c r="H97" s="5"/>
    </row>
    <row r="98" ht="15.75" customHeight="1">
      <c r="C98" s="18"/>
      <c r="H98" s="5"/>
    </row>
    <row r="99" ht="15.75" customHeight="1">
      <c r="C99" s="18"/>
      <c r="H99" s="5"/>
    </row>
    <row r="100" ht="15.75" customHeight="1">
      <c r="C100" s="18"/>
      <c r="H100" s="5"/>
    </row>
    <row r="101" ht="15.75" customHeight="1">
      <c r="C101" s="18"/>
      <c r="H101" s="5"/>
    </row>
    <row r="102" ht="15.75" customHeight="1">
      <c r="C102" s="18"/>
      <c r="H102" s="5"/>
    </row>
    <row r="103" ht="15.75" customHeight="1">
      <c r="C103" s="18"/>
    </row>
    <row r="104" ht="15.75" customHeight="1">
      <c r="C104" s="18"/>
    </row>
    <row r="105" ht="15.75" customHeight="1">
      <c r="C105" s="18"/>
    </row>
    <row r="106" ht="15.75" customHeight="1">
      <c r="C106" s="18"/>
    </row>
    <row r="107" ht="15.75" customHeight="1">
      <c r="C107" s="18"/>
    </row>
    <row r="108" ht="15.75" customHeight="1">
      <c r="C108" s="18"/>
    </row>
    <row r="109" ht="15.75" customHeight="1">
      <c r="C109" s="18"/>
    </row>
    <row r="110" ht="15.75" customHeight="1">
      <c r="C110" s="18"/>
    </row>
    <row r="111" ht="15.75" customHeight="1">
      <c r="C111" s="18"/>
    </row>
    <row r="112" ht="15.75" customHeight="1">
      <c r="C112" s="18"/>
    </row>
    <row r="113" ht="15.75" customHeight="1">
      <c r="C113" s="18"/>
    </row>
    <row r="114" ht="15.75" customHeight="1">
      <c r="C114" s="18"/>
    </row>
    <row r="115" ht="15.75" customHeight="1">
      <c r="C115" s="18"/>
    </row>
    <row r="116" ht="15.75" customHeight="1">
      <c r="C116" s="18"/>
    </row>
    <row r="117" ht="15.75" customHeight="1">
      <c r="C117" s="18"/>
    </row>
    <row r="118" ht="15.75" customHeight="1">
      <c r="C118" s="18"/>
    </row>
    <row r="119" ht="15.75" customHeight="1">
      <c r="C119" s="18"/>
    </row>
    <row r="120" ht="15.75" customHeight="1">
      <c r="C120" s="18"/>
    </row>
    <row r="121" ht="15.75" customHeight="1">
      <c r="C121" s="18"/>
    </row>
    <row r="122" ht="15.75" customHeight="1">
      <c r="C122" s="18"/>
    </row>
    <row r="123" ht="15.75" customHeight="1">
      <c r="C123" s="18"/>
    </row>
    <row r="124" ht="15.75" customHeight="1">
      <c r="C124" s="18"/>
    </row>
    <row r="125" ht="15.75" customHeight="1">
      <c r="C125" s="18"/>
    </row>
    <row r="126" ht="15.75" customHeight="1">
      <c r="C126" s="18"/>
    </row>
    <row r="127" ht="15.75" customHeight="1">
      <c r="C127" s="18"/>
    </row>
    <row r="128" ht="15.75" customHeight="1">
      <c r="C128" s="18"/>
    </row>
    <row r="129" ht="15.75" customHeight="1">
      <c r="C129" s="18"/>
    </row>
    <row r="130" ht="15.75" customHeight="1">
      <c r="C130" s="18"/>
    </row>
    <row r="131" ht="15.75" customHeight="1">
      <c r="C131" s="18"/>
    </row>
    <row r="132" ht="15.75" customHeight="1">
      <c r="C132" s="18"/>
    </row>
    <row r="133" ht="15.75" customHeight="1">
      <c r="C133" s="18"/>
    </row>
    <row r="134" ht="15.75" customHeight="1">
      <c r="C134" s="18"/>
    </row>
    <row r="135" ht="15.75" customHeight="1">
      <c r="C135" s="18"/>
    </row>
    <row r="136" ht="15.75" customHeight="1">
      <c r="C136" s="18"/>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66:C102">
      <formula1>METADATA!$I$17:$I$37</formula1>
    </dataValidation>
    <dataValidation type="list" allowBlank="1" showErrorMessage="1" sqref="C9:C65">
      <formula1>#REF!</formula1>
    </dataValidation>
    <dataValidation type="list" allowBlank="1" showErrorMessage="1" sqref="C4">
      <formula1>METADATA!$A$2:$A$80</formula1>
    </dataValidation>
    <dataValidation type="list" allowBlank="1" showErrorMessage="1" sqref="H16:H102">
      <formula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2" t="s">
        <v>0</v>
      </c>
    </row>
    <row r="3" ht="15.75" customHeight="1"/>
    <row r="4" ht="15.75" customHeight="1">
      <c r="B4" s="19" t="s">
        <v>1</v>
      </c>
      <c r="C4" s="20" t="str">
        <f>'Diseño'!C4</f>
        <v>781 - Organización de Lenguajes y Compiladores 2</v>
      </c>
      <c r="D4" s="21"/>
      <c r="E4" s="21"/>
      <c r="F4" s="21"/>
      <c r="G4" s="22"/>
    </row>
    <row r="5" ht="15.75" customHeight="1">
      <c r="B5" s="23" t="s">
        <v>11</v>
      </c>
      <c r="C5" s="20">
        <v>1.0</v>
      </c>
      <c r="D5" s="21"/>
      <c r="E5" s="21"/>
      <c r="F5" s="21"/>
      <c r="G5" s="22"/>
    </row>
    <row r="6" ht="15.75" customHeight="1">
      <c r="B6" s="23" t="s">
        <v>94</v>
      </c>
      <c r="C6" s="20">
        <f>B15+B22+B29+B41+B47+C48</f>
        <v>100</v>
      </c>
      <c r="D6" s="21"/>
      <c r="E6" s="21"/>
      <c r="F6" s="21"/>
      <c r="G6" s="22"/>
    </row>
    <row r="7" ht="15.75" customHeight="1"/>
    <row r="8" ht="15.75" customHeight="1"/>
    <row r="9" ht="15.75" customHeight="1">
      <c r="A9" s="24" t="s">
        <v>95</v>
      </c>
      <c r="G9" s="25" t="s">
        <v>96</v>
      </c>
      <c r="H9" s="26">
        <f>B15</f>
        <v>15</v>
      </c>
    </row>
    <row r="10" ht="15.75" customHeight="1">
      <c r="G10" s="27" t="s">
        <v>97</v>
      </c>
    </row>
    <row r="11" ht="15.75" customHeight="1">
      <c r="A11" s="28" t="s">
        <v>98</v>
      </c>
      <c r="B11" s="29" t="s">
        <v>99</v>
      </c>
      <c r="C11" s="21"/>
      <c r="D11" s="21"/>
      <c r="E11" s="21"/>
      <c r="F11" s="21"/>
      <c r="G11" s="21"/>
      <c r="H11" s="22"/>
    </row>
    <row r="12" ht="15.75" customHeight="1">
      <c r="A12" s="28" t="s">
        <v>100</v>
      </c>
      <c r="B12" s="29" t="s">
        <v>101</v>
      </c>
      <c r="C12" s="21"/>
      <c r="D12" s="21"/>
      <c r="E12" s="21"/>
      <c r="F12" s="21"/>
      <c r="G12" s="21"/>
      <c r="H12" s="22"/>
      <c r="K12" s="30" t="s">
        <v>102</v>
      </c>
    </row>
    <row r="13" ht="15.75" customHeight="1">
      <c r="A13" s="31" t="s">
        <v>103</v>
      </c>
      <c r="B13" s="32" t="s">
        <v>104</v>
      </c>
      <c r="C13" s="21"/>
      <c r="D13" s="21"/>
      <c r="E13" s="21"/>
      <c r="F13" s="21"/>
      <c r="G13" s="21"/>
      <c r="H13" s="22"/>
    </row>
    <row r="14" ht="15.75" customHeight="1">
      <c r="A14" s="31" t="s">
        <v>105</v>
      </c>
      <c r="B14" s="32" t="s">
        <v>106</v>
      </c>
      <c r="C14" s="21"/>
      <c r="D14" s="21"/>
      <c r="E14" s="21"/>
      <c r="F14" s="21"/>
      <c r="G14" s="21"/>
      <c r="H14" s="22"/>
    </row>
    <row r="15" ht="15.75" customHeight="1">
      <c r="A15" s="33" t="s">
        <v>107</v>
      </c>
      <c r="B15" s="32">
        <v>15.0</v>
      </c>
      <c r="C15" s="21"/>
      <c r="D15" s="21"/>
      <c r="E15" s="21"/>
      <c r="F15" s="21"/>
      <c r="G15" s="21"/>
      <c r="H15" s="22"/>
    </row>
    <row r="16" ht="15.75" customHeight="1"/>
    <row r="17" ht="15.75" customHeight="1"/>
    <row r="18" ht="15.75" customHeight="1">
      <c r="A18" s="34" t="s">
        <v>108</v>
      </c>
      <c r="G18" s="25" t="s">
        <v>96</v>
      </c>
      <c r="H18" s="26">
        <f>B22</f>
        <v>20</v>
      </c>
    </row>
    <row r="19" ht="15.75" customHeight="1">
      <c r="G19" s="27" t="s">
        <v>109</v>
      </c>
    </row>
    <row r="20" ht="15.75" customHeight="1">
      <c r="A20" s="28" t="s">
        <v>110</v>
      </c>
      <c r="B20" s="29" t="s">
        <v>111</v>
      </c>
      <c r="C20" s="21"/>
      <c r="D20" s="21"/>
      <c r="E20" s="21"/>
      <c r="F20" s="21"/>
      <c r="G20" s="21"/>
      <c r="H20" s="22"/>
      <c r="K20" s="30" t="s">
        <v>112</v>
      </c>
    </row>
    <row r="21" ht="15.75" customHeight="1">
      <c r="A21" s="28" t="s">
        <v>113</v>
      </c>
      <c r="B21" s="29" t="s">
        <v>114</v>
      </c>
      <c r="C21" s="21"/>
      <c r="D21" s="21"/>
      <c r="E21" s="21"/>
      <c r="F21" s="21"/>
      <c r="G21" s="21"/>
      <c r="H21" s="22"/>
    </row>
    <row r="22" ht="15.75" customHeight="1">
      <c r="A22" s="33" t="s">
        <v>107</v>
      </c>
      <c r="B22" s="32">
        <v>20.0</v>
      </c>
      <c r="C22" s="21"/>
      <c r="D22" s="21"/>
      <c r="E22" s="21"/>
      <c r="F22" s="21"/>
      <c r="G22" s="21"/>
      <c r="H22" s="22"/>
    </row>
    <row r="23" ht="15.75" customHeight="1"/>
    <row r="24" ht="15.75" customHeight="1"/>
    <row r="25" ht="15.75" customHeight="1">
      <c r="A25" s="34" t="s">
        <v>115</v>
      </c>
      <c r="G25" s="35" t="s">
        <v>96</v>
      </c>
      <c r="H25" s="26">
        <f>B29</f>
        <v>20</v>
      </c>
    </row>
    <row r="26" ht="15.75" customHeight="1">
      <c r="G26" s="27" t="s">
        <v>116</v>
      </c>
      <c r="H26" s="27"/>
      <c r="I26" s="27"/>
      <c r="J26" s="27"/>
    </row>
    <row r="27" ht="39.75" customHeight="1">
      <c r="A27" s="28" t="s">
        <v>117</v>
      </c>
      <c r="B27" s="29" t="s">
        <v>118</v>
      </c>
      <c r="C27" s="21"/>
      <c r="D27" s="21"/>
      <c r="E27" s="21"/>
      <c r="F27" s="21"/>
      <c r="G27" s="21"/>
      <c r="H27" s="22"/>
      <c r="K27" s="36" t="s">
        <v>119</v>
      </c>
    </row>
    <row r="28" ht="69.75" customHeight="1">
      <c r="A28" s="28" t="s">
        <v>120</v>
      </c>
      <c r="B28" s="29" t="s">
        <v>121</v>
      </c>
      <c r="C28" s="21"/>
      <c r="D28" s="21"/>
      <c r="E28" s="21"/>
      <c r="F28" s="21"/>
      <c r="G28" s="21"/>
      <c r="H28" s="22"/>
    </row>
    <row r="29" ht="15.75" customHeight="1">
      <c r="A29" s="33" t="s">
        <v>107</v>
      </c>
      <c r="B29" s="32">
        <v>20.0</v>
      </c>
      <c r="C29" s="21"/>
      <c r="D29" s="21"/>
      <c r="E29" s="21"/>
      <c r="F29" s="21"/>
      <c r="G29" s="21"/>
      <c r="H29" s="22"/>
    </row>
    <row r="30" ht="15.75" customHeight="1"/>
    <row r="31" ht="15.75" customHeight="1"/>
    <row r="32" ht="15.75" customHeight="1">
      <c r="A32" s="37" t="s">
        <v>122</v>
      </c>
      <c r="G32" s="35" t="s">
        <v>96</v>
      </c>
      <c r="H32" s="26">
        <f>B36</f>
        <v>5</v>
      </c>
    </row>
    <row r="33" ht="15.75" customHeight="1">
      <c r="A33" s="6" t="s">
        <v>123</v>
      </c>
      <c r="G33" s="6" t="s">
        <v>124</v>
      </c>
      <c r="H33" s="38"/>
      <c r="I33" s="38"/>
    </row>
    <row r="34" ht="15.75" customHeight="1">
      <c r="A34" s="28" t="s">
        <v>125</v>
      </c>
      <c r="B34" s="29" t="s">
        <v>126</v>
      </c>
      <c r="C34" s="21"/>
      <c r="D34" s="21"/>
      <c r="E34" s="21"/>
      <c r="F34" s="21"/>
      <c r="G34" s="21"/>
      <c r="H34" s="22"/>
      <c r="K34" s="39" t="s">
        <v>127</v>
      </c>
    </row>
    <row r="35" ht="15.75" customHeight="1">
      <c r="A35" s="28" t="s">
        <v>128</v>
      </c>
      <c r="B35" s="29" t="s">
        <v>129</v>
      </c>
      <c r="C35" s="21"/>
      <c r="D35" s="21"/>
      <c r="E35" s="21"/>
      <c r="F35" s="21"/>
      <c r="G35" s="21"/>
      <c r="H35" s="22"/>
    </row>
    <row r="36" ht="15.75" customHeight="1">
      <c r="A36" s="33" t="s">
        <v>107</v>
      </c>
      <c r="B36" s="32">
        <v>5.0</v>
      </c>
      <c r="C36" s="21"/>
      <c r="D36" s="21"/>
      <c r="E36" s="21"/>
      <c r="F36" s="21"/>
      <c r="G36" s="21"/>
      <c r="H36" s="22"/>
    </row>
    <row r="37" ht="15.75" customHeight="1"/>
    <row r="38" ht="15.75" customHeight="1"/>
    <row r="39" ht="15.75" customHeight="1">
      <c r="A39" s="34" t="s">
        <v>130</v>
      </c>
      <c r="G39" s="35" t="s">
        <v>96</v>
      </c>
      <c r="H39" s="26">
        <f>B41</f>
        <v>30</v>
      </c>
    </row>
    <row r="40" ht="15.75" customHeight="1">
      <c r="G40" s="27" t="s">
        <v>131</v>
      </c>
    </row>
    <row r="41" ht="15.75" customHeight="1">
      <c r="A41" s="33" t="s">
        <v>107</v>
      </c>
      <c r="B41" s="32">
        <v>30.0</v>
      </c>
      <c r="C41" s="21"/>
      <c r="D41" s="21"/>
      <c r="E41" s="21"/>
      <c r="F41" s="21"/>
      <c r="G41" s="21"/>
      <c r="H41" s="22"/>
    </row>
    <row r="42" ht="15.75" customHeight="1"/>
    <row r="43" ht="15.75" customHeight="1"/>
    <row r="44" ht="15.75" customHeight="1">
      <c r="A44" s="34" t="s">
        <v>132</v>
      </c>
      <c r="G44" s="35" t="s">
        <v>96</v>
      </c>
      <c r="H44" s="26">
        <f>B47</f>
        <v>15</v>
      </c>
    </row>
    <row r="45" ht="15.75" customHeight="1">
      <c r="G45" s="27" t="s">
        <v>97</v>
      </c>
    </row>
    <row r="46" ht="15.75" customHeight="1">
      <c r="A46" s="28" t="s">
        <v>133</v>
      </c>
      <c r="B46" s="29" t="s">
        <v>134</v>
      </c>
      <c r="C46" s="21"/>
      <c r="D46" s="21"/>
      <c r="E46" s="21"/>
      <c r="F46" s="21"/>
      <c r="G46" s="21"/>
      <c r="H46" s="22"/>
    </row>
    <row r="47" ht="15.75" customHeight="1">
      <c r="A47" s="33" t="s">
        <v>107</v>
      </c>
      <c r="B47" s="32">
        <v>15.0</v>
      </c>
      <c r="C47" s="21"/>
      <c r="D47" s="21"/>
      <c r="E47" s="21"/>
      <c r="F47" s="21"/>
      <c r="G47" s="21"/>
      <c r="H47" s="22"/>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B20:H20"/>
    <mergeCell ref="K20:M21"/>
    <mergeCell ref="B21:H21"/>
    <mergeCell ref="B22:H22"/>
    <mergeCell ref="A25:F25"/>
    <mergeCell ref="B27:H27"/>
    <mergeCell ref="K27:M29"/>
    <mergeCell ref="B36:H36"/>
    <mergeCell ref="A39:F39"/>
    <mergeCell ref="G40:I40"/>
    <mergeCell ref="B41:H41"/>
    <mergeCell ref="A44:F44"/>
    <mergeCell ref="G45:I45"/>
    <mergeCell ref="B46:H46"/>
    <mergeCell ref="B47:H47"/>
    <mergeCell ref="B28:H28"/>
    <mergeCell ref="B29:H29"/>
    <mergeCell ref="A32:F32"/>
    <mergeCell ref="A33:F33"/>
    <mergeCell ref="B34:H34"/>
    <mergeCell ref="K34:M36"/>
    <mergeCell ref="B35:H35"/>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2.0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1"/>
      <c r="E8" s="21"/>
      <c r="F8" s="21"/>
      <c r="G8" s="22"/>
      <c r="I8" s="5"/>
      <c r="J8" s="5"/>
      <c r="K8" s="5"/>
    </row>
    <row r="9" ht="15.75" customHeight="1"/>
    <row r="10" ht="15.75" customHeight="1">
      <c r="A10" s="42" t="s">
        <v>138</v>
      </c>
      <c r="G10" s="35" t="s">
        <v>96</v>
      </c>
      <c r="H10" s="43">
        <v>5.0</v>
      </c>
    </row>
    <row r="11" ht="15.75" customHeight="1">
      <c r="G11" s="27" t="s">
        <v>139</v>
      </c>
    </row>
    <row r="12" ht="15.75" customHeight="1">
      <c r="A12" s="31" t="s">
        <v>140</v>
      </c>
      <c r="B12" s="32" t="s">
        <v>141</v>
      </c>
      <c r="C12" s="21"/>
      <c r="D12" s="21"/>
      <c r="E12" s="21"/>
      <c r="F12" s="21"/>
      <c r="G12" s="21"/>
      <c r="H12" s="22"/>
    </row>
    <row r="13" ht="15.75" customHeight="1">
      <c r="A13" s="33" t="s">
        <v>96</v>
      </c>
      <c r="B13" s="20"/>
      <c r="C13" s="21"/>
      <c r="D13" s="21"/>
      <c r="E13" s="21"/>
      <c r="F13" s="21"/>
      <c r="G13" s="21"/>
      <c r="H13" s="22"/>
    </row>
    <row r="14" ht="15.75" customHeight="1">
      <c r="A14" s="44" t="s">
        <v>142</v>
      </c>
      <c r="B14" s="21"/>
      <c r="C14" s="21"/>
      <c r="D14" s="21"/>
      <c r="E14" s="21"/>
      <c r="F14" s="21"/>
      <c r="G14" s="21"/>
      <c r="H14" s="22"/>
    </row>
    <row r="15" ht="15.75" customHeight="1">
      <c r="A15" s="45" t="s">
        <v>143</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45" t="s">
        <v>145</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51">
        <f>D39+D40+D41+D42</f>
        <v>60</v>
      </c>
      <c r="I21" s="5"/>
    </row>
    <row r="22" ht="15.75" customHeight="1">
      <c r="G22" s="27" t="s">
        <v>147</v>
      </c>
    </row>
    <row r="23" ht="15.75" customHeight="1">
      <c r="A23" s="31" t="s">
        <v>148</v>
      </c>
      <c r="B23" s="32" t="s">
        <v>12</v>
      </c>
      <c r="C23" s="21"/>
      <c r="D23" s="21"/>
      <c r="E23" s="21"/>
      <c r="F23" s="21"/>
      <c r="G23" s="21"/>
      <c r="H23" s="22"/>
    </row>
    <row r="24" ht="15.75" customHeight="1">
      <c r="A24" s="31" t="s">
        <v>148</v>
      </c>
      <c r="B24" s="32" t="s">
        <v>21</v>
      </c>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IFERROR(__xludf.DUMMYFUNCTION("FILTER('Diseño'!D:D,'Diseño'!H:H=$C$5)"),1.0)</f>
        <v>1</v>
      </c>
      <c r="C28" s="22"/>
      <c r="D28" s="32" t="s">
        <v>13</v>
      </c>
      <c r="E28" s="22"/>
      <c r="F28" s="20" t="s">
        <v>14</v>
      </c>
      <c r="G28" s="21"/>
      <c r="H28" s="22"/>
    </row>
    <row r="29" ht="15.75" customHeight="1">
      <c r="A29" s="23">
        <v>2.0</v>
      </c>
      <c r="B29" s="20">
        <f>IFERROR(__xludf.DUMMYFUNCTION("""COMPUTED_VALUE"""),1.0)</f>
        <v>1</v>
      </c>
      <c r="C29" s="22"/>
      <c r="D29" s="32" t="s">
        <v>13</v>
      </c>
      <c r="E29" s="22"/>
      <c r="F29" s="55" t="s">
        <v>16</v>
      </c>
      <c r="G29" s="21"/>
      <c r="H29" s="22"/>
    </row>
    <row r="30" ht="15.75" customHeight="1">
      <c r="A30" s="23">
        <v>3.0</v>
      </c>
      <c r="B30" s="20">
        <f>IFERROR(__xludf.DUMMYFUNCTION("""COMPUTED_VALUE"""),1.0)</f>
        <v>1</v>
      </c>
      <c r="C30" s="22"/>
      <c r="D30" s="32" t="s">
        <v>13</v>
      </c>
      <c r="E30" s="22"/>
      <c r="F30" s="55" t="s">
        <v>18</v>
      </c>
      <c r="G30" s="21"/>
      <c r="H30" s="22"/>
    </row>
    <row r="31" ht="15.75" customHeight="1">
      <c r="A31" s="23">
        <v>4.0</v>
      </c>
      <c r="B31" s="20">
        <f>IFERROR(__xludf.DUMMYFUNCTION("""COMPUTED_VALUE"""),1.0)</f>
        <v>1</v>
      </c>
      <c r="C31" s="22"/>
      <c r="D31" s="32" t="s">
        <v>13</v>
      </c>
      <c r="E31" s="22"/>
      <c r="F31" s="55" t="s">
        <v>20</v>
      </c>
      <c r="G31" s="21"/>
      <c r="H31" s="22"/>
    </row>
    <row r="32" ht="15.75" customHeight="1">
      <c r="A32" s="23">
        <v>5.0</v>
      </c>
      <c r="B32" s="20">
        <f>IFERROR(__xludf.DUMMYFUNCTION("""COMPUTED_VALUE"""),1.0)</f>
        <v>1</v>
      </c>
      <c r="C32" s="22"/>
      <c r="D32" s="32" t="s">
        <v>13</v>
      </c>
      <c r="E32" s="22"/>
      <c r="F32" s="55" t="s">
        <v>22</v>
      </c>
      <c r="G32" s="21"/>
      <c r="H32" s="22"/>
    </row>
    <row r="33" ht="15.75" customHeight="1">
      <c r="A33" s="23">
        <v>6.0</v>
      </c>
      <c r="B33" s="32">
        <v>1.0</v>
      </c>
      <c r="C33" s="22"/>
      <c r="D33" s="32" t="s">
        <v>13</v>
      </c>
      <c r="E33" s="22"/>
      <c r="F33" s="55" t="s">
        <v>23</v>
      </c>
      <c r="G33" s="21"/>
      <c r="H33" s="22"/>
    </row>
    <row r="34" ht="15.75" customHeight="1">
      <c r="A34" s="23">
        <v>7.0</v>
      </c>
      <c r="B34" s="32">
        <v>1.0</v>
      </c>
      <c r="C34" s="22"/>
      <c r="D34" s="32" t="s">
        <v>13</v>
      </c>
      <c r="E34" s="22"/>
      <c r="F34" s="55" t="s">
        <v>24</v>
      </c>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32">
        <v>20.0</v>
      </c>
      <c r="E39" s="21"/>
      <c r="F39" s="21"/>
      <c r="G39" s="21"/>
      <c r="H39" s="22"/>
    </row>
    <row r="40" ht="15.75" customHeight="1">
      <c r="A40" s="23" t="s">
        <v>159</v>
      </c>
      <c r="B40" s="23" t="s">
        <v>158</v>
      </c>
      <c r="C40" s="23" t="s">
        <v>160</v>
      </c>
      <c r="D40" s="32">
        <v>5.0</v>
      </c>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32">
        <v>35.0</v>
      </c>
      <c r="E42" s="21"/>
      <c r="F42" s="21"/>
      <c r="G42" s="21"/>
      <c r="H42" s="22"/>
    </row>
    <row r="43" ht="15.75" customHeight="1"/>
    <row r="44" ht="15.75" customHeight="1">
      <c r="A44" s="42" t="s">
        <v>164</v>
      </c>
      <c r="G44" s="35" t="s">
        <v>96</v>
      </c>
      <c r="H44" s="51">
        <f>B50+B61</f>
        <v>25</v>
      </c>
    </row>
    <row r="45" ht="15.75" customHeight="1">
      <c r="G45" s="27" t="s">
        <v>165</v>
      </c>
    </row>
    <row r="46" ht="15.75" customHeight="1">
      <c r="A46" s="27" t="s">
        <v>166</v>
      </c>
    </row>
    <row r="47" ht="15.75" customHeight="1">
      <c r="A47" s="31" t="s">
        <v>167</v>
      </c>
      <c r="B47" s="32" t="s">
        <v>21</v>
      </c>
      <c r="C47" s="21"/>
      <c r="D47" s="21"/>
      <c r="E47" s="21"/>
      <c r="F47" s="21"/>
      <c r="G47" s="21"/>
      <c r="H47" s="22"/>
    </row>
    <row r="48" ht="15.75" customHeight="1">
      <c r="A48" s="31" t="s">
        <v>168</v>
      </c>
      <c r="B48" s="32" t="s">
        <v>169</v>
      </c>
      <c r="C48" s="21"/>
      <c r="D48" s="21"/>
      <c r="E48" s="21"/>
      <c r="F48" s="21"/>
      <c r="G48" s="21"/>
      <c r="H48" s="22"/>
    </row>
    <row r="49" ht="15.75" customHeight="1">
      <c r="A49" s="31" t="s">
        <v>136</v>
      </c>
      <c r="B49" s="58">
        <v>0.0</v>
      </c>
      <c r="C49" s="21"/>
      <c r="D49" s="21"/>
      <c r="E49" s="21"/>
      <c r="F49" s="21"/>
      <c r="G49" s="21"/>
      <c r="H49" s="22"/>
    </row>
    <row r="50" ht="15.75" customHeight="1">
      <c r="A50" s="31" t="s">
        <v>96</v>
      </c>
      <c r="B50" s="32">
        <v>25.0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59"/>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51">
        <f>B70</f>
        <v>10</v>
      </c>
    </row>
    <row r="69" ht="15.75" customHeight="1">
      <c r="G69" s="27" t="s">
        <v>175</v>
      </c>
    </row>
    <row r="70" ht="15.75" customHeight="1">
      <c r="A70" s="31" t="s">
        <v>96</v>
      </c>
      <c r="B70" s="63">
        <v>10.0</v>
      </c>
      <c r="C70" s="21"/>
      <c r="D70" s="21"/>
      <c r="E70" s="21"/>
      <c r="F70" s="21"/>
      <c r="G70" s="21"/>
      <c r="H70" s="22"/>
    </row>
    <row r="71" ht="15.75" customHeight="1">
      <c r="A71" s="57" t="s">
        <v>176</v>
      </c>
      <c r="B71" s="21"/>
      <c r="C71" s="21"/>
      <c r="D71" s="21"/>
      <c r="E71" s="21"/>
      <c r="F71" s="21"/>
      <c r="G71" s="21"/>
      <c r="H71" s="22"/>
    </row>
    <row r="72" ht="15.75" customHeight="1">
      <c r="A72" s="64" t="s">
        <v>177</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2.0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1"/>
      <c r="E8" s="21"/>
      <c r="F8" s="21"/>
      <c r="G8" s="22"/>
      <c r="I8" s="5"/>
      <c r="J8" s="5"/>
      <c r="K8" s="5"/>
    </row>
    <row r="9" ht="15.75" customHeight="1"/>
    <row r="10" ht="15.75" customHeight="1">
      <c r="A10" s="42" t="s">
        <v>138</v>
      </c>
      <c r="G10" s="35" t="s">
        <v>96</v>
      </c>
      <c r="H10" s="51">
        <f>B13</f>
        <v>5</v>
      </c>
    </row>
    <row r="11" ht="15.75" customHeight="1">
      <c r="G11" s="27" t="s">
        <v>139</v>
      </c>
    </row>
    <row r="12" ht="15.75" customHeight="1">
      <c r="A12" s="31" t="s">
        <v>140</v>
      </c>
      <c r="B12" s="32" t="s">
        <v>179</v>
      </c>
      <c r="C12" s="21"/>
      <c r="D12" s="21"/>
      <c r="E12" s="21"/>
      <c r="F12" s="21"/>
      <c r="G12" s="21"/>
      <c r="H12" s="22"/>
    </row>
    <row r="13" ht="15.75" customHeight="1">
      <c r="A13" s="33" t="s">
        <v>96</v>
      </c>
      <c r="B13" s="32">
        <v>5.0</v>
      </c>
      <c r="C13" s="21"/>
      <c r="D13" s="21"/>
      <c r="E13" s="21"/>
      <c r="F13" s="21"/>
      <c r="G13" s="21"/>
      <c r="H13" s="22"/>
    </row>
    <row r="14" ht="15.75" customHeight="1">
      <c r="A14" s="44" t="s">
        <v>142</v>
      </c>
      <c r="B14" s="21"/>
      <c r="C14" s="21"/>
      <c r="D14" s="21"/>
      <c r="E14" s="21"/>
      <c r="F14" s="21"/>
      <c r="G14" s="21"/>
      <c r="H14" s="22"/>
    </row>
    <row r="15" ht="15.75" customHeight="1">
      <c r="A15" s="64" t="s">
        <v>180</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65" t="s">
        <v>181</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51">
        <f>D39+D40+D41+D42</f>
        <v>60</v>
      </c>
      <c r="I21" s="5"/>
    </row>
    <row r="22" ht="15.75" customHeight="1">
      <c r="G22" s="27" t="s">
        <v>147</v>
      </c>
    </row>
    <row r="23" ht="15.75" customHeight="1">
      <c r="A23" s="31" t="s">
        <v>148</v>
      </c>
      <c r="B23" s="32" t="s">
        <v>19</v>
      </c>
      <c r="C23" s="21"/>
      <c r="D23" s="21"/>
      <c r="E23" s="21"/>
      <c r="F23" s="21"/>
      <c r="G23" s="21"/>
      <c r="H23" s="22"/>
    </row>
    <row r="24" ht="15.75" customHeight="1">
      <c r="A24" s="31" t="s">
        <v>148</v>
      </c>
      <c r="B24" s="20"/>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IFERROR(__xludf.DUMMYFUNCTION("FILTER('Diseño'!D:D,'Diseño'!H:H=$C$5)"),1.0)</f>
        <v>1</v>
      </c>
      <c r="C28" s="22"/>
      <c r="D28" s="20" t="str">
        <f>IFERROR(__xludf.DUMMYFUNCTION("FILTER('Diseño'!E:E,'Diseño'!H:H=$C$5)"),"Interpretación de instruciones básicas")</f>
        <v>Interpretación de instruciones básicas</v>
      </c>
      <c r="E28" s="22"/>
      <c r="F28" s="20" t="str">
        <f>IFERROR(__xludf.DUMMYFUNCTION("FILTER('Diseño'!F:F,'Diseño'!H:H=$C$5)"),"Repaso de fases del compilador")</f>
        <v>Repaso de fases del compilador</v>
      </c>
      <c r="G28" s="21"/>
      <c r="H28" s="22"/>
    </row>
    <row r="29" ht="15.75" customHeight="1">
      <c r="A29" s="23">
        <v>2.0</v>
      </c>
      <c r="B29" s="20">
        <f>IFERROR(__xludf.DUMMYFUNCTION("""COMPUTED_VALUE"""),1.0)</f>
        <v>1</v>
      </c>
      <c r="C29" s="22"/>
      <c r="D29" s="20" t="str">
        <f>IFERROR(__xludf.DUMMYFUNCTION("""COMPUTED_VALUE"""),"Interpretación de instruciones básicas")</f>
        <v>Interpretación de instruciones básicas</v>
      </c>
      <c r="E29" s="22"/>
      <c r="F29" s="20" t="str">
        <f>IFERROR(__xludf.DUMMYFUNCTION("""COMPUTED_VALUE"""),"Precedecia de operadores")</f>
        <v>Precedecia de operadores</v>
      </c>
      <c r="G29" s="21"/>
      <c r="H29" s="22"/>
    </row>
    <row r="30" ht="15.75" customHeight="1">
      <c r="A30" s="23">
        <v>3.0</v>
      </c>
      <c r="B30" s="20">
        <f>IFERROR(__xludf.DUMMYFUNCTION("""COMPUTED_VALUE"""),1.0)</f>
        <v>1</v>
      </c>
      <c r="C30" s="22"/>
      <c r="D30" s="20" t="str">
        <f>IFERROR(__xludf.DUMMYFUNCTION("""COMPUTED_VALUE"""),"Interpretación de instruciones básicas")</f>
        <v>Interpretación de instruciones básicas</v>
      </c>
      <c r="E30" s="22"/>
      <c r="F30" s="20" t="str">
        <f>IFERROR(__xludf.DUMMYFUNCTION("""COMPUTED_VALUE"""),"Calculadora Básica")</f>
        <v>Calculadora Básica</v>
      </c>
      <c r="G30" s="21"/>
      <c r="H30" s="22"/>
    </row>
    <row r="31" ht="15.75" customHeight="1">
      <c r="A31" s="23">
        <v>4.0</v>
      </c>
      <c r="B31" s="20">
        <f>IFERROR(__xludf.DUMMYFUNCTION("""COMPUTED_VALUE"""),1.0)</f>
        <v>1</v>
      </c>
      <c r="C31" s="22"/>
      <c r="D31" s="20" t="str">
        <f>IFERROR(__xludf.DUMMYFUNCTION("""COMPUTED_VALUE"""),"Interpretación de instruciones básicas")</f>
        <v>Interpretación de instruciones básicas</v>
      </c>
      <c r="E31" s="22"/>
      <c r="F31" s="20" t="str">
        <f>IFERROR(__xludf.DUMMYFUNCTION("""COMPUTED_VALUE"""),"Acciones Semánticas")</f>
        <v>Acciones Semánticas</v>
      </c>
      <c r="G31" s="21"/>
      <c r="H31" s="22"/>
    </row>
    <row r="32" ht="15.75" customHeight="1">
      <c r="A32" s="23">
        <v>5.0</v>
      </c>
      <c r="B32" s="20">
        <f>IFERROR(__xludf.DUMMYFUNCTION("""COMPUTED_VALUE"""),1.0)</f>
        <v>1</v>
      </c>
      <c r="C32" s="22"/>
      <c r="D32" s="20" t="str">
        <f>IFERROR(__xludf.DUMMYFUNCTION("""COMPUTED_VALUE"""),"Interpretación de instruciones básicas")</f>
        <v>Interpretación de instruciones básicas</v>
      </c>
      <c r="E32" s="22"/>
      <c r="F32" s="20" t="str">
        <f>IFERROR(__xludf.DUMMYFUNCTION("""COMPUTED_VALUE"""),"Tipos de analizadores sintácticos")</f>
        <v>Tipos de analizadores sintácticos</v>
      </c>
      <c r="G32" s="21"/>
      <c r="H32" s="22"/>
    </row>
    <row r="33" ht="15.75" customHeight="1">
      <c r="A33" s="23">
        <v>6.0</v>
      </c>
      <c r="B33" s="20"/>
      <c r="C33" s="22"/>
      <c r="D33" s="20"/>
      <c r="E33" s="22"/>
      <c r="F33" s="20"/>
      <c r="G33" s="21"/>
      <c r="H33" s="22"/>
    </row>
    <row r="34" ht="15.75" customHeight="1">
      <c r="A34" s="23">
        <v>7.0</v>
      </c>
      <c r="B34" s="20"/>
      <c r="C34" s="22"/>
      <c r="D34" s="20"/>
      <c r="E34" s="22"/>
      <c r="F34" s="20"/>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32">
        <v>20.0</v>
      </c>
      <c r="E39" s="21"/>
      <c r="F39" s="21"/>
      <c r="G39" s="21"/>
      <c r="H39" s="22"/>
    </row>
    <row r="40" ht="15.75" customHeight="1">
      <c r="A40" s="23" t="s">
        <v>159</v>
      </c>
      <c r="B40" s="23" t="s">
        <v>158</v>
      </c>
      <c r="C40" s="23" t="s">
        <v>160</v>
      </c>
      <c r="D40" s="32">
        <v>5.0</v>
      </c>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32">
        <v>35.0</v>
      </c>
      <c r="E42" s="21"/>
      <c r="F42" s="21"/>
      <c r="G42" s="21"/>
      <c r="H42" s="22"/>
    </row>
    <row r="43" ht="15.75" customHeight="1"/>
    <row r="44" ht="15.75" customHeight="1">
      <c r="A44" s="42" t="s">
        <v>164</v>
      </c>
      <c r="G44" s="35" t="s">
        <v>96</v>
      </c>
      <c r="H44" s="51">
        <f>B50+B61</f>
        <v>25</v>
      </c>
    </row>
    <row r="45" ht="15.75" customHeight="1">
      <c r="G45" s="27" t="s">
        <v>165</v>
      </c>
    </row>
    <row r="46" ht="15.75" customHeight="1">
      <c r="A46" s="27" t="s">
        <v>166</v>
      </c>
    </row>
    <row r="47">
      <c r="A47" s="31" t="s">
        <v>167</v>
      </c>
      <c r="B47" s="32" t="s">
        <v>21</v>
      </c>
      <c r="C47" s="21"/>
      <c r="D47" s="21"/>
      <c r="E47" s="21"/>
      <c r="F47" s="21"/>
      <c r="G47" s="21"/>
      <c r="H47" s="22"/>
    </row>
    <row r="48" ht="15.75" customHeight="1">
      <c r="A48" s="31" t="s">
        <v>168</v>
      </c>
      <c r="B48" s="32" t="s">
        <v>169</v>
      </c>
      <c r="C48" s="21"/>
      <c r="D48" s="21"/>
      <c r="E48" s="21"/>
      <c r="F48" s="21"/>
      <c r="G48" s="21"/>
      <c r="H48" s="22"/>
    </row>
    <row r="49" ht="15.75" customHeight="1">
      <c r="A49" s="31" t="s">
        <v>136</v>
      </c>
      <c r="B49" s="58">
        <v>0.0</v>
      </c>
      <c r="C49" s="21"/>
      <c r="D49" s="21"/>
      <c r="E49" s="21"/>
      <c r="F49" s="21"/>
      <c r="G49" s="21"/>
      <c r="H49" s="22"/>
    </row>
    <row r="50" ht="15.75" customHeight="1">
      <c r="A50" s="31" t="s">
        <v>96</v>
      </c>
      <c r="B50" s="32">
        <v>25.0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59"/>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51">
        <f>B70</f>
        <v>10</v>
      </c>
    </row>
    <row r="69" ht="15.75" customHeight="1">
      <c r="G69" s="27" t="s">
        <v>175</v>
      </c>
    </row>
    <row r="70" ht="15.75" customHeight="1">
      <c r="A70" s="31" t="s">
        <v>96</v>
      </c>
      <c r="B70" s="63">
        <v>10.0</v>
      </c>
      <c r="C70" s="21"/>
      <c r="D70" s="21"/>
      <c r="E70" s="21"/>
      <c r="F70" s="21"/>
      <c r="G70" s="21"/>
      <c r="H70" s="22"/>
    </row>
    <row r="71" ht="15.75" customHeight="1">
      <c r="A71" s="57" t="s">
        <v>176</v>
      </c>
      <c r="B71" s="21"/>
      <c r="C71" s="21"/>
      <c r="D71" s="21"/>
      <c r="E71" s="21"/>
      <c r="F71" s="21"/>
      <c r="G71" s="21"/>
      <c r="H71" s="22"/>
    </row>
    <row r="72" ht="15.75" customHeight="1">
      <c r="A72" s="64" t="s">
        <v>177</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3.0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1"/>
      <c r="E8" s="21"/>
      <c r="F8" s="21"/>
      <c r="G8" s="22"/>
      <c r="I8" s="5"/>
      <c r="J8" s="5"/>
      <c r="K8" s="5"/>
    </row>
    <row r="9" ht="15.75" customHeight="1"/>
    <row r="10" ht="15.75" customHeight="1">
      <c r="A10" s="42" t="s">
        <v>138</v>
      </c>
      <c r="G10" s="35" t="s">
        <v>96</v>
      </c>
      <c r="H10" s="51">
        <f>B13</f>
        <v>5</v>
      </c>
    </row>
    <row r="11" ht="15.75" customHeight="1">
      <c r="G11" s="27" t="s">
        <v>139</v>
      </c>
    </row>
    <row r="12" ht="15.75" customHeight="1">
      <c r="A12" s="31" t="s">
        <v>140</v>
      </c>
      <c r="B12" s="32" t="s">
        <v>182</v>
      </c>
      <c r="C12" s="21"/>
      <c r="D12" s="21"/>
      <c r="E12" s="21"/>
      <c r="F12" s="21"/>
      <c r="G12" s="21"/>
      <c r="H12" s="22"/>
    </row>
    <row r="13" ht="15.75" customHeight="1">
      <c r="A13" s="33" t="s">
        <v>96</v>
      </c>
      <c r="B13" s="32">
        <v>5.0</v>
      </c>
      <c r="C13" s="21"/>
      <c r="D13" s="21"/>
      <c r="E13" s="21"/>
      <c r="F13" s="21"/>
      <c r="G13" s="21"/>
      <c r="H13" s="22"/>
    </row>
    <row r="14" ht="15.75" customHeight="1">
      <c r="A14" s="44" t="s">
        <v>142</v>
      </c>
      <c r="B14" s="21"/>
      <c r="C14" s="21"/>
      <c r="D14" s="21"/>
      <c r="E14" s="21"/>
      <c r="F14" s="21"/>
      <c r="G14" s="21"/>
      <c r="H14" s="22"/>
    </row>
    <row r="15" ht="15.75" customHeight="1">
      <c r="A15" s="64" t="s">
        <v>183</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65" t="s">
        <v>184</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51">
        <f>D39+D40+D41+D42</f>
        <v>60</v>
      </c>
      <c r="I21" s="5"/>
    </row>
    <row r="22" ht="15.75" customHeight="1">
      <c r="G22" s="27" t="s">
        <v>147</v>
      </c>
    </row>
    <row r="23" ht="15.75" customHeight="1">
      <c r="A23" s="31" t="s">
        <v>148</v>
      </c>
      <c r="B23" s="32" t="s">
        <v>12</v>
      </c>
      <c r="C23" s="21"/>
      <c r="D23" s="21"/>
      <c r="E23" s="21"/>
      <c r="F23" s="21"/>
      <c r="G23" s="21"/>
      <c r="H23" s="22"/>
    </row>
    <row r="24" ht="15.75" customHeight="1">
      <c r="A24" s="31" t="s">
        <v>148</v>
      </c>
      <c r="B24" s="20"/>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IFERROR(__xludf.DUMMYFUNCTION("FILTER('Diseño'!D:D,'Diseño'!H:H=$C$5)"),1.0)</f>
        <v>1</v>
      </c>
      <c r="C28" s="22"/>
      <c r="D28" s="20" t="str">
        <f>IFERROR(__xludf.DUMMYFUNCTION("FILTER('Diseño'!E:E,'Diseño'!H:H=$C$5)"),"Manejo de entornos dentro del intérprete")</f>
        <v>Manejo de entornos dentro del intérprete</v>
      </c>
      <c r="E28" s="22"/>
      <c r="F28" s="20" t="str">
        <f>IFERROR(__xludf.DUMMYFUNCTION("FILTER('Diseño'!F:F,'Diseño'!H:H=$C$5)"),"Patron Visitor")</f>
        <v>Patron Visitor</v>
      </c>
      <c r="G28" s="21"/>
      <c r="H28" s="22"/>
    </row>
    <row r="29" ht="15.75" customHeight="1">
      <c r="A29" s="23">
        <v>2.0</v>
      </c>
      <c r="B29" s="20">
        <f>IFERROR(__xludf.DUMMYFUNCTION("""COMPUTED_VALUE"""),1.0)</f>
        <v>1</v>
      </c>
      <c r="C29" s="22"/>
      <c r="D29" s="20" t="str">
        <f>IFERROR(__xludf.DUMMYFUNCTION("""COMPUTED_VALUE"""),"Manejo de entornos dentro del intérprete")</f>
        <v>Manejo de entornos dentro del intérprete</v>
      </c>
      <c r="E29" s="22"/>
      <c r="F29" s="20" t="str">
        <f>IFERROR(__xludf.DUMMYFUNCTION("""COMPUTED_VALUE"""),"Tabla de simbolos ")</f>
        <v>Tabla de simbolos </v>
      </c>
      <c r="G29" s="21"/>
      <c r="H29" s="22"/>
    </row>
    <row r="30" ht="15.75" customHeight="1">
      <c r="A30" s="23">
        <v>3.0</v>
      </c>
      <c r="B30" s="20">
        <f>IFERROR(__xludf.DUMMYFUNCTION("""COMPUTED_VALUE"""),1.0)</f>
        <v>1</v>
      </c>
      <c r="C30" s="22"/>
      <c r="D30" s="20" t="str">
        <f>IFERROR(__xludf.DUMMYFUNCTION("""COMPUTED_VALUE"""),"Manejo de entornos dentro del intérprete")</f>
        <v>Manejo de entornos dentro del intérprete</v>
      </c>
      <c r="E30" s="22"/>
      <c r="F30" s="20" t="str">
        <f>IFERROR(__xludf.DUMMYFUNCTION("""COMPUTED_VALUE"""),"Parent Pointer Tree")</f>
        <v>Parent Pointer Tree</v>
      </c>
      <c r="G30" s="21"/>
      <c r="H30" s="22"/>
    </row>
    <row r="31" ht="15.75" customHeight="1">
      <c r="A31" s="23">
        <v>4.0</v>
      </c>
      <c r="B31" s="20">
        <f>IFERROR(__xludf.DUMMYFUNCTION("""COMPUTED_VALUE"""),1.0)</f>
        <v>1</v>
      </c>
      <c r="C31" s="22"/>
      <c r="D31" s="20" t="str">
        <f>IFERROR(__xludf.DUMMYFUNCTION("""COMPUTED_VALUE"""),"Manejo de entornos dentro del intérprete")</f>
        <v>Manejo de entornos dentro del intérprete</v>
      </c>
      <c r="E31" s="22"/>
      <c r="F31" s="20" t="str">
        <f>IFERROR(__xludf.DUMMYFUNCTION("""COMPUTED_VALUE"""),"Declaraciones")</f>
        <v>Declaraciones</v>
      </c>
      <c r="G31" s="21"/>
      <c r="H31" s="22"/>
    </row>
    <row r="32" ht="15.75" customHeight="1">
      <c r="A32" s="23">
        <v>5.0</v>
      </c>
      <c r="B32" s="20">
        <f>IFERROR(__xludf.DUMMYFUNCTION("""COMPUTED_VALUE"""),1.0)</f>
        <v>1</v>
      </c>
      <c r="C32" s="22"/>
      <c r="D32" s="20" t="str">
        <f>IFERROR(__xludf.DUMMYFUNCTION("""COMPUTED_VALUE"""),"Manejo de entornos dentro del intérprete")</f>
        <v>Manejo de entornos dentro del intérprete</v>
      </c>
      <c r="E32" s="22"/>
      <c r="F32" s="20" t="str">
        <f>IFERROR(__xludf.DUMMYFUNCTION("""COMPUTED_VALUE"""),"Asignaciones")</f>
        <v>Asignaciones</v>
      </c>
      <c r="G32" s="21"/>
      <c r="H32" s="22"/>
    </row>
    <row r="33" ht="15.75" customHeight="1">
      <c r="A33" s="23">
        <v>6.0</v>
      </c>
      <c r="B33" s="20"/>
      <c r="C33" s="22"/>
      <c r="D33" s="20"/>
      <c r="E33" s="22"/>
      <c r="F33" s="20"/>
      <c r="G33" s="21"/>
      <c r="H33" s="22"/>
    </row>
    <row r="34" ht="15.75" customHeight="1">
      <c r="A34" s="23">
        <v>7.0</v>
      </c>
      <c r="B34" s="20"/>
      <c r="C34" s="22"/>
      <c r="D34" s="20"/>
      <c r="E34" s="22"/>
      <c r="F34" s="20"/>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32">
        <v>20.0</v>
      </c>
      <c r="E39" s="21"/>
      <c r="F39" s="21"/>
      <c r="G39" s="21"/>
      <c r="H39" s="22"/>
    </row>
    <row r="40" ht="15.75" customHeight="1">
      <c r="A40" s="23" t="s">
        <v>159</v>
      </c>
      <c r="B40" s="23" t="s">
        <v>158</v>
      </c>
      <c r="C40" s="23" t="s">
        <v>160</v>
      </c>
      <c r="D40" s="32">
        <v>5.0</v>
      </c>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32">
        <v>35.0</v>
      </c>
      <c r="E42" s="21"/>
      <c r="F42" s="21"/>
      <c r="G42" s="21"/>
      <c r="H42" s="22"/>
    </row>
    <row r="43" ht="15.75" customHeight="1"/>
    <row r="44" ht="15.75" customHeight="1">
      <c r="A44" s="42" t="s">
        <v>164</v>
      </c>
      <c r="G44" s="35" t="s">
        <v>96</v>
      </c>
      <c r="H44" s="51">
        <f>B50+B61</f>
        <v>25</v>
      </c>
    </row>
    <row r="45" ht="15.75" customHeight="1">
      <c r="G45" s="27" t="s">
        <v>165</v>
      </c>
    </row>
    <row r="46" ht="15.75" customHeight="1">
      <c r="A46" s="27" t="s">
        <v>166</v>
      </c>
    </row>
    <row r="47" ht="15.75" customHeight="1">
      <c r="A47" s="31" t="s">
        <v>167</v>
      </c>
      <c r="B47" s="32" t="s">
        <v>12</v>
      </c>
      <c r="C47" s="21"/>
      <c r="D47" s="21"/>
      <c r="E47" s="21"/>
      <c r="F47" s="21"/>
      <c r="G47" s="21"/>
      <c r="H47" s="22"/>
    </row>
    <row r="48" ht="15.75" customHeight="1">
      <c r="A48" s="31" t="s">
        <v>168</v>
      </c>
      <c r="B48" s="32" t="s">
        <v>169</v>
      </c>
      <c r="C48" s="21"/>
      <c r="D48" s="21"/>
      <c r="E48" s="21"/>
      <c r="F48" s="21"/>
      <c r="G48" s="21"/>
      <c r="H48" s="22"/>
    </row>
    <row r="49" ht="15.75" customHeight="1">
      <c r="A49" s="31" t="s">
        <v>136</v>
      </c>
      <c r="B49" s="58">
        <v>0.0</v>
      </c>
      <c r="C49" s="21"/>
      <c r="D49" s="21"/>
      <c r="E49" s="21"/>
      <c r="F49" s="21"/>
      <c r="G49" s="21"/>
      <c r="H49" s="22"/>
    </row>
    <row r="50" ht="15.75" customHeight="1">
      <c r="A50" s="31" t="s">
        <v>96</v>
      </c>
      <c r="B50" s="32">
        <v>25.0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59"/>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51">
        <f>B70</f>
        <v>10</v>
      </c>
    </row>
    <row r="69" ht="15.75" customHeight="1">
      <c r="G69" s="27" t="s">
        <v>175</v>
      </c>
    </row>
    <row r="70" ht="15.75" customHeight="1">
      <c r="A70" s="31" t="s">
        <v>96</v>
      </c>
      <c r="B70" s="63">
        <v>10.0</v>
      </c>
      <c r="C70" s="21"/>
      <c r="D70" s="21"/>
      <c r="E70" s="21"/>
      <c r="F70" s="21"/>
      <c r="G70" s="21"/>
      <c r="H70" s="22"/>
    </row>
    <row r="71" ht="15.75" customHeight="1">
      <c r="A71" s="57" t="s">
        <v>176</v>
      </c>
      <c r="B71" s="21"/>
      <c r="C71" s="21"/>
      <c r="D71" s="21"/>
      <c r="E71" s="21"/>
      <c r="F71" s="21"/>
      <c r="G71" s="21"/>
      <c r="H71" s="22"/>
    </row>
    <row r="72" ht="15.75" customHeight="1">
      <c r="A72" s="64" t="s">
        <v>177</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4.0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1"/>
      <c r="E8" s="21"/>
      <c r="F8" s="21"/>
      <c r="G8" s="22"/>
      <c r="I8" s="5"/>
      <c r="J8" s="5"/>
      <c r="K8" s="5"/>
    </row>
    <row r="9" ht="15.75" customHeight="1"/>
    <row r="10" ht="15.75" customHeight="1">
      <c r="A10" s="42" t="s">
        <v>138</v>
      </c>
      <c r="G10" s="35" t="s">
        <v>96</v>
      </c>
      <c r="H10" s="43">
        <v>3.0</v>
      </c>
    </row>
    <row r="11" ht="15.75" customHeight="1">
      <c r="G11" s="27" t="s">
        <v>139</v>
      </c>
    </row>
    <row r="12" ht="15.75" customHeight="1">
      <c r="A12" s="31" t="s">
        <v>140</v>
      </c>
      <c r="B12" s="32" t="s">
        <v>185</v>
      </c>
      <c r="C12" s="21"/>
      <c r="D12" s="21"/>
      <c r="E12" s="21"/>
      <c r="F12" s="21"/>
      <c r="G12" s="21"/>
      <c r="H12" s="22"/>
    </row>
    <row r="13" ht="15.75" customHeight="1">
      <c r="A13" s="33" t="s">
        <v>96</v>
      </c>
      <c r="B13" s="10">
        <v>3.0</v>
      </c>
    </row>
    <row r="14" ht="15.75" customHeight="1">
      <c r="A14" s="44" t="s">
        <v>142</v>
      </c>
      <c r="B14" s="21"/>
      <c r="C14" s="21"/>
      <c r="D14" s="21"/>
      <c r="E14" s="21"/>
      <c r="F14" s="21"/>
      <c r="G14" s="21"/>
      <c r="H14" s="22"/>
    </row>
    <row r="15" ht="15.75" customHeight="1">
      <c r="A15" s="64" t="s">
        <v>186</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64" t="s">
        <v>187</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43">
        <v>45.0</v>
      </c>
      <c r="I21" s="5"/>
    </row>
    <row r="22" ht="15.75" customHeight="1">
      <c r="G22" s="27" t="s">
        <v>147</v>
      </c>
    </row>
    <row r="23" ht="15.75" customHeight="1">
      <c r="A23" s="31" t="s">
        <v>148</v>
      </c>
      <c r="B23" s="32" t="s">
        <v>12</v>
      </c>
      <c r="C23" s="21"/>
      <c r="D23" s="21"/>
      <c r="E23" s="21"/>
      <c r="F23" s="21"/>
      <c r="G23" s="21"/>
      <c r="H23" s="22"/>
    </row>
    <row r="24" ht="15.75" customHeight="1">
      <c r="A24" s="31" t="s">
        <v>148</v>
      </c>
      <c r="B24" s="32" t="s">
        <v>19</v>
      </c>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IFERROR(__xludf.DUMMYFUNCTION("FILTER('Diseño'!D:D,'Diseño'!H:H=$C$5)"),1.0)</f>
        <v>1</v>
      </c>
      <c r="C28" s="22"/>
      <c r="D28" s="20" t="str">
        <f>IFERROR(__xludf.DUMMYFUNCTION("FILTER('Diseño'!E:E,'Diseño'!H:H=$C$5)"),"Estructuras cíclicas y de control de flujo")</f>
        <v>Estructuras cíclicas y de control de flujo</v>
      </c>
      <c r="E28" s="22"/>
      <c r="F28" s="20" t="str">
        <f>IFERROR(__xludf.DUMMYFUNCTION("FILTER('Diseño'!F:F,'Diseño'!H:H=$C$5)"),"Lenguajes Turing Completos")</f>
        <v>Lenguajes Turing Completos</v>
      </c>
      <c r="G28" s="21"/>
      <c r="H28" s="22"/>
    </row>
    <row r="29" ht="15.75" customHeight="1">
      <c r="A29" s="23">
        <v>2.0</v>
      </c>
      <c r="B29" s="20">
        <f>IFERROR(__xludf.DUMMYFUNCTION("""COMPUTED_VALUE"""),1.0)</f>
        <v>1</v>
      </c>
      <c r="C29" s="22"/>
      <c r="D29" s="20" t="str">
        <f>IFERROR(__xludf.DUMMYFUNCTION("""COMPUTED_VALUE"""),"Estructuras cíclicas y de control de flujo")</f>
        <v>Estructuras cíclicas y de control de flujo</v>
      </c>
      <c r="E29" s="22"/>
      <c r="F29" s="20" t="str">
        <f>IFERROR(__xludf.DUMMYFUNCTION("""COMPUTED_VALUE"""),"Estructuras de control")</f>
        <v>Estructuras de control</v>
      </c>
      <c r="G29" s="21"/>
      <c r="H29" s="22"/>
    </row>
    <row r="30" ht="15.75" customHeight="1">
      <c r="A30" s="23">
        <v>3.0</v>
      </c>
      <c r="B30" s="20">
        <f>IFERROR(__xludf.DUMMYFUNCTION("""COMPUTED_VALUE"""),1.0)</f>
        <v>1</v>
      </c>
      <c r="C30" s="22"/>
      <c r="D30" s="20" t="str">
        <f>IFERROR(__xludf.DUMMYFUNCTION("""COMPUTED_VALUE"""),"Estructuras cíclicas y de control de flujo")</f>
        <v>Estructuras cíclicas y de control de flujo</v>
      </c>
      <c r="E30" s="22"/>
      <c r="F30" s="20" t="str">
        <f>IFERROR(__xludf.DUMMYFUNCTION("""COMPUTED_VALUE"""),"Ciclos")</f>
        <v>Ciclos</v>
      </c>
      <c r="G30" s="21"/>
      <c r="H30" s="22"/>
    </row>
    <row r="31" ht="15.75" customHeight="1">
      <c r="A31" s="23">
        <v>4.0</v>
      </c>
      <c r="B31" s="20">
        <f>IFERROR(__xludf.DUMMYFUNCTION("""COMPUTED_VALUE"""),1.0)</f>
        <v>1</v>
      </c>
      <c r="C31" s="22"/>
      <c r="D31" s="20" t="str">
        <f>IFERROR(__xludf.DUMMYFUNCTION("""COMPUTED_VALUE"""),"Estructuras cíclicas y de control de flujo")</f>
        <v>Estructuras cíclicas y de control de flujo</v>
      </c>
      <c r="E31" s="22"/>
      <c r="F31" s="20" t="str">
        <f>IFERROR(__xludf.DUMMYFUNCTION("""COMPUTED_VALUE"""),"Sentencias de transferencia")</f>
        <v>Sentencias de transferencia</v>
      </c>
      <c r="G31" s="21"/>
      <c r="H31" s="22"/>
    </row>
    <row r="32" ht="15.75" customHeight="1">
      <c r="A32" s="23">
        <v>5.0</v>
      </c>
      <c r="B32" s="20"/>
      <c r="C32" s="22"/>
      <c r="D32" s="20"/>
      <c r="E32" s="22"/>
      <c r="F32" s="20"/>
      <c r="G32" s="21"/>
      <c r="H32" s="22"/>
    </row>
    <row r="33" ht="15.75" customHeight="1">
      <c r="A33" s="23">
        <v>6.0</v>
      </c>
      <c r="B33" s="20"/>
      <c r="C33" s="22"/>
      <c r="D33" s="20"/>
      <c r="E33" s="22"/>
      <c r="F33" s="20"/>
      <c r="G33" s="21"/>
      <c r="H33" s="22"/>
    </row>
    <row r="34" ht="15.75" customHeight="1">
      <c r="A34" s="23">
        <v>7.0</v>
      </c>
      <c r="B34" s="20"/>
      <c r="C34" s="22"/>
      <c r="D34" s="20"/>
      <c r="E34" s="22"/>
      <c r="F34" s="20"/>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20"/>
      <c r="E39" s="21"/>
      <c r="F39" s="21"/>
      <c r="G39" s="21"/>
      <c r="H39" s="22"/>
    </row>
    <row r="40" ht="15.75" customHeight="1">
      <c r="A40" s="23" t="s">
        <v>159</v>
      </c>
      <c r="B40" s="23" t="s">
        <v>158</v>
      </c>
      <c r="C40" s="23" t="s">
        <v>160</v>
      </c>
      <c r="D40" s="20"/>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20"/>
      <c r="E42" s="21"/>
      <c r="F42" s="21"/>
      <c r="G42" s="21"/>
      <c r="H42" s="22"/>
    </row>
    <row r="43" ht="15.75" customHeight="1"/>
    <row r="44" ht="15.75" customHeight="1">
      <c r="A44" s="42" t="s">
        <v>164</v>
      </c>
      <c r="G44" s="35" t="s">
        <v>96</v>
      </c>
      <c r="H44" s="43">
        <v>40.0</v>
      </c>
    </row>
    <row r="45" ht="15.75" customHeight="1">
      <c r="G45" s="27" t="s">
        <v>165</v>
      </c>
    </row>
    <row r="46" ht="15.75" customHeight="1">
      <c r="A46" s="27" t="s">
        <v>166</v>
      </c>
    </row>
    <row r="47" ht="15.75" customHeight="1">
      <c r="A47" s="31" t="s">
        <v>167</v>
      </c>
      <c r="B47" s="32" t="s">
        <v>12</v>
      </c>
      <c r="C47" s="21"/>
      <c r="D47" s="21"/>
      <c r="E47" s="21"/>
      <c r="F47" s="21"/>
      <c r="G47" s="21"/>
      <c r="H47" s="22"/>
    </row>
    <row r="48" ht="15.75" customHeight="1">
      <c r="A48" s="31" t="s">
        <v>168</v>
      </c>
      <c r="B48" s="32" t="s">
        <v>188</v>
      </c>
      <c r="C48" s="21"/>
      <c r="D48" s="21"/>
      <c r="E48" s="21"/>
      <c r="F48" s="21"/>
      <c r="G48" s="21"/>
      <c r="H48" s="22"/>
    </row>
    <row r="49" ht="15.75" customHeight="1">
      <c r="A49" s="31" t="s">
        <v>136</v>
      </c>
      <c r="B49" s="58">
        <v>0.0</v>
      </c>
      <c r="C49" s="21"/>
      <c r="D49" s="21"/>
      <c r="E49" s="21"/>
      <c r="F49" s="21"/>
      <c r="G49" s="21"/>
      <c r="H49" s="22"/>
    </row>
    <row r="50" ht="15.75" customHeight="1">
      <c r="A50" s="31" t="s">
        <v>96</v>
      </c>
      <c r="B50" s="32">
        <v>40.0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64" t="s">
        <v>189</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43">
        <v>12.0</v>
      </c>
    </row>
    <row r="69" ht="15.75" customHeight="1">
      <c r="G69" s="27" t="s">
        <v>175</v>
      </c>
    </row>
    <row r="70" ht="15.75" customHeight="1">
      <c r="A70" s="31" t="s">
        <v>96</v>
      </c>
      <c r="B70" s="63">
        <v>12.0</v>
      </c>
      <c r="C70" s="21"/>
      <c r="D70" s="21"/>
      <c r="E70" s="21"/>
      <c r="F70" s="21"/>
      <c r="G70" s="21"/>
      <c r="H70" s="22"/>
    </row>
    <row r="71" ht="15.75" customHeight="1">
      <c r="A71" s="57" t="s">
        <v>176</v>
      </c>
      <c r="B71" s="21"/>
      <c r="C71" s="21"/>
      <c r="D71" s="21"/>
      <c r="E71" s="21"/>
      <c r="F71" s="21"/>
      <c r="G71" s="21"/>
      <c r="H71" s="22"/>
    </row>
    <row r="72" ht="15.75" customHeight="1">
      <c r="A72" s="64" t="s">
        <v>190</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 ref="C4:G4"/>
    <mergeCell ref="C5:G5"/>
    <mergeCell ref="C6:G6"/>
    <mergeCell ref="C7:G7"/>
    <mergeCell ref="C8:G8"/>
    <mergeCell ref="A10:F10"/>
    <mergeCell ref="B12:H12"/>
    <mergeCell ref="A14:H14"/>
    <mergeCell ref="A15:H16"/>
    <mergeCell ref="A17:H17"/>
    <mergeCell ref="A18:H19"/>
    <mergeCell ref="A21:F21"/>
    <mergeCell ref="B23:H23"/>
    <mergeCell ref="B24:H24"/>
    <mergeCell ref="D29:E29"/>
    <mergeCell ref="F29:H29"/>
    <mergeCell ref="B27:C27"/>
    <mergeCell ref="D27:E27"/>
    <mergeCell ref="F27:H27"/>
    <mergeCell ref="B28:C28"/>
    <mergeCell ref="F28:H28"/>
    <mergeCell ref="B29:C29"/>
    <mergeCell ref="D28:E28"/>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5.0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1"/>
      <c r="E8" s="21"/>
      <c r="F8" s="21"/>
      <c r="G8" s="22"/>
      <c r="I8" s="5"/>
      <c r="J8" s="5"/>
      <c r="K8" s="5"/>
    </row>
    <row r="9" ht="15.75" customHeight="1"/>
    <row r="10" ht="15.75" customHeight="1">
      <c r="A10" s="42" t="s">
        <v>138</v>
      </c>
      <c r="G10" s="35" t="s">
        <v>96</v>
      </c>
      <c r="H10" s="43">
        <v>3.0</v>
      </c>
    </row>
    <row r="11" ht="15.75" customHeight="1">
      <c r="G11" s="27" t="s">
        <v>139</v>
      </c>
    </row>
    <row r="12" ht="15.75" customHeight="1">
      <c r="A12" s="31" t="s">
        <v>140</v>
      </c>
      <c r="B12" s="32" t="s">
        <v>191</v>
      </c>
      <c r="C12" s="21"/>
      <c r="D12" s="21"/>
      <c r="E12" s="21"/>
      <c r="F12" s="21"/>
      <c r="G12" s="21"/>
      <c r="H12" s="22"/>
    </row>
    <row r="13" ht="15.75" customHeight="1">
      <c r="A13" s="33" t="s">
        <v>96</v>
      </c>
      <c r="B13" s="32">
        <v>3.0</v>
      </c>
      <c r="C13" s="21"/>
      <c r="D13" s="21"/>
      <c r="E13" s="21"/>
      <c r="F13" s="21"/>
      <c r="G13" s="21"/>
      <c r="H13" s="22"/>
    </row>
    <row r="14" ht="15.75" customHeight="1">
      <c r="A14" s="44" t="s">
        <v>142</v>
      </c>
      <c r="B14" s="21"/>
      <c r="C14" s="21"/>
      <c r="D14" s="21"/>
      <c r="E14" s="21"/>
      <c r="F14" s="21"/>
      <c r="G14" s="21"/>
      <c r="H14" s="22"/>
    </row>
    <row r="15" ht="15.75" customHeight="1">
      <c r="A15" s="64" t="s">
        <v>192</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64" t="s">
        <v>193</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43">
        <v>45.0</v>
      </c>
      <c r="I21" s="5"/>
    </row>
    <row r="22" ht="15.75" customHeight="1">
      <c r="G22" s="27" t="s">
        <v>147</v>
      </c>
    </row>
    <row r="23" ht="15.75" customHeight="1">
      <c r="A23" s="31" t="s">
        <v>148</v>
      </c>
      <c r="B23" s="32" t="s">
        <v>17</v>
      </c>
      <c r="C23" s="21"/>
      <c r="D23" s="21"/>
      <c r="E23" s="21"/>
      <c r="F23" s="21"/>
      <c r="G23" s="21"/>
      <c r="H23" s="22"/>
    </row>
    <row r="24" ht="15.75" customHeight="1">
      <c r="A24" s="31" t="s">
        <v>148</v>
      </c>
      <c r="B24" s="32" t="s">
        <v>19</v>
      </c>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IFERROR(__xludf.DUMMYFUNCTION("FILTER('Diseño'!D:D,'Diseño'!H:H=$C$5)"),2.0)</f>
        <v>2</v>
      </c>
      <c r="C28" s="22"/>
      <c r="D28" s="20" t="str">
        <f>IFERROR(__xludf.DUMMYFUNCTION("FILTER('Diseño'!E:E,'Diseño'!H:H=$C$5)"),"Funciones y cerraduras en un intérprete")</f>
        <v>Funciones y cerraduras en un intérprete</v>
      </c>
      <c r="E28" s="22"/>
      <c r="F28" s="20" t="str">
        <f>IFERROR(__xludf.DUMMYFUNCTION("FILTER('Diseño'!F:F,'Diseño'!H:H=$C$5)"),"Funciones embebidas")</f>
        <v>Funciones embebidas</v>
      </c>
      <c r="G28" s="21"/>
      <c r="H28" s="22"/>
    </row>
    <row r="29" ht="15.75" customHeight="1">
      <c r="A29" s="23">
        <v>2.0</v>
      </c>
      <c r="B29" s="20">
        <f>IFERROR(__xludf.DUMMYFUNCTION("""COMPUTED_VALUE"""),2.0)</f>
        <v>2</v>
      </c>
      <c r="C29" s="22"/>
      <c r="D29" s="20" t="str">
        <f>IFERROR(__xludf.DUMMYFUNCTION("""COMPUTED_VALUE"""),"Funciones y cerraduras en un intérprete")</f>
        <v>Funciones y cerraduras en un intérprete</v>
      </c>
      <c r="E29" s="22"/>
      <c r="F29" s="20" t="str">
        <f>IFERROR(__xludf.DUMMYFUNCTION("""COMPUTED_VALUE"""),"Funciones foráneas")</f>
        <v>Funciones foráneas</v>
      </c>
      <c r="G29" s="21"/>
      <c r="H29" s="22"/>
    </row>
    <row r="30" ht="15.75" customHeight="1">
      <c r="A30" s="23">
        <v>3.0</v>
      </c>
      <c r="B30" s="20">
        <f>IFERROR(__xludf.DUMMYFUNCTION("""COMPUTED_VALUE"""),2.0)</f>
        <v>2</v>
      </c>
      <c r="C30" s="22"/>
      <c r="D30" s="20" t="str">
        <f>IFERROR(__xludf.DUMMYFUNCTION("""COMPUTED_VALUE"""),"Funciones y cerraduras en un intérprete")</f>
        <v>Funciones y cerraduras en un intérprete</v>
      </c>
      <c r="E30" s="22"/>
      <c r="F30" s="20" t="str">
        <f>IFERROR(__xludf.DUMMYFUNCTION("""COMPUTED_VALUE"""),"Clousures")</f>
        <v>Clousures</v>
      </c>
      <c r="G30" s="21"/>
      <c r="H30" s="22"/>
    </row>
    <row r="31" ht="15.75" customHeight="1">
      <c r="A31" s="23">
        <v>4.0</v>
      </c>
      <c r="B31" s="20">
        <f>IFERROR(__xludf.DUMMYFUNCTION("""COMPUTED_VALUE"""),2.0)</f>
        <v>2</v>
      </c>
      <c r="C31" s="22"/>
      <c r="D31" s="20" t="str">
        <f>IFERROR(__xludf.DUMMYFUNCTION("""COMPUTED_VALUE"""),"Funciones y cerraduras en un intérprete")</f>
        <v>Funciones y cerraduras en un intérprete</v>
      </c>
      <c r="E31" s="22"/>
      <c r="F31" s="20" t="str">
        <f>IFERROR(__xludf.DUMMYFUNCTION("""COMPUTED_VALUE"""),"Resolución de variables")</f>
        <v>Resolución de variables</v>
      </c>
      <c r="G31" s="21"/>
      <c r="H31" s="22"/>
    </row>
    <row r="32" ht="15.75" customHeight="1">
      <c r="A32" s="23">
        <v>5.0</v>
      </c>
      <c r="B32" s="20">
        <f>IFERROR(__xludf.DUMMYFUNCTION("""COMPUTED_VALUE"""),2.0)</f>
        <v>2</v>
      </c>
      <c r="C32" s="22"/>
      <c r="D32" s="20" t="str">
        <f>IFERROR(__xludf.DUMMYFUNCTION("""COMPUTED_VALUE"""),"Funciones y cerraduras en un intérprete")</f>
        <v>Funciones y cerraduras en un intérprete</v>
      </c>
      <c r="E32" s="22"/>
      <c r="F32" s="20" t="str">
        <f>IFERROR(__xludf.DUMMYFUNCTION("""COMPUTED_VALUE"""),"Hoisting")</f>
        <v>Hoisting</v>
      </c>
      <c r="G32" s="21"/>
      <c r="H32" s="22"/>
    </row>
    <row r="33" ht="15.75" customHeight="1">
      <c r="A33" s="23">
        <v>6.0</v>
      </c>
      <c r="B33" s="20">
        <f>IFERROR(__xludf.DUMMYFUNCTION("""COMPUTED_VALUE"""),2.0)</f>
        <v>2</v>
      </c>
      <c r="C33" s="22"/>
      <c r="D33" s="20" t="str">
        <f>IFERROR(__xludf.DUMMYFUNCTION("""COMPUTED_VALUE"""),"Funciones y cerraduras en un intérprete")</f>
        <v>Funciones y cerraduras en un intérprete</v>
      </c>
      <c r="E33" s="22"/>
      <c r="F33" s="20" t="str">
        <f>IFERROR(__xludf.DUMMYFUNCTION("""COMPUTED_VALUE"""),"Call Stack")</f>
        <v>Call Stack</v>
      </c>
      <c r="G33" s="21"/>
      <c r="H33" s="22"/>
    </row>
    <row r="34" ht="15.75" customHeight="1">
      <c r="A34" s="23">
        <v>7.0</v>
      </c>
      <c r="B34" s="20"/>
      <c r="C34" s="22"/>
      <c r="D34" s="20"/>
      <c r="E34" s="22"/>
      <c r="F34" s="20"/>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20"/>
      <c r="E39" s="21"/>
      <c r="F39" s="21"/>
      <c r="G39" s="21"/>
      <c r="H39" s="22"/>
    </row>
    <row r="40" ht="15.75" customHeight="1">
      <c r="A40" s="23" t="s">
        <v>159</v>
      </c>
      <c r="B40" s="23" t="s">
        <v>158</v>
      </c>
      <c r="C40" s="23" t="s">
        <v>160</v>
      </c>
      <c r="D40" s="20"/>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20"/>
      <c r="E42" s="21"/>
      <c r="F42" s="21"/>
      <c r="G42" s="21"/>
      <c r="H42" s="22"/>
    </row>
    <row r="43" ht="15.75" customHeight="1"/>
    <row r="44" ht="15.75" customHeight="1">
      <c r="A44" s="42" t="s">
        <v>164</v>
      </c>
      <c r="G44" s="35" t="s">
        <v>96</v>
      </c>
      <c r="H44" s="43">
        <v>40.0</v>
      </c>
    </row>
    <row r="45" ht="15.75" customHeight="1">
      <c r="G45" s="27" t="s">
        <v>165</v>
      </c>
    </row>
    <row r="46" ht="15.75" customHeight="1">
      <c r="A46" s="27" t="s">
        <v>166</v>
      </c>
    </row>
    <row r="47" ht="15.75" customHeight="1">
      <c r="A47" s="31" t="s">
        <v>167</v>
      </c>
      <c r="B47" s="32" t="s">
        <v>12</v>
      </c>
      <c r="C47" s="21"/>
      <c r="D47" s="21"/>
      <c r="E47" s="21"/>
      <c r="F47" s="21"/>
      <c r="G47" s="21"/>
      <c r="H47" s="22"/>
    </row>
    <row r="48" ht="15.75" customHeight="1">
      <c r="A48" s="31" t="s">
        <v>168</v>
      </c>
      <c r="B48" s="32" t="s">
        <v>188</v>
      </c>
      <c r="C48" s="21"/>
      <c r="D48" s="21"/>
      <c r="E48" s="21"/>
      <c r="F48" s="21"/>
      <c r="G48" s="21"/>
      <c r="H48" s="22"/>
    </row>
    <row r="49" ht="15.75" customHeight="1">
      <c r="A49" s="31" t="s">
        <v>136</v>
      </c>
      <c r="B49" s="58">
        <v>0.0</v>
      </c>
      <c r="C49" s="21"/>
      <c r="D49" s="21"/>
      <c r="E49" s="21"/>
      <c r="F49" s="21"/>
      <c r="G49" s="21"/>
      <c r="H49" s="22"/>
    </row>
    <row r="50" ht="15.75" customHeight="1">
      <c r="A50" s="31" t="s">
        <v>96</v>
      </c>
      <c r="B50" s="32">
        <v>40.0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64" t="s">
        <v>189</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43">
        <v>12.0</v>
      </c>
    </row>
    <row r="69" ht="15.75" customHeight="1">
      <c r="G69" s="27" t="s">
        <v>175</v>
      </c>
    </row>
    <row r="70" ht="15.75" customHeight="1">
      <c r="A70" s="31" t="s">
        <v>96</v>
      </c>
      <c r="B70" s="63">
        <v>12.0</v>
      </c>
      <c r="C70" s="21"/>
      <c r="D70" s="21"/>
      <c r="E70" s="21"/>
      <c r="F70" s="21"/>
      <c r="G70" s="21"/>
      <c r="H70" s="22"/>
    </row>
    <row r="71" ht="15.75" customHeight="1">
      <c r="A71" s="57" t="s">
        <v>176</v>
      </c>
      <c r="B71" s="21"/>
      <c r="C71" s="21"/>
      <c r="D71" s="21"/>
      <c r="E71" s="21"/>
      <c r="F71" s="21"/>
      <c r="G71" s="21"/>
      <c r="H71" s="22"/>
    </row>
    <row r="72" ht="15.75" customHeight="1">
      <c r="A72" s="64" t="s">
        <v>190</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6.0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1"/>
      <c r="E8" s="21"/>
      <c r="F8" s="21"/>
      <c r="G8" s="22"/>
      <c r="I8" s="5"/>
      <c r="J8" s="5"/>
      <c r="K8" s="5"/>
    </row>
    <row r="9" ht="15.75" customHeight="1"/>
    <row r="10" ht="15.75" customHeight="1">
      <c r="A10" s="42" t="s">
        <v>138</v>
      </c>
      <c r="G10" s="35" t="s">
        <v>96</v>
      </c>
      <c r="H10" s="43">
        <v>3.0</v>
      </c>
    </row>
    <row r="11" ht="15.75" customHeight="1">
      <c r="G11" s="27" t="s">
        <v>139</v>
      </c>
    </row>
    <row r="12" ht="15.75" customHeight="1">
      <c r="A12" s="31" t="s">
        <v>140</v>
      </c>
      <c r="B12" s="32" t="s">
        <v>194</v>
      </c>
      <c r="C12" s="21"/>
      <c r="D12" s="21"/>
      <c r="E12" s="21"/>
      <c r="F12" s="21"/>
      <c r="G12" s="21"/>
      <c r="H12" s="22"/>
    </row>
    <row r="13" ht="15.75" customHeight="1">
      <c r="A13" s="33" t="s">
        <v>96</v>
      </c>
      <c r="B13" s="32">
        <v>3.0</v>
      </c>
      <c r="C13" s="21"/>
      <c r="D13" s="21"/>
      <c r="E13" s="21"/>
      <c r="F13" s="21"/>
      <c r="G13" s="21"/>
      <c r="H13" s="22"/>
    </row>
    <row r="14" ht="15.75" customHeight="1">
      <c r="A14" s="44" t="s">
        <v>142</v>
      </c>
      <c r="B14" s="21"/>
      <c r="C14" s="21"/>
      <c r="D14" s="21"/>
      <c r="E14" s="21"/>
      <c r="F14" s="21"/>
      <c r="G14" s="21"/>
      <c r="H14" s="22"/>
    </row>
    <row r="15" ht="15.75" customHeight="1">
      <c r="A15" s="64" t="s">
        <v>195</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64" t="s">
        <v>193</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43">
        <v>45.0</v>
      </c>
      <c r="I21" s="5"/>
    </row>
    <row r="22" ht="15.75" customHeight="1">
      <c r="G22" s="27" t="s">
        <v>147</v>
      </c>
    </row>
    <row r="23" ht="15.75" customHeight="1">
      <c r="A23" s="31" t="s">
        <v>148</v>
      </c>
      <c r="B23" s="32" t="s">
        <v>12</v>
      </c>
      <c r="C23" s="21"/>
      <c r="D23" s="21"/>
      <c r="E23" s="21"/>
      <c r="F23" s="21"/>
      <c r="G23" s="21"/>
      <c r="H23" s="22"/>
    </row>
    <row r="24" ht="15.75" customHeight="1">
      <c r="A24" s="31" t="s">
        <v>148</v>
      </c>
      <c r="B24" s="32" t="s">
        <v>19</v>
      </c>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IFERROR(__xludf.DUMMYFUNCTION("FILTER('Diseño'!D:D,'Diseño'!H:H=$C$5)"),2.0)</f>
        <v>2</v>
      </c>
      <c r="C28" s="22"/>
      <c r="D28" s="20" t="str">
        <f>IFERROR(__xludf.DUMMYFUNCTION("FILTER('Diseño'!E:E,'Diseño'!H:H=$C$5)"),"Programación orientada a objetos en un intérprete")</f>
        <v>Programación orientada a objetos en un intérprete</v>
      </c>
      <c r="E28" s="22"/>
      <c r="F28" s="20" t="str">
        <f>IFERROR(__xludf.DUMMYFUNCTION("FILTER('Diseño'!F:F,'Diseño'!H:H=$C$5)"),"Clases y Objetos")</f>
        <v>Clases y Objetos</v>
      </c>
      <c r="G28" s="21"/>
      <c r="H28" s="22"/>
    </row>
    <row r="29" ht="15.75" customHeight="1">
      <c r="A29" s="23">
        <v>2.0</v>
      </c>
      <c r="B29" s="20">
        <f>IFERROR(__xludf.DUMMYFUNCTION("""COMPUTED_VALUE"""),2.0)</f>
        <v>2</v>
      </c>
      <c r="C29" s="22"/>
      <c r="D29" s="20" t="str">
        <f>IFERROR(__xludf.DUMMYFUNCTION("""COMPUTED_VALUE"""),"Programación orientada a objetos en un intérprete")</f>
        <v>Programación orientada a objetos en un intérprete</v>
      </c>
      <c r="E29" s="22"/>
      <c r="F29" s="20" t="str">
        <f>IFERROR(__xludf.DUMMYFUNCTION("""COMPUTED_VALUE"""),"Prototipos")</f>
        <v>Prototipos</v>
      </c>
      <c r="G29" s="21"/>
      <c r="H29" s="22"/>
    </row>
    <row r="30" ht="15.75" customHeight="1">
      <c r="A30" s="23">
        <v>3.0</v>
      </c>
      <c r="B30" s="20">
        <f>IFERROR(__xludf.DUMMYFUNCTION("""COMPUTED_VALUE"""),2.0)</f>
        <v>2</v>
      </c>
      <c r="C30" s="22"/>
      <c r="D30" s="20" t="str">
        <f>IFERROR(__xludf.DUMMYFUNCTION("""COMPUTED_VALUE"""),"Programación orientada a objetos en un intérprete")</f>
        <v>Programación orientada a objetos en un intérprete</v>
      </c>
      <c r="E30" s="22"/>
      <c r="F30" s="20" t="str">
        <f>IFERROR(__xludf.DUMMYFUNCTION("""COMPUTED_VALUE"""),"Constructores")</f>
        <v>Constructores</v>
      </c>
      <c r="G30" s="21"/>
      <c r="H30" s="22"/>
    </row>
    <row r="31" ht="15.75" customHeight="1">
      <c r="A31" s="23">
        <v>4.0</v>
      </c>
      <c r="B31" s="20">
        <f>IFERROR(__xludf.DUMMYFUNCTION("""COMPUTED_VALUE"""),2.0)</f>
        <v>2</v>
      </c>
      <c r="C31" s="22"/>
      <c r="D31" s="20" t="str">
        <f>IFERROR(__xludf.DUMMYFUNCTION("""COMPUTED_VALUE"""),"Programación orientada a objetos en un intérprete")</f>
        <v>Programación orientada a objetos en un intérprete</v>
      </c>
      <c r="E31" s="22"/>
      <c r="F31" s="20" t="str">
        <f>IFERROR(__xludf.DUMMYFUNCTION("""COMPUTED_VALUE"""),"Sobrecarga de métodos")</f>
        <v>Sobrecarga de métodos</v>
      </c>
      <c r="G31" s="21"/>
      <c r="H31" s="22"/>
    </row>
    <row r="32" ht="15.75" customHeight="1">
      <c r="A32" s="23">
        <v>5.0</v>
      </c>
      <c r="B32" s="20"/>
      <c r="C32" s="22"/>
      <c r="D32" s="20"/>
      <c r="E32" s="22"/>
      <c r="F32" s="20"/>
      <c r="G32" s="21"/>
      <c r="H32" s="22"/>
    </row>
    <row r="33" ht="15.75" customHeight="1">
      <c r="A33" s="23">
        <v>6.0</v>
      </c>
      <c r="B33" s="20"/>
      <c r="C33" s="22"/>
      <c r="D33" s="20"/>
      <c r="E33" s="22"/>
      <c r="F33" s="20"/>
      <c r="G33" s="21"/>
      <c r="H33" s="22"/>
    </row>
    <row r="34" ht="15.75" customHeight="1">
      <c r="A34" s="23">
        <v>7.0</v>
      </c>
      <c r="B34" s="20"/>
      <c r="C34" s="22"/>
      <c r="D34" s="20"/>
      <c r="E34" s="22"/>
      <c r="F34" s="20"/>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20"/>
      <c r="E39" s="21"/>
      <c r="F39" s="21"/>
      <c r="G39" s="21"/>
      <c r="H39" s="22"/>
    </row>
    <row r="40" ht="15.75" customHeight="1">
      <c r="A40" s="23" t="s">
        <v>159</v>
      </c>
      <c r="B40" s="23" t="s">
        <v>158</v>
      </c>
      <c r="C40" s="23" t="s">
        <v>160</v>
      </c>
      <c r="D40" s="20"/>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20"/>
      <c r="E42" s="21"/>
      <c r="F42" s="21"/>
      <c r="G42" s="21"/>
      <c r="H42" s="22"/>
    </row>
    <row r="43" ht="15.75" customHeight="1"/>
    <row r="44" ht="15.75" customHeight="1">
      <c r="A44" s="42" t="s">
        <v>164</v>
      </c>
      <c r="G44" s="35" t="s">
        <v>96</v>
      </c>
      <c r="H44" s="43">
        <v>40.0</v>
      </c>
    </row>
    <row r="45" ht="15.75" customHeight="1">
      <c r="G45" s="27" t="s">
        <v>165</v>
      </c>
    </row>
    <row r="46" ht="15.75" customHeight="1">
      <c r="A46" s="27" t="s">
        <v>166</v>
      </c>
    </row>
    <row r="47" ht="15.75" customHeight="1">
      <c r="A47" s="31" t="s">
        <v>167</v>
      </c>
      <c r="B47" s="32" t="s">
        <v>19</v>
      </c>
      <c r="C47" s="21"/>
      <c r="D47" s="21"/>
      <c r="E47" s="21"/>
      <c r="F47" s="21"/>
      <c r="G47" s="21"/>
      <c r="H47" s="22"/>
    </row>
    <row r="48" ht="15.75" customHeight="1">
      <c r="A48" s="31" t="s">
        <v>168</v>
      </c>
      <c r="B48" s="32" t="s">
        <v>188</v>
      </c>
      <c r="C48" s="21"/>
      <c r="D48" s="21"/>
      <c r="E48" s="21"/>
      <c r="F48" s="21"/>
      <c r="G48" s="21"/>
      <c r="H48" s="22"/>
    </row>
    <row r="49" ht="15.75" customHeight="1">
      <c r="A49" s="31" t="s">
        <v>136</v>
      </c>
      <c r="B49" s="58">
        <v>0.0</v>
      </c>
      <c r="C49" s="21"/>
      <c r="D49" s="21"/>
      <c r="E49" s="21"/>
      <c r="F49" s="21"/>
      <c r="G49" s="21"/>
      <c r="H49" s="22"/>
    </row>
    <row r="50" ht="15.75" customHeight="1">
      <c r="A50" s="31" t="s">
        <v>96</v>
      </c>
      <c r="B50" s="32">
        <v>40.0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64" t="s">
        <v>189</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43">
        <v>12.0</v>
      </c>
    </row>
    <row r="69" ht="15.75" customHeight="1">
      <c r="G69" s="27" t="s">
        <v>175</v>
      </c>
    </row>
    <row r="70" ht="15.75" customHeight="1">
      <c r="A70" s="31" t="s">
        <v>96</v>
      </c>
      <c r="B70" s="63">
        <v>12.0</v>
      </c>
      <c r="C70" s="21"/>
      <c r="D70" s="21"/>
      <c r="E70" s="21"/>
      <c r="F70" s="21"/>
      <c r="G70" s="21"/>
      <c r="H70" s="22"/>
    </row>
    <row r="71" ht="15.75" customHeight="1">
      <c r="A71" s="57" t="s">
        <v>176</v>
      </c>
      <c r="B71" s="21"/>
      <c r="C71" s="21"/>
      <c r="D71" s="21"/>
      <c r="E71" s="21"/>
      <c r="F71" s="21"/>
      <c r="G71" s="21"/>
      <c r="H71" s="22"/>
    </row>
    <row r="72" ht="15.75" customHeight="1">
      <c r="A72" s="64" t="s">
        <v>190</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7.0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1"/>
      <c r="E8" s="21"/>
      <c r="F8" s="21"/>
      <c r="G8" s="22"/>
      <c r="I8" s="5"/>
      <c r="J8" s="5"/>
      <c r="K8" s="5"/>
    </row>
    <row r="9" ht="15.75" customHeight="1"/>
    <row r="10" ht="15.75" customHeight="1">
      <c r="A10" s="42" t="s">
        <v>138</v>
      </c>
      <c r="G10" s="35" t="s">
        <v>96</v>
      </c>
      <c r="H10" s="43">
        <v>3.0</v>
      </c>
    </row>
    <row r="11" ht="15.75" customHeight="1">
      <c r="G11" s="27" t="s">
        <v>139</v>
      </c>
    </row>
    <row r="12" ht="15.75" customHeight="1">
      <c r="A12" s="31" t="s">
        <v>140</v>
      </c>
      <c r="B12" s="32" t="s">
        <v>196</v>
      </c>
      <c r="C12" s="21"/>
      <c r="D12" s="21"/>
      <c r="E12" s="21"/>
      <c r="F12" s="21"/>
      <c r="G12" s="21"/>
      <c r="H12" s="22"/>
    </row>
    <row r="13" ht="15.75" customHeight="1">
      <c r="A13" s="33" t="s">
        <v>96</v>
      </c>
      <c r="B13" s="32">
        <v>3.0</v>
      </c>
      <c r="C13" s="21"/>
      <c r="D13" s="21"/>
      <c r="E13" s="21"/>
      <c r="F13" s="21"/>
      <c r="G13" s="21"/>
      <c r="H13" s="22"/>
    </row>
    <row r="14" ht="15.75" customHeight="1">
      <c r="A14" s="44" t="s">
        <v>142</v>
      </c>
      <c r="B14" s="21"/>
      <c r="C14" s="21"/>
      <c r="D14" s="21"/>
      <c r="E14" s="21"/>
      <c r="F14" s="21"/>
      <c r="G14" s="21"/>
      <c r="H14" s="22"/>
    </row>
    <row r="15" ht="15.75" customHeight="1">
      <c r="A15" s="64" t="s">
        <v>197</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64" t="s">
        <v>193</v>
      </c>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43">
        <v>45.0</v>
      </c>
      <c r="I21" s="5"/>
    </row>
    <row r="22" ht="15.75" customHeight="1">
      <c r="G22" s="27" t="s">
        <v>147</v>
      </c>
    </row>
    <row r="23" ht="15.75" customHeight="1">
      <c r="A23" s="31" t="s">
        <v>148</v>
      </c>
      <c r="B23" s="32" t="s">
        <v>19</v>
      </c>
      <c r="C23" s="21"/>
      <c r="D23" s="21"/>
      <c r="E23" s="21"/>
      <c r="F23" s="21"/>
      <c r="G23" s="21"/>
      <c r="H23" s="22"/>
    </row>
    <row r="24" ht="15.75" customHeight="1">
      <c r="A24" s="31" t="s">
        <v>148</v>
      </c>
      <c r="B24" s="32" t="s">
        <v>12</v>
      </c>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IFERROR(__xludf.DUMMYFUNCTION("FILTER('Diseño'!D:D,'Diseño'!H:H=$C$5)"),2.0)</f>
        <v>2</v>
      </c>
      <c r="C28" s="22"/>
      <c r="D28" s="20" t="str">
        <f>IFERROR(__xludf.DUMMYFUNCTION("FILTER('Diseño'!E:E,'Diseño'!H:H=$C$5)"),"Representaciones intermedias y generación de código")</f>
        <v>Representaciones intermedias y generación de código</v>
      </c>
      <c r="E28" s="22"/>
      <c r="F28" s="20" t="str">
        <f>IFERROR(__xludf.DUMMYFUNCTION("FILTER('Diseño'!F:F,'Diseño'!H:H=$C$5)"),"Código de 3 direcciones")</f>
        <v>Código de 3 direcciones</v>
      </c>
      <c r="G28" s="21"/>
      <c r="H28" s="22"/>
    </row>
    <row r="29" ht="15.75" customHeight="1">
      <c r="A29" s="23">
        <v>2.0</v>
      </c>
      <c r="B29" s="20">
        <f>IFERROR(__xludf.DUMMYFUNCTION("""COMPUTED_VALUE"""),2.0)</f>
        <v>2</v>
      </c>
      <c r="C29" s="22"/>
      <c r="D29" s="20" t="str">
        <f>IFERROR(__xludf.DUMMYFUNCTION("""COMPUTED_VALUE"""),"Representaciones intermedias y generación de código")</f>
        <v>Representaciones intermedias y generación de código</v>
      </c>
      <c r="E29" s="22"/>
      <c r="F29" s="20" t="str">
        <f>IFERROR(__xludf.DUMMYFUNCTION("""COMPUTED_VALUE"""),"Bytecode")</f>
        <v>Bytecode</v>
      </c>
      <c r="G29" s="21"/>
      <c r="H29" s="22"/>
    </row>
    <row r="30" ht="15.75" customHeight="1">
      <c r="A30" s="23">
        <v>3.0</v>
      </c>
      <c r="B30" s="20">
        <f>IFERROR(__xludf.DUMMYFUNCTION("""COMPUTED_VALUE"""),2.0)</f>
        <v>2</v>
      </c>
      <c r="C30" s="22"/>
      <c r="D30" s="20" t="str">
        <f>IFERROR(__xludf.DUMMYFUNCTION("""COMPUTED_VALUE"""),"Representaciones intermedias y generación de código")</f>
        <v>Representaciones intermedias y generación de código</v>
      </c>
      <c r="E30" s="22"/>
      <c r="F30" s="20" t="str">
        <f>IFERROR(__xludf.DUMMYFUNCTION("""COMPUTED_VALUE"""),"Assembly: RISC-V")</f>
        <v>Assembly: RISC-V</v>
      </c>
      <c r="G30" s="21"/>
      <c r="H30" s="22"/>
    </row>
    <row r="31" ht="15.75" customHeight="1">
      <c r="A31" s="23">
        <v>4.0</v>
      </c>
      <c r="B31" s="20">
        <f>IFERROR(__xludf.DUMMYFUNCTION("""COMPUTED_VALUE"""),2.0)</f>
        <v>2</v>
      </c>
      <c r="C31" s="22"/>
      <c r="D31" s="20" t="str">
        <f>IFERROR(__xludf.DUMMYFUNCTION("""COMPUTED_VALUE"""),"Tipos primitivos a bajo nivel")</f>
        <v>Tipos primitivos a bajo nivel</v>
      </c>
      <c r="E31" s="22"/>
      <c r="F31" s="20" t="str">
        <f>IFERROR(__xludf.DUMMYFUNCTION("""COMPUTED_VALUE"""),"Tipos enteros")</f>
        <v>Tipos enteros</v>
      </c>
      <c r="G31" s="21"/>
      <c r="H31" s="22"/>
    </row>
    <row r="32" ht="15.75" customHeight="1">
      <c r="A32" s="23">
        <v>5.0</v>
      </c>
      <c r="B32" s="20">
        <f>IFERROR(__xludf.DUMMYFUNCTION("""COMPUTED_VALUE"""),2.0)</f>
        <v>2</v>
      </c>
      <c r="C32" s="22"/>
      <c r="D32" s="20" t="str">
        <f>IFERROR(__xludf.DUMMYFUNCTION("""COMPUTED_VALUE"""),"Tipos primitivos a bajo nivel")</f>
        <v>Tipos primitivos a bajo nivel</v>
      </c>
      <c r="E32" s="22"/>
      <c r="F32" s="20" t="str">
        <f>IFERROR(__xludf.DUMMYFUNCTION("""COMPUTED_VALUE"""),"Representación de punto flotante")</f>
        <v>Representación de punto flotante</v>
      </c>
      <c r="G32" s="21"/>
      <c r="H32" s="22"/>
    </row>
    <row r="33" ht="15.75" customHeight="1">
      <c r="A33" s="23">
        <v>6.0</v>
      </c>
      <c r="B33" s="20">
        <f>IFERROR(__xludf.DUMMYFUNCTION("""COMPUTED_VALUE"""),2.0)</f>
        <v>2</v>
      </c>
      <c r="C33" s="22"/>
      <c r="D33" s="20" t="str">
        <f>IFERROR(__xludf.DUMMYFUNCTION("""COMPUTED_VALUE"""),"Tipos primitivos a bajo nivel")</f>
        <v>Tipos primitivos a bajo nivel</v>
      </c>
      <c r="E33" s="22"/>
      <c r="F33" s="20" t="str">
        <f>IFERROR(__xludf.DUMMYFUNCTION("""COMPUTED_VALUE"""),"Char")</f>
        <v>Char</v>
      </c>
      <c r="G33" s="21"/>
      <c r="H33" s="22"/>
    </row>
    <row r="34" ht="15.75" customHeight="1">
      <c r="A34" s="23">
        <v>7.0</v>
      </c>
      <c r="B34" s="20">
        <f>IFERROR(__xludf.DUMMYFUNCTION("""COMPUTED_VALUE"""),2.0)</f>
        <v>2</v>
      </c>
      <c r="C34" s="22"/>
      <c r="D34" s="20" t="str">
        <f>IFERROR(__xludf.DUMMYFUNCTION("""COMPUTED_VALUE"""),"Tipos primitivos a bajo nivel")</f>
        <v>Tipos primitivos a bajo nivel</v>
      </c>
      <c r="E34" s="22"/>
      <c r="F34" s="20" t="str">
        <f>IFERROR(__xludf.DUMMYFUNCTION("""COMPUTED_VALUE"""),"Strings")</f>
        <v>Strings</v>
      </c>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20"/>
      <c r="E39" s="21"/>
      <c r="F39" s="21"/>
      <c r="G39" s="21"/>
      <c r="H39" s="22"/>
    </row>
    <row r="40" ht="15.75" customHeight="1">
      <c r="A40" s="23" t="s">
        <v>159</v>
      </c>
      <c r="B40" s="23" t="s">
        <v>158</v>
      </c>
      <c r="C40" s="23" t="s">
        <v>160</v>
      </c>
      <c r="D40" s="20"/>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20"/>
      <c r="E42" s="21"/>
      <c r="F42" s="21"/>
      <c r="G42" s="21"/>
      <c r="H42" s="22"/>
    </row>
    <row r="43" ht="15.75" customHeight="1"/>
    <row r="44" ht="15.75" customHeight="1">
      <c r="A44" s="42" t="s">
        <v>164</v>
      </c>
      <c r="G44" s="35" t="s">
        <v>96</v>
      </c>
      <c r="H44" s="43">
        <v>40.0</v>
      </c>
    </row>
    <row r="45" ht="15.75" customHeight="1">
      <c r="G45" s="27" t="s">
        <v>165</v>
      </c>
    </row>
    <row r="46" ht="15.75" customHeight="1">
      <c r="A46" s="27" t="s">
        <v>166</v>
      </c>
    </row>
    <row r="47" ht="15.75" customHeight="1">
      <c r="A47" s="31" t="s">
        <v>167</v>
      </c>
      <c r="B47" s="32" t="s">
        <v>19</v>
      </c>
      <c r="C47" s="21"/>
      <c r="D47" s="21"/>
      <c r="E47" s="21"/>
      <c r="F47" s="21"/>
      <c r="G47" s="21"/>
      <c r="H47" s="22"/>
    </row>
    <row r="48" ht="15.75" customHeight="1">
      <c r="A48" s="31" t="s">
        <v>168</v>
      </c>
      <c r="B48" s="32" t="s">
        <v>188</v>
      </c>
      <c r="C48" s="21"/>
      <c r="D48" s="21"/>
      <c r="E48" s="21"/>
      <c r="F48" s="21"/>
      <c r="G48" s="21"/>
      <c r="H48" s="22"/>
    </row>
    <row r="49" ht="15.75" customHeight="1">
      <c r="A49" s="31" t="s">
        <v>136</v>
      </c>
      <c r="B49" s="58">
        <v>0.0</v>
      </c>
      <c r="C49" s="21"/>
      <c r="D49" s="21"/>
      <c r="E49" s="21"/>
      <c r="F49" s="21"/>
      <c r="G49" s="21"/>
      <c r="H49" s="22"/>
    </row>
    <row r="50" ht="15.75" customHeight="1">
      <c r="A50" s="31" t="s">
        <v>96</v>
      </c>
      <c r="B50" s="20">
        <v>0.0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64" t="s">
        <v>198</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43">
        <v>12.0</v>
      </c>
    </row>
    <row r="69" ht="15.75" customHeight="1">
      <c r="G69" s="27" t="s">
        <v>175</v>
      </c>
    </row>
    <row r="70" ht="15.75" customHeight="1">
      <c r="A70" s="31" t="s">
        <v>96</v>
      </c>
      <c r="B70" s="63">
        <v>12.0</v>
      </c>
      <c r="C70" s="21"/>
      <c r="D70" s="21"/>
      <c r="E70" s="21"/>
      <c r="F70" s="21"/>
      <c r="G70" s="21"/>
      <c r="H70" s="22"/>
    </row>
    <row r="71" ht="15.75" customHeight="1">
      <c r="A71" s="57" t="s">
        <v>176</v>
      </c>
      <c r="B71" s="21"/>
      <c r="C71" s="21"/>
      <c r="D71" s="21"/>
      <c r="E71" s="21"/>
      <c r="F71" s="21"/>
      <c r="G71" s="21"/>
      <c r="H71" s="22"/>
    </row>
    <row r="72" ht="15.75" customHeight="1">
      <c r="A72" s="64" t="s">
        <v>190</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8.0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IF((H10+H21+H44+H68)&lt;100, "❌ ERROR: El tiempo total debe ser de al menos 100 min.", "✅ VALIDACIÓN CORRECTA")))</f>
        <v>✅ VALIDACIÓN CORRECTA</v>
      </c>
      <c r="D8" s="21"/>
      <c r="E8" s="21"/>
      <c r="F8" s="21"/>
      <c r="G8" s="22"/>
      <c r="I8" s="5"/>
      <c r="J8" s="5"/>
      <c r="K8" s="5"/>
    </row>
    <row r="9" ht="15.75" customHeight="1"/>
    <row r="10" ht="15.75" customHeight="1">
      <c r="A10" s="42" t="s">
        <v>138</v>
      </c>
      <c r="G10" s="35" t="s">
        <v>96</v>
      </c>
      <c r="H10" s="51">
        <f>B13</f>
        <v>5</v>
      </c>
    </row>
    <row r="11" ht="15.75" customHeight="1">
      <c r="G11" s="27" t="s">
        <v>139</v>
      </c>
    </row>
    <row r="12" ht="15.75" customHeight="1">
      <c r="A12" s="31" t="s">
        <v>140</v>
      </c>
      <c r="B12" s="32" t="s">
        <v>185</v>
      </c>
      <c r="C12" s="21"/>
      <c r="D12" s="21"/>
      <c r="E12" s="21"/>
      <c r="F12" s="21"/>
      <c r="G12" s="21"/>
      <c r="H12" s="22"/>
    </row>
    <row r="13" ht="15.75" customHeight="1">
      <c r="A13" s="33" t="s">
        <v>96</v>
      </c>
      <c r="B13" s="32">
        <v>5.0</v>
      </c>
      <c r="C13" s="21"/>
      <c r="D13" s="21"/>
      <c r="E13" s="21"/>
      <c r="F13" s="21"/>
      <c r="G13" s="21"/>
      <c r="H13" s="22"/>
    </row>
    <row r="14" ht="15.75" customHeight="1">
      <c r="A14" s="44" t="s">
        <v>142</v>
      </c>
      <c r="B14" s="21"/>
      <c r="C14" s="21"/>
      <c r="D14" s="21"/>
      <c r="E14" s="21"/>
      <c r="F14" s="21"/>
      <c r="G14" s="21"/>
      <c r="H14" s="22"/>
    </row>
    <row r="15" ht="15.75" customHeight="1">
      <c r="A15" s="64" t="s">
        <v>199</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59"/>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51">
        <f>D39+D40+D41+D42</f>
        <v>60</v>
      </c>
      <c r="I21" s="5"/>
    </row>
    <row r="22" ht="15.75" customHeight="1">
      <c r="G22" s="27" t="s">
        <v>147</v>
      </c>
    </row>
    <row r="23" ht="15.75" customHeight="1">
      <c r="A23" s="31" t="s">
        <v>148</v>
      </c>
      <c r="B23" s="32" t="s">
        <v>65</v>
      </c>
      <c r="C23" s="21"/>
      <c r="D23" s="21"/>
      <c r="E23" s="21"/>
      <c r="F23" s="21"/>
      <c r="G23" s="21"/>
      <c r="H23" s="22"/>
    </row>
    <row r="24" ht="15.75" customHeight="1">
      <c r="A24" s="31" t="s">
        <v>148</v>
      </c>
      <c r="B24" s="32"/>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IFERROR(__xludf.DUMMYFUNCTION("FILTER('Diseño'!D:D,'Diseño'!H:H=$C$5)"),3.0)</f>
        <v>3</v>
      </c>
      <c r="C28" s="22"/>
      <c r="D28" s="20" t="str">
        <f>IFERROR(__xludf.DUMMYFUNCTION("FILTER('Diseño'!E:E,'Diseño'!H:H=$C$5)"),"Entornos, variables globales y locales en un compilador")</f>
        <v>Entornos, variables globales y locales en un compilador</v>
      </c>
      <c r="E28" s="22"/>
      <c r="F28" s="20" t="str">
        <f>IFERROR(__xludf.DUMMYFUNCTION("FILTER('Diseño'!F:F,'Diseño'!H:H=$C$5)"),"Tabla de simbolos")</f>
        <v>Tabla de simbolos</v>
      </c>
      <c r="G28" s="21"/>
      <c r="H28" s="22"/>
    </row>
    <row r="29" ht="15.75" customHeight="1">
      <c r="A29" s="23">
        <v>2.0</v>
      </c>
      <c r="B29" s="20">
        <f>IFERROR(__xludf.DUMMYFUNCTION("""COMPUTED_VALUE"""),3.0)</f>
        <v>3</v>
      </c>
      <c r="C29" s="22"/>
      <c r="D29" s="20" t="str">
        <f>IFERROR(__xludf.DUMMYFUNCTION("""COMPUTED_VALUE"""),"Entornos, variables globales y locales en un compilador")</f>
        <v>Entornos, variables globales y locales en un compilador</v>
      </c>
      <c r="E29" s="22"/>
      <c r="F29" s="20" t="str">
        <f>IFERROR(__xludf.DUMMYFUNCTION("""COMPUTED_VALUE"""),"Manejo del stack para variables locales")</f>
        <v>Manejo del stack para variables locales</v>
      </c>
      <c r="G29" s="21"/>
      <c r="H29" s="22"/>
    </row>
    <row r="30" ht="15.75" customHeight="1">
      <c r="A30" s="23">
        <v>3.0</v>
      </c>
      <c r="B30" s="20">
        <f>IFERROR(__xludf.DUMMYFUNCTION("""COMPUTED_VALUE"""),3.0)</f>
        <v>3</v>
      </c>
      <c r="C30" s="22"/>
      <c r="D30" s="20" t="str">
        <f>IFERROR(__xludf.DUMMYFUNCTION("""COMPUTED_VALUE"""),"Entornos, variables globales y locales en un compilador")</f>
        <v>Entornos, variables globales y locales en un compilador</v>
      </c>
      <c r="E30" s="22"/>
      <c r="F30" s="20" t="str">
        <f>IFERROR(__xludf.DUMMYFUNCTION("""COMPUTED_VALUE"""),"Resolucion de variables")</f>
        <v>Resolucion de variables</v>
      </c>
      <c r="G30" s="21"/>
      <c r="H30" s="22"/>
    </row>
    <row r="31" ht="15.75" customHeight="1">
      <c r="A31" s="23">
        <v>4.0</v>
      </c>
      <c r="B31" s="20">
        <f>IFERROR(__xludf.DUMMYFUNCTION("""COMPUTED_VALUE"""),3.0)</f>
        <v>3</v>
      </c>
      <c r="C31" s="22"/>
      <c r="D31" s="20" t="str">
        <f>IFERROR(__xludf.DUMMYFUNCTION("""COMPUTED_VALUE"""),"Traducción de estructuras de control en un compilador")</f>
        <v>Traducción de estructuras de control en un compilador</v>
      </c>
      <c r="E31" s="22"/>
      <c r="F31" s="20" t="str">
        <f>IFERROR(__xludf.DUMMYFUNCTION("""COMPUTED_VALUE"""),"Etiquetas")</f>
        <v>Etiquetas</v>
      </c>
      <c r="G31" s="21"/>
      <c r="H31" s="22"/>
    </row>
    <row r="32" ht="15.75" customHeight="1">
      <c r="A32" s="23">
        <v>5.0</v>
      </c>
      <c r="B32" s="20">
        <f>IFERROR(__xludf.DUMMYFUNCTION("""COMPUTED_VALUE"""),3.0)</f>
        <v>3</v>
      </c>
      <c r="C32" s="22"/>
      <c r="D32" s="20" t="str">
        <f>IFERROR(__xludf.DUMMYFUNCTION("""COMPUTED_VALUE"""),"Traducción de estructuras de control en un compilador")</f>
        <v>Traducción de estructuras de control en un compilador</v>
      </c>
      <c r="E32" s="22"/>
      <c r="F32" s="20" t="str">
        <f>IFERROR(__xludf.DUMMYFUNCTION("""COMPUTED_VALUE"""),"Saltos condicionales")</f>
        <v>Saltos condicionales</v>
      </c>
      <c r="G32" s="21"/>
      <c r="H32" s="22"/>
    </row>
    <row r="33" ht="15.75" customHeight="1">
      <c r="A33" s="23">
        <v>6.0</v>
      </c>
      <c r="B33" s="20">
        <f>IFERROR(__xludf.DUMMYFUNCTION("""COMPUTED_VALUE"""),3.0)</f>
        <v>3</v>
      </c>
      <c r="C33" s="22"/>
      <c r="D33" s="20" t="str">
        <f>IFERROR(__xludf.DUMMYFUNCTION("""COMPUTED_VALUE"""),"Traducción de estructuras de control en un compilador")</f>
        <v>Traducción de estructuras de control en un compilador</v>
      </c>
      <c r="E33" s="22"/>
      <c r="F33" s="20" t="str">
        <f>IFERROR(__xludf.DUMMYFUNCTION("""COMPUTED_VALUE"""),"Saltos incondicionales")</f>
        <v>Saltos incondicionales</v>
      </c>
      <c r="G33" s="21"/>
      <c r="H33" s="22"/>
    </row>
    <row r="34" ht="15.75" customHeight="1">
      <c r="A34" s="23">
        <v>7.0</v>
      </c>
      <c r="B34" s="20"/>
      <c r="C34" s="22"/>
      <c r="D34" s="20"/>
      <c r="E34" s="22"/>
      <c r="F34" s="20"/>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32">
        <v>24.0</v>
      </c>
      <c r="E39" s="21"/>
      <c r="F39" s="21"/>
      <c r="G39" s="21"/>
      <c r="H39" s="22"/>
    </row>
    <row r="40" ht="15.75" customHeight="1">
      <c r="A40" s="23" t="s">
        <v>159</v>
      </c>
      <c r="B40" s="23" t="s">
        <v>158</v>
      </c>
      <c r="C40" s="23" t="s">
        <v>160</v>
      </c>
      <c r="D40" s="32">
        <v>6.0</v>
      </c>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32">
        <v>30.0</v>
      </c>
      <c r="E42" s="21"/>
      <c r="F42" s="21"/>
      <c r="G42" s="21"/>
      <c r="H42" s="22"/>
    </row>
    <row r="43" ht="15.75" customHeight="1"/>
    <row r="44" ht="15.75" customHeight="1">
      <c r="A44" s="42" t="s">
        <v>164</v>
      </c>
      <c r="G44" s="35" t="s">
        <v>96</v>
      </c>
      <c r="H44" s="51">
        <f>B50+B61</f>
        <v>25</v>
      </c>
    </row>
    <row r="45" ht="15.75" customHeight="1">
      <c r="G45" s="27" t="s">
        <v>165</v>
      </c>
    </row>
    <row r="46" ht="15.75" customHeight="1">
      <c r="A46" s="27" t="s">
        <v>166</v>
      </c>
    </row>
    <row r="47" ht="15.75" customHeight="1">
      <c r="A47" s="31" t="s">
        <v>167</v>
      </c>
      <c r="B47" s="32" t="s">
        <v>65</v>
      </c>
      <c r="C47" s="21"/>
      <c r="D47" s="21"/>
      <c r="E47" s="21"/>
      <c r="F47" s="21"/>
      <c r="G47" s="21"/>
      <c r="H47" s="22"/>
    </row>
    <row r="48" ht="15.75" customHeight="1">
      <c r="A48" s="31" t="s">
        <v>168</v>
      </c>
      <c r="B48" s="32" t="s">
        <v>169</v>
      </c>
      <c r="C48" s="21"/>
      <c r="D48" s="21"/>
      <c r="E48" s="21"/>
      <c r="F48" s="21"/>
      <c r="G48" s="21"/>
      <c r="H48" s="22"/>
    </row>
    <row r="49" ht="15.75" customHeight="1">
      <c r="A49" s="31" t="s">
        <v>136</v>
      </c>
      <c r="B49" s="58">
        <v>0.0</v>
      </c>
      <c r="C49" s="21"/>
      <c r="D49" s="21"/>
      <c r="E49" s="21"/>
      <c r="F49" s="21"/>
      <c r="G49" s="21"/>
      <c r="H49" s="22"/>
    </row>
    <row r="50" ht="15.75" customHeight="1">
      <c r="A50" s="31" t="s">
        <v>96</v>
      </c>
      <c r="B50" s="32">
        <v>25.0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64" t="s">
        <v>200</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51">
        <f>B70</f>
        <v>10</v>
      </c>
    </row>
    <row r="69" ht="15.75" customHeight="1">
      <c r="G69" s="27" t="s">
        <v>175</v>
      </c>
    </row>
    <row r="70" ht="15.75" customHeight="1">
      <c r="A70" s="31" t="s">
        <v>96</v>
      </c>
      <c r="B70" s="63">
        <v>10.0</v>
      </c>
      <c r="C70" s="21"/>
      <c r="D70" s="21"/>
      <c r="E70" s="21"/>
      <c r="F70" s="21"/>
      <c r="G70" s="21"/>
      <c r="H70" s="22"/>
    </row>
    <row r="71" ht="15.75" customHeight="1">
      <c r="A71" s="57" t="s">
        <v>176</v>
      </c>
      <c r="B71" s="21"/>
      <c r="C71" s="21"/>
      <c r="D71" s="21"/>
      <c r="E71" s="21"/>
      <c r="F71" s="21"/>
      <c r="G71" s="21"/>
      <c r="H71" s="22"/>
    </row>
    <row r="72" ht="15.75" customHeight="1">
      <c r="A72" s="64" t="s">
        <v>201</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9.0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IF((H10+H21+H44+H68)&lt;100, "❌ ERROR: El tiempo total debe ser de al menos 100 min.", "✅ VALIDACIÓN CORRECTA")))</f>
        <v>✅ VALIDACIÓN CORRECTA</v>
      </c>
      <c r="D8" s="21"/>
      <c r="E8" s="21"/>
      <c r="F8" s="21"/>
      <c r="G8" s="22"/>
      <c r="I8" s="5"/>
      <c r="J8" s="5"/>
      <c r="K8" s="5"/>
    </row>
    <row r="9" ht="15.75" customHeight="1"/>
    <row r="10" ht="15.75" customHeight="1">
      <c r="A10" s="42" t="s">
        <v>138</v>
      </c>
      <c r="G10" s="35" t="s">
        <v>96</v>
      </c>
      <c r="H10" s="51">
        <f>B13</f>
        <v>5</v>
      </c>
    </row>
    <row r="11" ht="15.75" customHeight="1">
      <c r="G11" s="27" t="s">
        <v>139</v>
      </c>
    </row>
    <row r="12" ht="15.75" customHeight="1">
      <c r="A12" s="31" t="s">
        <v>140</v>
      </c>
      <c r="B12" s="32" t="s">
        <v>202</v>
      </c>
      <c r="C12" s="21"/>
      <c r="D12" s="21"/>
      <c r="E12" s="21"/>
      <c r="F12" s="21"/>
      <c r="G12" s="21"/>
      <c r="H12" s="22"/>
    </row>
    <row r="13" ht="15.75" customHeight="1">
      <c r="A13" s="33" t="s">
        <v>96</v>
      </c>
      <c r="B13" s="32">
        <v>5.0</v>
      </c>
      <c r="C13" s="21"/>
      <c r="D13" s="21"/>
      <c r="E13" s="21"/>
      <c r="F13" s="21"/>
      <c r="G13" s="21"/>
      <c r="H13" s="22"/>
    </row>
    <row r="14" ht="15.75" customHeight="1">
      <c r="A14" s="44" t="s">
        <v>142</v>
      </c>
      <c r="B14" s="21"/>
      <c r="C14" s="21"/>
      <c r="D14" s="21"/>
      <c r="E14" s="21"/>
      <c r="F14" s="21"/>
      <c r="G14" s="21"/>
      <c r="H14" s="22"/>
    </row>
    <row r="15" ht="15.75" customHeight="1">
      <c r="A15" s="64" t="s">
        <v>203</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59"/>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51">
        <f>D39+D40+D41+D42</f>
        <v>60</v>
      </c>
      <c r="I21" s="5"/>
    </row>
    <row r="22" ht="15.75" customHeight="1">
      <c r="G22" s="27" t="s">
        <v>147</v>
      </c>
    </row>
    <row r="23" ht="15.75" customHeight="1">
      <c r="A23" s="31" t="s">
        <v>148</v>
      </c>
      <c r="B23" s="32" t="s">
        <v>65</v>
      </c>
      <c r="C23" s="21"/>
      <c r="D23" s="21"/>
      <c r="E23" s="21"/>
      <c r="F23" s="21"/>
      <c r="G23" s="21"/>
      <c r="H23" s="22"/>
    </row>
    <row r="24" ht="15.75" customHeight="1">
      <c r="A24" s="31" t="s">
        <v>148</v>
      </c>
      <c r="B24" s="20"/>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IFERROR(__xludf.DUMMYFUNCTION("FILTER('Diseño'!D:D,'Diseño'!H:H=$C$5)"),3.0)</f>
        <v>3</v>
      </c>
      <c r="C28" s="22"/>
      <c r="D28" s="20" t="str">
        <f>IFERROR(__xludf.DUMMYFUNCTION("FILTER('Diseño'!E:E,'Diseño'!H:H=$C$5)"),"Traducción de funciones de primera clase en un compilador")</f>
        <v>Traducción de funciones de primera clase en un compilador</v>
      </c>
      <c r="E28" s="22"/>
      <c r="F28" s="20" t="str">
        <f>IFERROR(__xludf.DUMMYFUNCTION("FILTER('Diseño'!F:F,'Diseño'!H:H=$C$5)"),"Paso de argumentos")</f>
        <v>Paso de argumentos</v>
      </c>
      <c r="G28" s="21"/>
      <c r="H28" s="22"/>
    </row>
    <row r="29" ht="15.75" customHeight="1">
      <c r="A29" s="23">
        <v>2.0</v>
      </c>
      <c r="B29" s="20">
        <f>IFERROR(__xludf.DUMMYFUNCTION("""COMPUTED_VALUE"""),3.0)</f>
        <v>3</v>
      </c>
      <c r="C29" s="22"/>
      <c r="D29" s="20" t="str">
        <f>IFERROR(__xludf.DUMMYFUNCTION("""COMPUTED_VALUE"""),"Traducción de funciones de primera clase en un compilador")</f>
        <v>Traducción de funciones de primera clase en un compilador</v>
      </c>
      <c r="E29" s="22"/>
      <c r="F29" s="20" t="str">
        <f>IFERROR(__xludf.DUMMYFUNCTION("""COMPUTED_VALUE"""),"Call Frames")</f>
        <v>Call Frames</v>
      </c>
      <c r="G29" s="21"/>
      <c r="H29" s="22"/>
    </row>
    <row r="30" ht="15.75" customHeight="1">
      <c r="A30" s="23">
        <v>3.0</v>
      </c>
      <c r="B30" s="20">
        <f>IFERROR(__xludf.DUMMYFUNCTION("""COMPUTED_VALUE"""),3.0)</f>
        <v>3</v>
      </c>
      <c r="C30" s="22"/>
      <c r="D30" s="20" t="str">
        <f>IFERROR(__xludf.DUMMYFUNCTION("""COMPUTED_VALUE"""),"Traducción de funciones de primera clase en un compilador")</f>
        <v>Traducción de funciones de primera clase en un compilador</v>
      </c>
      <c r="E30" s="22"/>
      <c r="F30" s="20" t="str">
        <f>IFERROR(__xludf.DUMMYFUNCTION("""COMPUTED_VALUE"""),"Valores de retorno")</f>
        <v>Valores de retorno</v>
      </c>
      <c r="G30" s="21"/>
      <c r="H30" s="22"/>
    </row>
    <row r="31" ht="15.75" customHeight="1">
      <c r="A31" s="23">
        <v>4.0</v>
      </c>
      <c r="B31" s="20">
        <f>IFERROR(__xludf.DUMMYFUNCTION("""COMPUTED_VALUE"""),3.0)</f>
        <v>3</v>
      </c>
      <c r="C31" s="22"/>
      <c r="D31" s="20" t="str">
        <f>IFERROR(__xludf.DUMMYFUNCTION("""COMPUTED_VALUE"""),"Programación orientada a objetos en un compilador")</f>
        <v>Programación orientada a objetos en un compilador</v>
      </c>
      <c r="E31" s="22"/>
      <c r="F31" s="20" t="str">
        <f>IFERROR(__xludf.DUMMYFUNCTION("""COMPUTED_VALUE"""),"Propiedades")</f>
        <v>Propiedades</v>
      </c>
      <c r="G31" s="21"/>
      <c r="H31" s="22"/>
    </row>
    <row r="32" ht="15.75" customHeight="1">
      <c r="A32" s="23">
        <v>5.0</v>
      </c>
      <c r="B32" s="20"/>
      <c r="C32" s="22"/>
      <c r="D32" s="20"/>
      <c r="E32" s="22"/>
      <c r="F32" s="20"/>
      <c r="G32" s="21"/>
      <c r="H32" s="22"/>
    </row>
    <row r="33" ht="15.75" customHeight="1">
      <c r="A33" s="23">
        <v>6.0</v>
      </c>
      <c r="B33" s="20"/>
      <c r="C33" s="22"/>
      <c r="D33" s="20"/>
      <c r="E33" s="22"/>
      <c r="F33" s="20"/>
      <c r="G33" s="21"/>
      <c r="H33" s="22"/>
    </row>
    <row r="34" ht="15.75" customHeight="1">
      <c r="A34" s="23">
        <v>7.0</v>
      </c>
      <c r="B34" s="20"/>
      <c r="C34" s="22"/>
      <c r="D34" s="20"/>
      <c r="E34" s="22"/>
      <c r="F34" s="20"/>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32">
        <v>24.0</v>
      </c>
      <c r="E39" s="21"/>
      <c r="F39" s="21"/>
      <c r="G39" s="21"/>
      <c r="H39" s="22"/>
    </row>
    <row r="40" ht="15.75" customHeight="1">
      <c r="A40" s="23" t="s">
        <v>159</v>
      </c>
      <c r="B40" s="23" t="s">
        <v>158</v>
      </c>
      <c r="C40" s="23" t="s">
        <v>160</v>
      </c>
      <c r="D40" s="32">
        <v>6.0</v>
      </c>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32">
        <v>30.0</v>
      </c>
      <c r="E42" s="21"/>
      <c r="F42" s="21"/>
      <c r="G42" s="21"/>
      <c r="H42" s="22"/>
    </row>
    <row r="43" ht="15.75" customHeight="1"/>
    <row r="44" ht="15.75" customHeight="1">
      <c r="A44" s="42" t="s">
        <v>164</v>
      </c>
      <c r="G44" s="35" t="s">
        <v>96</v>
      </c>
      <c r="H44" s="51">
        <f>B50+B61</f>
        <v>25</v>
      </c>
    </row>
    <row r="45" ht="15.75" customHeight="1">
      <c r="G45" s="27" t="s">
        <v>165</v>
      </c>
    </row>
    <row r="46" ht="15.75" customHeight="1">
      <c r="A46" s="27" t="s">
        <v>166</v>
      </c>
    </row>
    <row r="47" ht="15.75" customHeight="1">
      <c r="A47" s="31" t="s">
        <v>167</v>
      </c>
      <c r="B47" s="32" t="s">
        <v>65</v>
      </c>
      <c r="C47" s="21"/>
      <c r="D47" s="21"/>
      <c r="E47" s="21"/>
      <c r="F47" s="21"/>
      <c r="G47" s="21"/>
      <c r="H47" s="22"/>
    </row>
    <row r="48" ht="15.75" customHeight="1">
      <c r="A48" s="31" t="s">
        <v>168</v>
      </c>
      <c r="B48" s="32" t="s">
        <v>169</v>
      </c>
      <c r="C48" s="21"/>
      <c r="D48" s="21"/>
      <c r="E48" s="21"/>
      <c r="F48" s="21"/>
      <c r="G48" s="21"/>
      <c r="H48" s="22"/>
    </row>
    <row r="49" ht="15.75" customHeight="1">
      <c r="A49" s="31" t="s">
        <v>136</v>
      </c>
      <c r="B49" s="58">
        <v>0.0</v>
      </c>
      <c r="C49" s="21"/>
      <c r="D49" s="21"/>
      <c r="E49" s="21"/>
      <c r="F49" s="21"/>
      <c r="G49" s="21"/>
      <c r="H49" s="22"/>
    </row>
    <row r="50" ht="15.75" customHeight="1">
      <c r="A50" s="31" t="s">
        <v>96</v>
      </c>
      <c r="B50" s="32">
        <v>25.0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64" t="s">
        <v>200</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51">
        <f>B70</f>
        <v>10</v>
      </c>
    </row>
    <row r="69" ht="15.75" customHeight="1">
      <c r="G69" s="27" t="s">
        <v>175</v>
      </c>
    </row>
    <row r="70" ht="15.75" customHeight="1">
      <c r="A70" s="31" t="s">
        <v>96</v>
      </c>
      <c r="B70" s="63">
        <v>10.0</v>
      </c>
      <c r="C70" s="21"/>
      <c r="D70" s="21"/>
      <c r="E70" s="21"/>
      <c r="F70" s="21"/>
      <c r="G70" s="21"/>
      <c r="H70" s="22"/>
    </row>
    <row r="71" ht="15.75" customHeight="1">
      <c r="A71" s="57" t="s">
        <v>176</v>
      </c>
      <c r="B71" s="21"/>
      <c r="C71" s="21"/>
      <c r="D71" s="21"/>
      <c r="E71" s="21"/>
      <c r="F71" s="21"/>
      <c r="G71" s="21"/>
      <c r="H71" s="22"/>
    </row>
    <row r="72" ht="15.75" customHeight="1">
      <c r="A72" s="64" t="s">
        <v>201</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10.0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IF((H10+H21+H44+H68)&lt;100, "❌ ERROR: El tiempo total debe ser de al menos 100 min.", "✅ VALIDACIÓN CORRECTA")))</f>
        <v>✅ VALIDACIÓN CORRECTA</v>
      </c>
      <c r="D8" s="21"/>
      <c r="E8" s="21"/>
      <c r="F8" s="21"/>
      <c r="G8" s="22"/>
      <c r="I8" s="5"/>
      <c r="J8" s="5"/>
      <c r="K8" s="5"/>
    </row>
    <row r="9" ht="15.75" customHeight="1"/>
    <row r="10" ht="15.75" customHeight="1">
      <c r="A10" s="42" t="s">
        <v>138</v>
      </c>
      <c r="G10" s="35" t="s">
        <v>96</v>
      </c>
      <c r="H10" s="51">
        <f>B13</f>
        <v>5</v>
      </c>
    </row>
    <row r="11" ht="15.75" customHeight="1">
      <c r="G11" s="27" t="s">
        <v>139</v>
      </c>
    </row>
    <row r="12" ht="15.75" customHeight="1">
      <c r="A12" s="31" t="s">
        <v>140</v>
      </c>
      <c r="B12" s="32" t="s">
        <v>185</v>
      </c>
      <c r="C12" s="21"/>
      <c r="D12" s="21"/>
      <c r="E12" s="21"/>
      <c r="F12" s="21"/>
      <c r="G12" s="21"/>
      <c r="H12" s="22"/>
    </row>
    <row r="13" ht="15.75" customHeight="1">
      <c r="A13" s="33" t="s">
        <v>96</v>
      </c>
      <c r="B13" s="32">
        <v>5.0</v>
      </c>
      <c r="C13" s="21"/>
      <c r="D13" s="21"/>
      <c r="E13" s="21"/>
      <c r="F13" s="21"/>
      <c r="G13" s="21"/>
      <c r="H13" s="22"/>
    </row>
    <row r="14" ht="15.75" customHeight="1">
      <c r="A14" s="44" t="s">
        <v>142</v>
      </c>
      <c r="B14" s="21"/>
      <c r="C14" s="21"/>
      <c r="D14" s="21"/>
      <c r="E14" s="21"/>
      <c r="F14" s="21"/>
      <c r="G14" s="21"/>
      <c r="H14" s="22"/>
    </row>
    <row r="15" ht="15.75" customHeight="1">
      <c r="A15" s="64" t="s">
        <v>204</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59"/>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51">
        <f>D39+D40+D41+D42</f>
        <v>60</v>
      </c>
      <c r="I21" s="5"/>
    </row>
    <row r="22" ht="15.75" customHeight="1">
      <c r="G22" s="27" t="s">
        <v>147</v>
      </c>
    </row>
    <row r="23" ht="15.75" customHeight="1">
      <c r="A23" s="31" t="s">
        <v>148</v>
      </c>
      <c r="B23" s="20"/>
      <c r="C23" s="21"/>
      <c r="D23" s="21"/>
      <c r="E23" s="21"/>
      <c r="F23" s="21"/>
      <c r="G23" s="21"/>
      <c r="H23" s="22"/>
    </row>
    <row r="24" ht="15.75" customHeight="1">
      <c r="A24" s="31" t="s">
        <v>148</v>
      </c>
      <c r="B24" s="20"/>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32">
        <v>3.0</v>
      </c>
      <c r="C28" s="22"/>
      <c r="D28" s="32" t="s">
        <v>79</v>
      </c>
      <c r="E28" s="22"/>
      <c r="F28" s="32" t="s">
        <v>81</v>
      </c>
      <c r="G28" s="21"/>
      <c r="H28" s="22"/>
    </row>
    <row r="29" ht="15.75" customHeight="1">
      <c r="A29" s="23">
        <v>2.0</v>
      </c>
      <c r="B29" s="32">
        <v>3.0</v>
      </c>
      <c r="C29" s="22"/>
      <c r="D29" s="32" t="s">
        <v>79</v>
      </c>
      <c r="E29" s="22"/>
      <c r="F29" s="32" t="s">
        <v>205</v>
      </c>
      <c r="G29" s="21"/>
      <c r="H29" s="22"/>
    </row>
    <row r="30" ht="15.75" customHeight="1">
      <c r="A30" s="23">
        <v>3.0</v>
      </c>
      <c r="B30" s="32">
        <v>3.0</v>
      </c>
      <c r="C30" s="22"/>
      <c r="D30" s="32" t="s">
        <v>85</v>
      </c>
      <c r="E30" s="22"/>
      <c r="F30" s="32" t="s">
        <v>86</v>
      </c>
      <c r="G30" s="21"/>
      <c r="H30" s="22"/>
    </row>
    <row r="31" ht="15.75" customHeight="1">
      <c r="A31" s="23">
        <v>4.0</v>
      </c>
      <c r="B31" s="32">
        <v>3.0</v>
      </c>
      <c r="C31" s="22"/>
      <c r="D31" s="32" t="s">
        <v>85</v>
      </c>
      <c r="E31" s="22"/>
      <c r="F31" s="32" t="s">
        <v>87</v>
      </c>
      <c r="G31" s="21"/>
      <c r="H31" s="22"/>
    </row>
    <row r="32" ht="15.75" customHeight="1">
      <c r="A32" s="23">
        <v>5.0</v>
      </c>
      <c r="B32" s="20"/>
      <c r="C32" s="22"/>
      <c r="D32" s="20"/>
      <c r="E32" s="22"/>
      <c r="F32" s="20"/>
      <c r="G32" s="21"/>
      <c r="H32" s="22"/>
    </row>
    <row r="33" ht="15.75" customHeight="1">
      <c r="A33" s="23">
        <v>6.0</v>
      </c>
      <c r="B33" s="20"/>
      <c r="C33" s="22"/>
      <c r="D33" s="20"/>
      <c r="E33" s="22"/>
      <c r="F33" s="20"/>
      <c r="G33" s="21"/>
      <c r="H33" s="22"/>
    </row>
    <row r="34" ht="15.75" customHeight="1">
      <c r="A34" s="23">
        <v>7.0</v>
      </c>
      <c r="B34" s="20"/>
      <c r="C34" s="22"/>
      <c r="D34" s="20"/>
      <c r="E34" s="22"/>
      <c r="F34" s="20"/>
      <c r="G34" s="21"/>
      <c r="H34" s="22"/>
    </row>
    <row r="35" ht="15.75" customHeight="1"/>
    <row r="36" ht="15.75" customHeight="1">
      <c r="A36" s="52" t="s">
        <v>153</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32">
        <v>24.0</v>
      </c>
      <c r="E39" s="21"/>
      <c r="F39" s="21"/>
      <c r="G39" s="21"/>
      <c r="H39" s="22"/>
    </row>
    <row r="40" ht="15.75" customHeight="1">
      <c r="A40" s="23" t="s">
        <v>159</v>
      </c>
      <c r="B40" s="23" t="s">
        <v>158</v>
      </c>
      <c r="C40" s="23" t="s">
        <v>160</v>
      </c>
      <c r="D40" s="32">
        <v>6.0</v>
      </c>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32">
        <v>30.0</v>
      </c>
      <c r="E42" s="21"/>
      <c r="F42" s="21"/>
      <c r="G42" s="21"/>
      <c r="H42" s="22"/>
    </row>
    <row r="43" ht="15.75" customHeight="1"/>
    <row r="44" ht="15.75" customHeight="1">
      <c r="A44" s="42" t="s">
        <v>164</v>
      </c>
      <c r="G44" s="35" t="s">
        <v>96</v>
      </c>
      <c r="H44" s="51">
        <f>B50+B61</f>
        <v>25</v>
      </c>
    </row>
    <row r="45" ht="15.75" customHeight="1">
      <c r="G45" s="27" t="s">
        <v>165</v>
      </c>
    </row>
    <row r="46" ht="15.75" customHeight="1">
      <c r="A46" s="27" t="s">
        <v>166</v>
      </c>
    </row>
    <row r="47" ht="15.75" customHeight="1">
      <c r="A47" s="31" t="s">
        <v>167</v>
      </c>
      <c r="B47" s="32" t="s">
        <v>65</v>
      </c>
      <c r="C47" s="21"/>
      <c r="D47" s="21"/>
      <c r="E47" s="21"/>
      <c r="F47" s="21"/>
      <c r="G47" s="21"/>
      <c r="H47" s="22"/>
    </row>
    <row r="48" ht="15.75" customHeight="1">
      <c r="A48" s="31" t="s">
        <v>168</v>
      </c>
      <c r="B48" s="32" t="s">
        <v>169</v>
      </c>
      <c r="C48" s="21"/>
      <c r="D48" s="21"/>
      <c r="E48" s="21"/>
      <c r="F48" s="21"/>
      <c r="G48" s="21"/>
      <c r="H48" s="22"/>
    </row>
    <row r="49" ht="15.75" customHeight="1">
      <c r="A49" s="31" t="s">
        <v>136</v>
      </c>
      <c r="B49" s="58">
        <v>0.0</v>
      </c>
      <c r="C49" s="21"/>
      <c r="D49" s="21"/>
      <c r="E49" s="21"/>
      <c r="F49" s="21"/>
      <c r="G49" s="21"/>
      <c r="H49" s="22"/>
    </row>
    <row r="50" ht="15.75" customHeight="1">
      <c r="A50" s="31" t="s">
        <v>96</v>
      </c>
      <c r="B50" s="32">
        <v>25.0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64" t="s">
        <v>200</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51">
        <f>B70</f>
        <v>10</v>
      </c>
    </row>
    <row r="69" ht="15.75" customHeight="1">
      <c r="G69" s="27" t="s">
        <v>175</v>
      </c>
    </row>
    <row r="70" ht="15.75" customHeight="1">
      <c r="A70" s="31" t="s">
        <v>96</v>
      </c>
      <c r="B70" s="63">
        <v>10.0</v>
      </c>
      <c r="C70" s="21"/>
      <c r="D70" s="21"/>
      <c r="E70" s="21"/>
      <c r="F70" s="21"/>
      <c r="G70" s="21"/>
      <c r="H70" s="22"/>
    </row>
    <row r="71" ht="15.75" customHeight="1">
      <c r="A71" s="57" t="s">
        <v>176</v>
      </c>
      <c r="B71" s="21"/>
      <c r="C71" s="21"/>
      <c r="D71" s="21"/>
      <c r="E71" s="21"/>
      <c r="F71" s="21"/>
      <c r="G71" s="21"/>
      <c r="H71" s="22"/>
    </row>
    <row r="72" ht="15.75" customHeight="1">
      <c r="A72" s="64" t="s">
        <v>201</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135</v>
      </c>
    </row>
    <row r="3" ht="15.75" customHeight="1"/>
    <row r="4" ht="15.75" customHeight="1">
      <c r="B4" s="19" t="s">
        <v>1</v>
      </c>
      <c r="C4" s="20" t="str">
        <f>'Diseño'!C4</f>
        <v>781 - Organización de Lenguajes y Compiladores 2</v>
      </c>
      <c r="D4" s="21"/>
      <c r="E4" s="21"/>
      <c r="F4" s="21"/>
      <c r="G4" s="22"/>
    </row>
    <row r="5" ht="15.75" customHeight="1">
      <c r="B5" s="23" t="s">
        <v>11</v>
      </c>
      <c r="C5" s="20">
        <v>11.0</v>
      </c>
      <c r="D5" s="21"/>
      <c r="E5" s="21"/>
      <c r="F5" s="21"/>
      <c r="G5" s="22"/>
    </row>
    <row r="6" ht="15.75" customHeight="1">
      <c r="B6" s="41" t="s">
        <v>94</v>
      </c>
      <c r="C6" s="20">
        <f>H10+H21+H44+H68</f>
        <v>100</v>
      </c>
      <c r="D6" s="21"/>
      <c r="E6" s="21"/>
      <c r="F6" s="21"/>
      <c r="G6" s="22"/>
      <c r="I6" s="5"/>
    </row>
    <row r="7" ht="15.75" customHeight="1">
      <c r="B7" s="41" t="s">
        <v>136</v>
      </c>
      <c r="C7" s="20">
        <f>B49+B60</f>
        <v>0</v>
      </c>
      <c r="D7" s="21"/>
      <c r="E7" s="21"/>
      <c r="F7" s="21"/>
      <c r="G7" s="22"/>
    </row>
    <row r="8" ht="15.75" customHeight="1">
      <c r="B8" s="41" t="s">
        <v>137</v>
      </c>
      <c r="C8" s="20" t="str">
        <f>IF(H44&lt;=0, "❌ ERROR: La Actividad 1 debe tener un tiempo mayor a 0.", IF(H21&gt;60, "❌ ERROR: El 'Área de Conocimiento' no puede exceder los 60 min.", IF((H10+H21+H44+H68)&lt;100, "❌ ERROR: El tiempo total debe ser de al menos 100 min.", "✅ VALIDACIÓN CORRECTA")))</f>
        <v>✅ VALIDACIÓN CORRECTA</v>
      </c>
      <c r="D8" s="21"/>
      <c r="E8" s="21"/>
      <c r="F8" s="21"/>
      <c r="G8" s="22"/>
      <c r="I8" s="5"/>
      <c r="J8" s="5"/>
      <c r="K8" s="5"/>
    </row>
    <row r="9" ht="15.75" customHeight="1"/>
    <row r="10" ht="15.75" customHeight="1">
      <c r="A10" s="42" t="s">
        <v>138</v>
      </c>
      <c r="G10" s="35" t="s">
        <v>96</v>
      </c>
      <c r="H10" s="51">
        <f>B13</f>
        <v>5</v>
      </c>
    </row>
    <row r="11" ht="15.75" customHeight="1">
      <c r="G11" s="27" t="s">
        <v>139</v>
      </c>
    </row>
    <row r="12" ht="15.75" customHeight="1">
      <c r="A12" s="31" t="s">
        <v>140</v>
      </c>
      <c r="B12" s="32" t="s">
        <v>194</v>
      </c>
      <c r="C12" s="21"/>
      <c r="D12" s="21"/>
      <c r="E12" s="21"/>
      <c r="F12" s="21"/>
      <c r="G12" s="21"/>
      <c r="H12" s="22"/>
    </row>
    <row r="13" ht="15.75" customHeight="1">
      <c r="A13" s="33" t="s">
        <v>96</v>
      </c>
      <c r="B13" s="32">
        <v>5.0</v>
      </c>
      <c r="C13" s="21"/>
      <c r="D13" s="21"/>
      <c r="E13" s="21"/>
      <c r="F13" s="21"/>
      <c r="G13" s="21"/>
      <c r="H13" s="22"/>
    </row>
    <row r="14" ht="15.75" customHeight="1">
      <c r="A14" s="44" t="s">
        <v>142</v>
      </c>
      <c r="B14" s="21"/>
      <c r="C14" s="21"/>
      <c r="D14" s="21"/>
      <c r="E14" s="21"/>
      <c r="F14" s="21"/>
      <c r="G14" s="21"/>
      <c r="H14" s="22"/>
    </row>
    <row r="15" ht="15.75" customHeight="1">
      <c r="A15" s="64" t="s">
        <v>206</v>
      </c>
      <c r="B15" s="46"/>
      <c r="C15" s="46"/>
      <c r="D15" s="46"/>
      <c r="E15" s="46"/>
      <c r="F15" s="46"/>
      <c r="G15" s="46"/>
      <c r="H15" s="47"/>
    </row>
    <row r="16" ht="15.75" customHeight="1">
      <c r="A16" s="48"/>
      <c r="B16" s="49"/>
      <c r="C16" s="49"/>
      <c r="D16" s="49"/>
      <c r="E16" s="49"/>
      <c r="F16" s="49"/>
      <c r="G16" s="49"/>
      <c r="H16" s="50"/>
    </row>
    <row r="17" ht="15.75" customHeight="1">
      <c r="A17" s="44" t="s">
        <v>144</v>
      </c>
      <c r="B17" s="21"/>
      <c r="C17" s="21"/>
      <c r="D17" s="21"/>
      <c r="E17" s="21"/>
      <c r="F17" s="21"/>
      <c r="G17" s="21"/>
      <c r="H17" s="22"/>
    </row>
    <row r="18" ht="15.75" customHeight="1">
      <c r="A18" s="59"/>
      <c r="B18" s="46"/>
      <c r="C18" s="46"/>
      <c r="D18" s="46"/>
      <c r="E18" s="46"/>
      <c r="F18" s="46"/>
      <c r="G18" s="46"/>
      <c r="H18" s="47"/>
    </row>
    <row r="19" ht="15.75" customHeight="1">
      <c r="A19" s="48"/>
      <c r="B19" s="49"/>
      <c r="C19" s="49"/>
      <c r="D19" s="49"/>
      <c r="E19" s="49"/>
      <c r="F19" s="49"/>
      <c r="G19" s="49"/>
      <c r="H19" s="50"/>
    </row>
    <row r="20" ht="15.75" customHeight="1"/>
    <row r="21" ht="15.75" customHeight="1">
      <c r="A21" s="42" t="s">
        <v>146</v>
      </c>
      <c r="G21" s="35" t="s">
        <v>96</v>
      </c>
      <c r="H21" s="51">
        <f>D39+D40+D41+D42</f>
        <v>60</v>
      </c>
      <c r="I21" s="5"/>
    </row>
    <row r="22" ht="15.75" customHeight="1">
      <c r="G22" s="27" t="s">
        <v>147</v>
      </c>
    </row>
    <row r="23" ht="15.75" customHeight="1">
      <c r="A23" s="31" t="s">
        <v>148</v>
      </c>
      <c r="B23" s="32" t="s">
        <v>65</v>
      </c>
      <c r="C23" s="21"/>
      <c r="D23" s="21"/>
      <c r="E23" s="21"/>
      <c r="F23" s="21"/>
      <c r="G23" s="21"/>
      <c r="H23" s="22"/>
    </row>
    <row r="24" ht="15.75" customHeight="1">
      <c r="A24" s="31" t="s">
        <v>148</v>
      </c>
      <c r="B24" s="20"/>
      <c r="C24" s="21"/>
      <c r="D24" s="21"/>
      <c r="E24" s="21"/>
      <c r="F24" s="21"/>
      <c r="G24" s="21"/>
      <c r="H24" s="22"/>
    </row>
    <row r="25" ht="15.75" customHeight="1"/>
    <row r="26" ht="15.75" customHeight="1">
      <c r="A26" s="52" t="s">
        <v>149</v>
      </c>
      <c r="B26" s="5"/>
      <c r="C26" s="5"/>
      <c r="D26" s="5"/>
    </row>
    <row r="27" ht="15.75" customHeight="1">
      <c r="A27" s="53" t="s">
        <v>5</v>
      </c>
      <c r="B27" s="54" t="s">
        <v>150</v>
      </c>
      <c r="C27" s="22"/>
      <c r="D27" s="54" t="s">
        <v>151</v>
      </c>
      <c r="E27" s="22"/>
      <c r="F27" s="54" t="s">
        <v>152</v>
      </c>
      <c r="G27" s="21"/>
      <c r="H27" s="22"/>
    </row>
    <row r="28" ht="15.75" customHeight="1">
      <c r="A28" s="23">
        <v>1.0</v>
      </c>
      <c r="B28" s="20">
        <f>IFERROR(__xludf.DUMMYFUNCTION("FILTER('Diseño'!D:D,'Diseño'!H:H=$C$5)"),3.0)</f>
        <v>3</v>
      </c>
      <c r="C28" s="22"/>
      <c r="D28" s="20" t="str">
        <f>IFERROR(__xludf.DUMMYFUNCTION("FILTER('Diseño'!E:E,'Diseño'!H:H=$C$5)"),"Programación orientada a objetos en un compilador")</f>
        <v>Programación orientada a objetos en un compilador</v>
      </c>
      <c r="E28" s="22"/>
      <c r="F28" s="20" t="str">
        <f>IFERROR(__xludf.DUMMYFUNCTION("FILTER('Diseño'!F:F,'Diseño'!H:H=$C$5)"),"Métodos")</f>
        <v>Métodos</v>
      </c>
      <c r="G28" s="21"/>
      <c r="H28" s="22"/>
    </row>
    <row r="29" ht="15.75" customHeight="1">
      <c r="A29" s="23">
        <v>2.0</v>
      </c>
      <c r="B29" s="20">
        <f>IFERROR(__xludf.DUMMYFUNCTION("""COMPUTED_VALUE"""),3.0)</f>
        <v>3</v>
      </c>
      <c r="C29" s="22"/>
      <c r="D29" s="20" t="str">
        <f>IFERROR(__xludf.DUMMYFUNCTION("""COMPUTED_VALUE"""),"Programación orientada a objetos en un compilador")</f>
        <v>Programación orientada a objetos en un compilador</v>
      </c>
      <c r="E29" s="22"/>
      <c r="F29" s="20" t="str">
        <f>IFERROR(__xludf.DUMMYFUNCTION("""COMPUTED_VALUE"""),"Manejo del heap")</f>
        <v>Manejo del heap</v>
      </c>
      <c r="G29" s="21"/>
      <c r="H29" s="22"/>
    </row>
    <row r="30" ht="15.75" customHeight="1">
      <c r="A30" s="23">
        <v>3.0</v>
      </c>
      <c r="B30" s="20">
        <f>IFERROR(__xludf.DUMMYFUNCTION("""COMPUTED_VALUE"""),4.0)</f>
        <v>4</v>
      </c>
      <c r="C30" s="22"/>
      <c r="D30" s="20" t="str">
        <f>IFERROR(__xludf.DUMMYFUNCTION("""COMPUTED_VALUE"""),"Optimización de código")</f>
        <v>Optimización de código</v>
      </c>
      <c r="E30" s="22"/>
      <c r="F30" s="20" t="str">
        <f>IFERROR(__xludf.DUMMYFUNCTION("""COMPUTED_VALUE"""),"Eliminación de código muerto")</f>
        <v>Eliminación de código muerto</v>
      </c>
      <c r="G30" s="21"/>
      <c r="H30" s="22"/>
    </row>
    <row r="31" ht="15.75" customHeight="1">
      <c r="A31" s="23">
        <v>4.0</v>
      </c>
      <c r="B31" s="20">
        <f>IFERROR(__xludf.DUMMYFUNCTION("""COMPUTED_VALUE"""),4.0)</f>
        <v>4</v>
      </c>
      <c r="C31" s="22"/>
      <c r="D31" s="20" t="str">
        <f>IFERROR(__xludf.DUMMYFUNCTION("""COMPUTED_VALUE"""),"Optimización de código")</f>
        <v>Optimización de código</v>
      </c>
      <c r="E31" s="22"/>
      <c r="F31" s="20" t="str">
        <f>IFERROR(__xludf.DUMMYFUNCTION("""COMPUTED_VALUE"""),"Propagación de constantes")</f>
        <v>Propagación de constantes</v>
      </c>
      <c r="G31" s="21"/>
      <c r="H31" s="22"/>
    </row>
    <row r="32" ht="15.75" customHeight="1">
      <c r="A32" s="23">
        <v>5.0</v>
      </c>
      <c r="B32" s="20">
        <f>IFERROR(__xludf.DUMMYFUNCTION("""COMPUTED_VALUE"""),4.0)</f>
        <v>4</v>
      </c>
      <c r="C32" s="22"/>
      <c r="D32" s="20" t="str">
        <f>IFERROR(__xludf.DUMMYFUNCTION("""COMPUTED_VALUE"""),"Optimización de código")</f>
        <v>Optimización de código</v>
      </c>
      <c r="E32" s="22"/>
      <c r="F32" s="20" t="str">
        <f>IFERROR(__xludf.DUMMYFUNCTION("""COMPUTED_VALUE"""),"Optmización de bucles")</f>
        <v>Optmización de bucles</v>
      </c>
      <c r="G32" s="21"/>
      <c r="H32" s="22"/>
    </row>
    <row r="33" ht="15.75" customHeight="1">
      <c r="A33" s="23">
        <v>6.0</v>
      </c>
      <c r="B33" s="20">
        <f>IFERROR(__xludf.DUMMYFUNCTION("""COMPUTED_VALUE"""),4.0)</f>
        <v>4</v>
      </c>
      <c r="C33" s="22"/>
      <c r="D33" s="20" t="str">
        <f>IFERROR(__xludf.DUMMYFUNCTION("""COMPUTED_VALUE"""),"Optimización de código")</f>
        <v>Optimización de código</v>
      </c>
      <c r="E33" s="22"/>
      <c r="F33" s="20" t="str">
        <f>IFERROR(__xludf.DUMMYFUNCTION("""COMPUTED_VALUE"""),"Simplificación Algebraica")</f>
        <v>Simplificación Algebraica</v>
      </c>
      <c r="G33" s="21"/>
      <c r="H33" s="22"/>
    </row>
    <row r="34" ht="15.75" customHeight="1">
      <c r="A34" s="23">
        <v>7.0</v>
      </c>
      <c r="B34" s="20">
        <f>IFERROR(__xludf.DUMMYFUNCTION("""COMPUTED_VALUE"""),4.0)</f>
        <v>4</v>
      </c>
      <c r="C34" s="22"/>
      <c r="D34" s="20" t="str">
        <f>IFERROR(__xludf.DUMMYFUNCTION("""COMPUTED_VALUE"""),"Optimización de código")</f>
        <v>Optimización de código</v>
      </c>
      <c r="E34" s="22"/>
      <c r="F34" s="20" t="str">
        <f>IFERROR(__xludf.DUMMYFUNCTION("""COMPUTED_VALUE"""),"Optimización de saltos condicionales")</f>
        <v>Optimización de saltos condicionales</v>
      </c>
      <c r="G34" s="21"/>
      <c r="H34" s="22"/>
    </row>
    <row r="35" ht="15.75" customHeight="1">
      <c r="B35" s="66">
        <f>IFERROR(__xludf.DUMMYFUNCTION("""COMPUTED_VALUE"""),4.0)</f>
        <v>4</v>
      </c>
      <c r="D35" s="66" t="str">
        <f>IFERROR(__xludf.DUMMYFUNCTION("""COMPUTED_VALUE"""),"Recolección de basura")</f>
        <v>Recolección de basura</v>
      </c>
      <c r="F35" s="66" t="str">
        <f>IFERROR(__xludf.DUMMYFUNCTION("""COMPUTED_VALUE"""),"Garbage Collection")</f>
        <v>Garbage Collection</v>
      </c>
    </row>
    <row r="36" ht="15.75" customHeight="1">
      <c r="A36" s="52" t="s">
        <v>153</v>
      </c>
      <c r="B36" s="66">
        <f>IFERROR(__xludf.DUMMYFUNCTION("""COMPUTED_VALUE"""),4.0)</f>
        <v>4</v>
      </c>
      <c r="D36" s="66" t="str">
        <f>IFERROR(__xludf.DUMMYFUNCTION("""COMPUTED_VALUE"""),"Recolección de basura")</f>
        <v>Recolección de basura</v>
      </c>
      <c r="F36" s="66" t="str">
        <f>IFERROR(__xludf.DUMMYFUNCTION("""COMPUTED_VALUE"""),"Memory Leaks")</f>
        <v>Memory Leaks</v>
      </c>
    </row>
    <row r="37" ht="15.75" customHeight="1">
      <c r="A37" s="5"/>
      <c r="B37" s="5"/>
      <c r="C37" s="5"/>
      <c r="D37" s="5"/>
      <c r="E37" s="5"/>
      <c r="F37" s="5"/>
      <c r="G37" s="5"/>
      <c r="H37" s="5"/>
    </row>
    <row r="38" ht="15.75" customHeight="1">
      <c r="A38" s="53" t="s">
        <v>154</v>
      </c>
      <c r="B38" s="53" t="s">
        <v>155</v>
      </c>
      <c r="C38" s="56" t="s">
        <v>156</v>
      </c>
      <c r="D38" s="57" t="s">
        <v>96</v>
      </c>
      <c r="E38" s="21"/>
      <c r="F38" s="21"/>
      <c r="G38" s="21"/>
      <c r="H38" s="22"/>
    </row>
    <row r="39" ht="15.75" customHeight="1">
      <c r="A39" s="23" t="s">
        <v>157</v>
      </c>
      <c r="B39" s="23" t="s">
        <v>158</v>
      </c>
      <c r="C39" s="23"/>
      <c r="D39" s="32">
        <v>24.0</v>
      </c>
      <c r="E39" s="21"/>
      <c r="F39" s="21"/>
      <c r="G39" s="21"/>
      <c r="H39" s="22"/>
    </row>
    <row r="40" ht="15.75" customHeight="1">
      <c r="A40" s="23" t="s">
        <v>159</v>
      </c>
      <c r="B40" s="23" t="s">
        <v>158</v>
      </c>
      <c r="C40" s="23" t="s">
        <v>160</v>
      </c>
      <c r="D40" s="32">
        <v>6.0</v>
      </c>
      <c r="E40" s="21"/>
      <c r="F40" s="21"/>
      <c r="G40" s="21"/>
      <c r="H40" s="22"/>
    </row>
    <row r="41" ht="15.75" customHeight="1">
      <c r="A41" s="23" t="s">
        <v>161</v>
      </c>
      <c r="B41" s="23" t="s">
        <v>162</v>
      </c>
      <c r="C41" s="23"/>
      <c r="D41" s="20"/>
      <c r="E41" s="21"/>
      <c r="F41" s="21"/>
      <c r="G41" s="21"/>
      <c r="H41" s="22"/>
    </row>
    <row r="42" ht="15.75" customHeight="1">
      <c r="A42" s="23" t="s">
        <v>163</v>
      </c>
      <c r="B42" s="23" t="s">
        <v>158</v>
      </c>
      <c r="C42" s="23"/>
      <c r="D42" s="32">
        <v>30.0</v>
      </c>
      <c r="E42" s="21"/>
      <c r="F42" s="21"/>
      <c r="G42" s="21"/>
      <c r="H42" s="22"/>
    </row>
    <row r="43" ht="15.75" customHeight="1"/>
    <row r="44" ht="15.75" customHeight="1">
      <c r="A44" s="42" t="s">
        <v>164</v>
      </c>
      <c r="G44" s="35" t="s">
        <v>96</v>
      </c>
      <c r="H44" s="51">
        <f>B50+B61</f>
        <v>25</v>
      </c>
    </row>
    <row r="45" ht="15.75" customHeight="1">
      <c r="G45" s="27" t="s">
        <v>165</v>
      </c>
    </row>
    <row r="46" ht="15.75" customHeight="1">
      <c r="A46" s="27" t="s">
        <v>166</v>
      </c>
    </row>
    <row r="47" ht="15.75" customHeight="1">
      <c r="A47" s="31" t="s">
        <v>167</v>
      </c>
      <c r="B47" s="32" t="s">
        <v>65</v>
      </c>
      <c r="C47" s="21"/>
      <c r="D47" s="21"/>
      <c r="E47" s="21"/>
      <c r="F47" s="21"/>
      <c r="G47" s="21"/>
      <c r="H47" s="22"/>
    </row>
    <row r="48" ht="15.75" customHeight="1">
      <c r="A48" s="31" t="s">
        <v>168</v>
      </c>
      <c r="B48" s="20" t="s">
        <v>169</v>
      </c>
      <c r="C48" s="21"/>
      <c r="D48" s="21"/>
      <c r="E48" s="21"/>
      <c r="F48" s="21"/>
      <c r="G48" s="21"/>
      <c r="H48" s="22"/>
    </row>
    <row r="49" ht="15.75" customHeight="1">
      <c r="A49" s="31" t="s">
        <v>136</v>
      </c>
      <c r="B49" s="58">
        <v>0.0</v>
      </c>
      <c r="C49" s="21"/>
      <c r="D49" s="21"/>
      <c r="E49" s="21"/>
      <c r="F49" s="21"/>
      <c r="G49" s="21"/>
      <c r="H49" s="22"/>
    </row>
    <row r="50" ht="15.75" customHeight="1">
      <c r="A50" s="31" t="s">
        <v>96</v>
      </c>
      <c r="B50" s="32">
        <v>25.0</v>
      </c>
      <c r="C50" s="21"/>
      <c r="D50" s="21"/>
      <c r="E50" s="21"/>
      <c r="F50" s="21"/>
      <c r="G50" s="21"/>
      <c r="H50" s="22"/>
    </row>
    <row r="51" ht="15.75" customHeight="1">
      <c r="A51" s="38" t="s">
        <v>170</v>
      </c>
      <c r="B51" s="5"/>
      <c r="C51" s="5"/>
      <c r="D51" s="5"/>
      <c r="E51" s="5"/>
      <c r="F51" s="5"/>
      <c r="G51" s="5"/>
      <c r="H51" s="5"/>
    </row>
    <row r="52" ht="15.75" customHeight="1">
      <c r="A52" s="44" t="s">
        <v>171</v>
      </c>
      <c r="B52" s="21"/>
      <c r="C52" s="21"/>
      <c r="D52" s="21"/>
      <c r="E52" s="21"/>
      <c r="F52" s="21"/>
      <c r="G52" s="21"/>
      <c r="H52" s="22"/>
    </row>
    <row r="53" ht="15.75" customHeight="1">
      <c r="A53" s="64" t="s">
        <v>200</v>
      </c>
      <c r="B53" s="46"/>
      <c r="C53" s="46"/>
      <c r="D53" s="46"/>
      <c r="E53" s="46"/>
      <c r="F53" s="46"/>
      <c r="G53" s="46"/>
      <c r="H53" s="47"/>
    </row>
    <row r="54" ht="15.75" customHeight="1">
      <c r="A54" s="60"/>
      <c r="H54" s="61"/>
    </row>
    <row r="55" ht="15.75" customHeight="1">
      <c r="A55" s="48"/>
      <c r="B55" s="49"/>
      <c r="C55" s="49"/>
      <c r="D55" s="49"/>
      <c r="E55" s="49"/>
      <c r="F55" s="49"/>
      <c r="G55" s="49"/>
      <c r="H55" s="50"/>
    </row>
    <row r="56" ht="15.75" customHeight="1"/>
    <row r="57" ht="15.75" customHeight="1">
      <c r="A57" s="27" t="s">
        <v>172</v>
      </c>
    </row>
    <row r="58" ht="15.75" customHeight="1">
      <c r="A58" s="31" t="s">
        <v>167</v>
      </c>
      <c r="B58" s="20"/>
      <c r="C58" s="21"/>
      <c r="D58" s="21"/>
      <c r="E58" s="21"/>
      <c r="F58" s="21"/>
      <c r="G58" s="21"/>
      <c r="H58" s="22"/>
    </row>
    <row r="59" ht="15.75" customHeight="1">
      <c r="A59" s="31" t="s">
        <v>168</v>
      </c>
      <c r="B59" s="20"/>
      <c r="C59" s="21"/>
      <c r="D59" s="21"/>
      <c r="E59" s="21"/>
      <c r="F59" s="21"/>
      <c r="G59" s="21"/>
      <c r="H59" s="22"/>
    </row>
    <row r="60" ht="15.75" customHeight="1">
      <c r="A60" s="31" t="s">
        <v>136</v>
      </c>
      <c r="B60" s="58"/>
      <c r="C60" s="21"/>
      <c r="D60" s="21"/>
      <c r="E60" s="21"/>
      <c r="F60" s="21"/>
      <c r="G60" s="21"/>
      <c r="H60" s="22"/>
    </row>
    <row r="61" ht="15.75" customHeight="1">
      <c r="A61" s="31" t="s">
        <v>96</v>
      </c>
      <c r="B61" s="58"/>
      <c r="C61" s="21"/>
      <c r="D61" s="21"/>
      <c r="E61" s="21"/>
      <c r="F61" s="21"/>
      <c r="G61" s="21"/>
      <c r="H61" s="22"/>
    </row>
    <row r="62" ht="15.75" customHeight="1">
      <c r="A62" s="62" t="s">
        <v>173</v>
      </c>
      <c r="B62" s="5"/>
      <c r="C62" s="5"/>
      <c r="D62" s="5"/>
      <c r="E62" s="5"/>
      <c r="F62" s="5"/>
      <c r="G62" s="5"/>
      <c r="H62" s="5"/>
    </row>
    <row r="63" ht="15.75" customHeight="1">
      <c r="A63" s="44" t="s">
        <v>171</v>
      </c>
      <c r="B63" s="21"/>
      <c r="C63" s="21"/>
      <c r="D63" s="21"/>
      <c r="E63" s="21"/>
      <c r="F63" s="21"/>
      <c r="G63" s="21"/>
      <c r="H63" s="22"/>
    </row>
    <row r="64" ht="15.75" customHeight="1">
      <c r="A64" s="59"/>
      <c r="B64" s="46"/>
      <c r="C64" s="46"/>
      <c r="D64" s="46"/>
      <c r="E64" s="46"/>
      <c r="F64" s="46"/>
      <c r="G64" s="46"/>
      <c r="H64" s="47"/>
    </row>
    <row r="65" ht="15.75" customHeight="1">
      <c r="A65" s="60"/>
      <c r="H65" s="61"/>
    </row>
    <row r="66" ht="15.75" customHeight="1">
      <c r="A66" s="48"/>
      <c r="B66" s="49"/>
      <c r="C66" s="49"/>
      <c r="D66" s="49"/>
      <c r="E66" s="49"/>
      <c r="F66" s="49"/>
      <c r="G66" s="49"/>
      <c r="H66" s="50"/>
    </row>
    <row r="67" ht="15.75" customHeight="1"/>
    <row r="68" ht="15.75" customHeight="1">
      <c r="A68" s="42" t="s">
        <v>174</v>
      </c>
      <c r="G68" s="35" t="s">
        <v>96</v>
      </c>
      <c r="H68" s="51">
        <f>B70</f>
        <v>10</v>
      </c>
    </row>
    <row r="69" ht="15.75" customHeight="1">
      <c r="G69" s="27" t="s">
        <v>175</v>
      </c>
    </row>
    <row r="70" ht="15.75" customHeight="1">
      <c r="A70" s="31" t="s">
        <v>96</v>
      </c>
      <c r="B70" s="63">
        <v>10.0</v>
      </c>
      <c r="C70" s="21"/>
      <c r="D70" s="21"/>
      <c r="E70" s="21"/>
      <c r="F70" s="21"/>
      <c r="G70" s="21"/>
      <c r="H70" s="22"/>
    </row>
    <row r="71" ht="15.75" customHeight="1">
      <c r="A71" s="57" t="s">
        <v>176</v>
      </c>
      <c r="B71" s="21"/>
      <c r="C71" s="21"/>
      <c r="D71" s="21"/>
      <c r="E71" s="21"/>
      <c r="F71" s="21"/>
      <c r="G71" s="21"/>
      <c r="H71" s="22"/>
    </row>
    <row r="72" ht="15.75" customHeight="1">
      <c r="A72" s="64" t="s">
        <v>201</v>
      </c>
      <c r="B72" s="46"/>
      <c r="C72" s="46"/>
      <c r="D72" s="46"/>
      <c r="E72" s="46"/>
      <c r="F72" s="46"/>
      <c r="G72" s="46"/>
      <c r="H72" s="47"/>
    </row>
    <row r="73" ht="15.75" customHeight="1">
      <c r="A73" s="48"/>
      <c r="B73" s="49"/>
      <c r="C73" s="49"/>
      <c r="D73" s="49"/>
      <c r="E73" s="49"/>
      <c r="F73" s="49"/>
      <c r="G73" s="49"/>
      <c r="H73" s="50"/>
    </row>
    <row r="74" ht="15.75" customHeight="1">
      <c r="A74" s="27" t="s">
        <v>178</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0" t="s">
        <v>207</v>
      </c>
    </row>
    <row r="3" ht="15.75" customHeight="1"/>
    <row r="4" ht="15.75" customHeight="1">
      <c r="B4" s="19" t="s">
        <v>1</v>
      </c>
      <c r="C4" s="20" t="str">
        <f>'Diseño'!C4</f>
        <v>781 - Organización de Lenguajes y Compiladores 2</v>
      </c>
      <c r="D4" s="21"/>
      <c r="E4" s="21"/>
      <c r="F4" s="21"/>
      <c r="G4" s="22"/>
    </row>
    <row r="5" ht="15.75" customHeight="1">
      <c r="B5" s="41" t="s">
        <v>94</v>
      </c>
      <c r="C5" s="20">
        <f>H9+H26+H43</f>
        <v>80</v>
      </c>
      <c r="D5" s="21"/>
      <c r="E5" s="21"/>
      <c r="F5" s="21"/>
      <c r="G5" s="22"/>
    </row>
    <row r="6" ht="15.75" customHeight="1">
      <c r="B6" s="41" t="s">
        <v>136</v>
      </c>
      <c r="C6" s="20">
        <f>F9+F26+F43</f>
        <v>90</v>
      </c>
      <c r="D6" s="21"/>
      <c r="E6" s="21"/>
      <c r="F6" s="21"/>
      <c r="G6" s="22"/>
    </row>
    <row r="7" ht="15.75" customHeight="1">
      <c r="B7" s="6" t="s">
        <v>208</v>
      </c>
    </row>
    <row r="8" ht="15.75" customHeight="1"/>
    <row r="9" ht="15.75" customHeight="1">
      <c r="A9" s="42" t="s">
        <v>209</v>
      </c>
      <c r="E9" s="35" t="s">
        <v>136</v>
      </c>
      <c r="F9" s="43">
        <v>35.0</v>
      </c>
      <c r="G9" s="35" t="s">
        <v>210</v>
      </c>
      <c r="H9" s="43">
        <v>35.0</v>
      </c>
    </row>
    <row r="10" ht="15.75" customHeight="1">
      <c r="A10" s="6" t="s">
        <v>158</v>
      </c>
    </row>
    <row r="11" ht="15.75" customHeight="1">
      <c r="A11" s="53" t="s">
        <v>148</v>
      </c>
      <c r="B11" s="32" t="s">
        <v>12</v>
      </c>
      <c r="C11" s="21"/>
      <c r="D11" s="21"/>
      <c r="E11" s="21"/>
      <c r="F11" s="21"/>
      <c r="G11" s="21"/>
      <c r="H11" s="22"/>
    </row>
    <row r="12" ht="15.75" customHeight="1">
      <c r="A12" s="53" t="s">
        <v>148</v>
      </c>
      <c r="B12" s="32" t="s">
        <v>17</v>
      </c>
      <c r="C12" s="21"/>
      <c r="D12" s="21"/>
      <c r="E12" s="21"/>
      <c r="F12" s="21"/>
      <c r="G12" s="21"/>
      <c r="H12" s="22"/>
    </row>
    <row r="13" ht="15.75" customHeight="1">
      <c r="A13" s="53" t="s">
        <v>148</v>
      </c>
      <c r="B13" s="32" t="s">
        <v>19</v>
      </c>
      <c r="C13" s="21"/>
      <c r="D13" s="21"/>
      <c r="E13" s="21"/>
      <c r="F13" s="21"/>
      <c r="G13" s="21"/>
      <c r="H13" s="22"/>
    </row>
    <row r="14" ht="15.75" customHeight="1">
      <c r="A14" s="53" t="s">
        <v>211</v>
      </c>
      <c r="B14" s="32" t="s">
        <v>212</v>
      </c>
      <c r="C14" s="21"/>
      <c r="D14" s="21"/>
      <c r="E14" s="21"/>
      <c r="F14" s="21"/>
      <c r="G14" s="21"/>
      <c r="H14" s="22"/>
    </row>
    <row r="15" ht="15.75" customHeight="1">
      <c r="A15" s="44" t="s">
        <v>213</v>
      </c>
      <c r="B15" s="21"/>
      <c r="C15" s="21"/>
      <c r="D15" s="21"/>
      <c r="E15" s="21"/>
      <c r="F15" s="21"/>
      <c r="G15" s="21"/>
      <c r="H15" s="22"/>
    </row>
    <row r="16" ht="15.75" customHeight="1">
      <c r="A16" s="64" t="s">
        <v>214</v>
      </c>
      <c r="B16" s="46"/>
      <c r="C16" s="46"/>
      <c r="D16" s="46"/>
      <c r="E16" s="46"/>
      <c r="F16" s="46"/>
      <c r="G16" s="46"/>
      <c r="H16" s="47"/>
    </row>
    <row r="17" ht="15.75" customHeight="1">
      <c r="A17" s="60"/>
      <c r="H17" s="61"/>
    </row>
    <row r="18" ht="15.75" customHeight="1">
      <c r="A18" s="48"/>
      <c r="B18" s="49"/>
      <c r="C18" s="49"/>
      <c r="D18" s="49"/>
      <c r="E18" s="49"/>
      <c r="F18" s="49"/>
      <c r="G18" s="49"/>
      <c r="H18" s="50"/>
    </row>
    <row r="19" ht="15.75" customHeight="1">
      <c r="A19" s="44" t="s">
        <v>215</v>
      </c>
      <c r="B19" s="21"/>
      <c r="C19" s="21"/>
      <c r="D19" s="21"/>
      <c r="E19" s="21"/>
      <c r="F19" s="21"/>
      <c r="G19" s="21"/>
      <c r="H19" s="22"/>
    </row>
    <row r="20" ht="15.75" customHeight="1">
      <c r="A20" s="64" t="s">
        <v>216</v>
      </c>
      <c r="B20" s="46"/>
      <c r="C20" s="46"/>
      <c r="D20" s="46"/>
      <c r="E20" s="46"/>
      <c r="F20" s="46"/>
      <c r="G20" s="46"/>
      <c r="H20" s="47"/>
    </row>
    <row r="21" ht="15.75" customHeight="1">
      <c r="A21" s="60"/>
      <c r="H21" s="61"/>
    </row>
    <row r="22" ht="15.75" customHeight="1">
      <c r="A22" s="60"/>
      <c r="H22" s="61"/>
    </row>
    <row r="23" ht="15.75" customHeight="1">
      <c r="A23" s="48"/>
      <c r="B23" s="49"/>
      <c r="C23" s="49"/>
      <c r="D23" s="49"/>
      <c r="E23" s="49"/>
      <c r="F23" s="49"/>
      <c r="G23" s="49"/>
      <c r="H23" s="50"/>
    </row>
    <row r="24" ht="15.75" customHeight="1"/>
    <row r="25" ht="15.75" customHeight="1"/>
    <row r="26" ht="15.75" customHeight="1">
      <c r="A26" s="42" t="s">
        <v>217</v>
      </c>
      <c r="E26" s="35" t="s">
        <v>136</v>
      </c>
      <c r="F26" s="43">
        <v>55.0</v>
      </c>
      <c r="G26" s="35" t="s">
        <v>210</v>
      </c>
      <c r="H26" s="43">
        <v>45.0</v>
      </c>
    </row>
    <row r="27" ht="15.75" customHeight="1">
      <c r="A27" s="6" t="s">
        <v>158</v>
      </c>
    </row>
    <row r="28" ht="15.75" customHeight="1">
      <c r="A28" s="53" t="s">
        <v>148</v>
      </c>
      <c r="B28" s="32" t="s">
        <v>12</v>
      </c>
      <c r="C28" s="21"/>
      <c r="D28" s="21"/>
      <c r="E28" s="21"/>
      <c r="F28" s="21"/>
      <c r="G28" s="21"/>
      <c r="H28" s="22"/>
    </row>
    <row r="29" ht="15.75" customHeight="1">
      <c r="A29" s="53" t="s">
        <v>148</v>
      </c>
      <c r="B29" s="32" t="s">
        <v>83</v>
      </c>
      <c r="C29" s="21"/>
      <c r="D29" s="21"/>
      <c r="E29" s="21"/>
      <c r="F29" s="21"/>
      <c r="G29" s="21"/>
      <c r="H29" s="22"/>
    </row>
    <row r="30" ht="15.75" customHeight="1">
      <c r="A30" s="53" t="s">
        <v>148</v>
      </c>
      <c r="B30" s="32" t="s">
        <v>65</v>
      </c>
      <c r="C30" s="21"/>
      <c r="D30" s="21"/>
      <c r="E30" s="21"/>
      <c r="F30" s="21"/>
      <c r="G30" s="21"/>
      <c r="H30" s="22"/>
    </row>
    <row r="31" ht="15.75" customHeight="1">
      <c r="A31" s="53" t="s">
        <v>211</v>
      </c>
      <c r="B31" s="32" t="s">
        <v>218</v>
      </c>
      <c r="C31" s="21"/>
      <c r="D31" s="21"/>
      <c r="E31" s="21"/>
      <c r="F31" s="21"/>
      <c r="G31" s="21"/>
      <c r="H31" s="22"/>
    </row>
    <row r="32" ht="15.75" customHeight="1">
      <c r="A32" s="44" t="s">
        <v>213</v>
      </c>
      <c r="B32" s="21"/>
      <c r="C32" s="21"/>
      <c r="D32" s="21"/>
      <c r="E32" s="21"/>
      <c r="F32" s="21"/>
      <c r="G32" s="21"/>
      <c r="H32" s="22"/>
    </row>
    <row r="33" ht="15.75" customHeight="1">
      <c r="A33" s="64" t="s">
        <v>219</v>
      </c>
      <c r="B33" s="46"/>
      <c r="C33" s="46"/>
      <c r="D33" s="46"/>
      <c r="E33" s="46"/>
      <c r="F33" s="46"/>
      <c r="G33" s="46"/>
      <c r="H33" s="47"/>
    </row>
    <row r="34" ht="15.75" customHeight="1">
      <c r="A34" s="60"/>
      <c r="H34" s="61"/>
    </row>
    <row r="35" ht="15.75" customHeight="1">
      <c r="A35" s="48"/>
      <c r="B35" s="49"/>
      <c r="C35" s="49"/>
      <c r="D35" s="49"/>
      <c r="E35" s="49"/>
      <c r="F35" s="49"/>
      <c r="G35" s="49"/>
      <c r="H35" s="50"/>
    </row>
    <row r="36" ht="15.75" customHeight="1">
      <c r="A36" s="44" t="s">
        <v>215</v>
      </c>
      <c r="B36" s="21"/>
      <c r="C36" s="21"/>
      <c r="D36" s="21"/>
      <c r="E36" s="21"/>
      <c r="F36" s="21"/>
      <c r="G36" s="21"/>
      <c r="H36" s="22"/>
    </row>
    <row r="37" ht="15.75" customHeight="1">
      <c r="A37" s="64" t="s">
        <v>220</v>
      </c>
      <c r="B37" s="46"/>
      <c r="C37" s="46"/>
      <c r="D37" s="46"/>
      <c r="E37" s="46"/>
      <c r="F37" s="46"/>
      <c r="G37" s="46"/>
      <c r="H37" s="47"/>
    </row>
    <row r="38" ht="15.75" customHeight="1">
      <c r="A38" s="60"/>
      <c r="H38" s="61"/>
    </row>
    <row r="39" ht="15.75" customHeight="1">
      <c r="A39" s="60"/>
      <c r="H39" s="61"/>
    </row>
    <row r="40" ht="15.75" customHeight="1">
      <c r="A40" s="48"/>
      <c r="B40" s="49"/>
      <c r="C40" s="49"/>
      <c r="D40" s="49"/>
      <c r="E40" s="49"/>
      <c r="F40" s="49"/>
      <c r="G40" s="49"/>
      <c r="H40" s="50"/>
    </row>
    <row r="41" ht="15.75" customHeight="1"/>
    <row r="42" ht="15.75" customHeight="1"/>
    <row r="43" ht="15.75" customHeight="1">
      <c r="A43" s="42" t="s">
        <v>221</v>
      </c>
      <c r="E43" s="35" t="s">
        <v>136</v>
      </c>
      <c r="F43" s="51"/>
      <c r="G43" s="35" t="s">
        <v>210</v>
      </c>
      <c r="H43" s="51"/>
    </row>
    <row r="44" ht="15.75" customHeight="1">
      <c r="A44" s="38" t="s">
        <v>222</v>
      </c>
    </row>
    <row r="45" ht="15.75" customHeight="1">
      <c r="A45" s="53" t="s">
        <v>148</v>
      </c>
      <c r="B45" s="20"/>
      <c r="C45" s="21"/>
      <c r="D45" s="21"/>
      <c r="E45" s="21"/>
      <c r="F45" s="21"/>
      <c r="G45" s="21"/>
      <c r="H45" s="22"/>
    </row>
    <row r="46" ht="15.75" customHeight="1">
      <c r="A46" s="53" t="s">
        <v>148</v>
      </c>
      <c r="B46" s="20"/>
      <c r="C46" s="21"/>
      <c r="D46" s="21"/>
      <c r="E46" s="21"/>
      <c r="F46" s="21"/>
      <c r="G46" s="21"/>
      <c r="H46" s="22"/>
    </row>
    <row r="47" ht="15.75" customHeight="1">
      <c r="A47" s="53" t="s">
        <v>148</v>
      </c>
      <c r="B47" s="20"/>
      <c r="C47" s="21"/>
      <c r="D47" s="21"/>
      <c r="E47" s="21"/>
      <c r="F47" s="21"/>
      <c r="G47" s="21"/>
      <c r="H47" s="22"/>
    </row>
    <row r="48" ht="15.75" customHeight="1">
      <c r="A48" s="53" t="s">
        <v>211</v>
      </c>
      <c r="B48" s="20"/>
      <c r="C48" s="21"/>
      <c r="D48" s="21"/>
      <c r="E48" s="21"/>
      <c r="F48" s="21"/>
      <c r="G48" s="21"/>
      <c r="H48" s="22"/>
    </row>
    <row r="49" ht="15.75" customHeight="1">
      <c r="A49" s="44" t="s">
        <v>213</v>
      </c>
      <c r="B49" s="21"/>
      <c r="C49" s="21"/>
      <c r="D49" s="21"/>
      <c r="E49" s="21"/>
      <c r="F49" s="21"/>
      <c r="G49" s="21"/>
      <c r="H49" s="22"/>
    </row>
    <row r="50" ht="15.75" customHeight="1">
      <c r="A50" s="59"/>
      <c r="B50" s="46"/>
      <c r="C50" s="46"/>
      <c r="D50" s="46"/>
      <c r="E50" s="46"/>
      <c r="F50" s="46"/>
      <c r="G50" s="46"/>
      <c r="H50" s="47"/>
    </row>
    <row r="51" ht="15.75" customHeight="1">
      <c r="A51" s="60"/>
      <c r="H51" s="61"/>
    </row>
    <row r="52" ht="15.75" customHeight="1">
      <c r="A52" s="48"/>
      <c r="B52" s="49"/>
      <c r="C52" s="49"/>
      <c r="D52" s="49"/>
      <c r="E52" s="49"/>
      <c r="F52" s="49"/>
      <c r="G52" s="49"/>
      <c r="H52" s="50"/>
    </row>
    <row r="53" ht="15.75" customHeight="1">
      <c r="A53" s="44" t="s">
        <v>215</v>
      </c>
      <c r="B53" s="21"/>
      <c r="C53" s="21"/>
      <c r="D53" s="21"/>
      <c r="E53" s="21"/>
      <c r="F53" s="21"/>
      <c r="G53" s="21"/>
      <c r="H53" s="22"/>
    </row>
    <row r="54" ht="15.75" customHeight="1">
      <c r="A54" s="59"/>
      <c r="B54" s="46"/>
      <c r="C54" s="46"/>
      <c r="D54" s="46"/>
      <c r="E54" s="46"/>
      <c r="F54" s="46"/>
      <c r="G54" s="46"/>
      <c r="H54" s="47"/>
    </row>
    <row r="55" ht="15.75" customHeight="1">
      <c r="A55" s="60"/>
      <c r="H55" s="61"/>
    </row>
    <row r="56" ht="15.75" customHeight="1">
      <c r="A56" s="60"/>
      <c r="H56" s="61"/>
    </row>
    <row r="57" ht="15.75" customHeight="1">
      <c r="A57" s="48"/>
      <c r="B57" s="49"/>
      <c r="C57" s="49"/>
      <c r="D57" s="49"/>
      <c r="E57" s="49"/>
      <c r="F57" s="49"/>
      <c r="G57" s="49"/>
      <c r="H57" s="50"/>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0" t="s">
        <v>223</v>
      </c>
    </row>
    <row r="3" ht="15.75" customHeight="1"/>
    <row r="4" ht="15.75" customHeight="1">
      <c r="B4" s="19" t="s">
        <v>1</v>
      </c>
      <c r="C4" s="20" t="str">
        <f>'Diseño'!C4</f>
        <v>781 - Organización de Lenguajes y Compiladores 2</v>
      </c>
      <c r="D4" s="21"/>
      <c r="E4" s="21"/>
      <c r="F4" s="21"/>
      <c r="G4" s="22"/>
    </row>
    <row r="5" ht="15.75" customHeight="1">
      <c r="B5" s="41" t="s">
        <v>94</v>
      </c>
      <c r="C5" s="20">
        <f>H9+H26+H43+H60+H77+H94+H111</f>
        <v>4</v>
      </c>
      <c r="D5" s="21"/>
      <c r="E5" s="21"/>
      <c r="F5" s="21"/>
      <c r="G5" s="22"/>
    </row>
    <row r="6" ht="15.75" customHeight="1">
      <c r="B6" s="41" t="s">
        <v>136</v>
      </c>
      <c r="C6" s="20">
        <f>F9+F26+F43+F60+F77+F94+F111</f>
        <v>4</v>
      </c>
      <c r="D6" s="21"/>
      <c r="E6" s="21"/>
      <c r="F6" s="21"/>
      <c r="G6" s="22"/>
    </row>
    <row r="7" ht="15.75" customHeight="1">
      <c r="B7" s="6" t="s">
        <v>224</v>
      </c>
    </row>
    <row r="8" ht="15.75" customHeight="1"/>
    <row r="9" ht="15.75" customHeight="1">
      <c r="A9" s="42" t="s">
        <v>225</v>
      </c>
      <c r="E9" s="35" t="s">
        <v>136</v>
      </c>
      <c r="F9" s="43">
        <v>1.0</v>
      </c>
      <c r="G9" s="35" t="s">
        <v>210</v>
      </c>
      <c r="H9" s="43">
        <v>1.0</v>
      </c>
    </row>
    <row r="10" ht="15.75" customHeight="1">
      <c r="A10" s="6" t="s">
        <v>226</v>
      </c>
    </row>
    <row r="11" ht="15.75" customHeight="1">
      <c r="A11" s="53" t="s">
        <v>148</v>
      </c>
      <c r="B11" s="32" t="s">
        <v>12</v>
      </c>
      <c r="C11" s="21"/>
      <c r="D11" s="21"/>
      <c r="E11" s="21"/>
      <c r="F11" s="21"/>
      <c r="G11" s="21"/>
      <c r="H11" s="22"/>
    </row>
    <row r="12" ht="15.75" customHeight="1">
      <c r="A12" s="53" t="s">
        <v>148</v>
      </c>
      <c r="B12" s="32" t="s">
        <v>21</v>
      </c>
      <c r="C12" s="21"/>
      <c r="D12" s="21"/>
      <c r="E12" s="21"/>
      <c r="F12" s="21"/>
      <c r="G12" s="21"/>
      <c r="H12" s="22"/>
    </row>
    <row r="13" ht="15.75" customHeight="1">
      <c r="A13" s="53" t="s">
        <v>148</v>
      </c>
      <c r="B13" s="32" t="s">
        <v>19</v>
      </c>
      <c r="C13" s="21"/>
      <c r="D13" s="21"/>
      <c r="E13" s="21"/>
      <c r="F13" s="21"/>
      <c r="G13" s="21"/>
      <c r="H13" s="22"/>
    </row>
    <row r="14" ht="15.75" customHeight="1">
      <c r="A14" s="53" t="s">
        <v>211</v>
      </c>
      <c r="B14" s="20"/>
      <c r="C14" s="21"/>
      <c r="D14" s="21"/>
      <c r="E14" s="21"/>
      <c r="F14" s="21"/>
      <c r="G14" s="21"/>
      <c r="H14" s="22"/>
    </row>
    <row r="15" ht="15.75" customHeight="1">
      <c r="A15" s="44" t="s">
        <v>213</v>
      </c>
      <c r="B15" s="21"/>
      <c r="C15" s="21"/>
      <c r="D15" s="21"/>
      <c r="E15" s="21"/>
      <c r="F15" s="21"/>
      <c r="G15" s="21"/>
      <c r="H15" s="22"/>
    </row>
    <row r="16" ht="15.75" customHeight="1">
      <c r="A16" s="59"/>
      <c r="B16" s="46"/>
      <c r="C16" s="46"/>
      <c r="D16" s="46"/>
      <c r="E16" s="46"/>
      <c r="F16" s="46"/>
      <c r="G16" s="46"/>
      <c r="H16" s="47"/>
    </row>
    <row r="17" ht="15.75" customHeight="1">
      <c r="A17" s="60"/>
      <c r="H17" s="61"/>
    </row>
    <row r="18" ht="15.75" customHeight="1">
      <c r="A18" s="48"/>
      <c r="B18" s="49"/>
      <c r="C18" s="49"/>
      <c r="D18" s="49"/>
      <c r="E18" s="49"/>
      <c r="F18" s="49"/>
      <c r="G18" s="49"/>
      <c r="H18" s="50"/>
    </row>
    <row r="19" ht="15.75" customHeight="1">
      <c r="A19" s="44" t="s">
        <v>215</v>
      </c>
      <c r="B19" s="21"/>
      <c r="C19" s="21"/>
      <c r="D19" s="21"/>
      <c r="E19" s="21"/>
      <c r="F19" s="21"/>
      <c r="G19" s="21"/>
      <c r="H19" s="22"/>
    </row>
    <row r="20" ht="15.75" customHeight="1">
      <c r="A20" s="45" t="s">
        <v>227</v>
      </c>
      <c r="B20" s="46"/>
      <c r="C20" s="46"/>
      <c r="D20" s="46"/>
      <c r="E20" s="46"/>
      <c r="F20" s="46"/>
      <c r="G20" s="46"/>
      <c r="H20" s="47"/>
    </row>
    <row r="21" ht="15.75" customHeight="1">
      <c r="A21" s="60"/>
      <c r="H21" s="61"/>
    </row>
    <row r="22" ht="15.75" customHeight="1">
      <c r="A22" s="60"/>
      <c r="H22" s="61"/>
    </row>
    <row r="23" ht="15.75" customHeight="1">
      <c r="A23" s="48"/>
      <c r="B23" s="49"/>
      <c r="C23" s="49"/>
      <c r="D23" s="49"/>
      <c r="E23" s="49"/>
      <c r="F23" s="49"/>
      <c r="G23" s="49"/>
      <c r="H23" s="50"/>
    </row>
    <row r="24" ht="15.75" customHeight="1"/>
    <row r="25" ht="15.75" customHeight="1"/>
    <row r="26" ht="15.75" customHeight="1">
      <c r="A26" s="42" t="s">
        <v>228</v>
      </c>
      <c r="E26" s="35" t="s">
        <v>136</v>
      </c>
      <c r="F26" s="43">
        <v>1.0</v>
      </c>
      <c r="G26" s="35" t="s">
        <v>210</v>
      </c>
      <c r="H26" s="43">
        <v>1.0</v>
      </c>
    </row>
    <row r="27" ht="15.75" customHeight="1">
      <c r="A27" s="38" t="s">
        <v>222</v>
      </c>
    </row>
    <row r="28" ht="15.75" customHeight="1">
      <c r="A28" s="53" t="s">
        <v>148</v>
      </c>
      <c r="B28" s="32" t="s">
        <v>12</v>
      </c>
      <c r="C28" s="21"/>
      <c r="D28" s="21"/>
      <c r="E28" s="21"/>
      <c r="F28" s="21"/>
      <c r="G28" s="21"/>
      <c r="H28" s="22"/>
    </row>
    <row r="29" ht="15.75" customHeight="1">
      <c r="A29" s="53" t="s">
        <v>148</v>
      </c>
      <c r="B29" s="20"/>
      <c r="C29" s="21"/>
      <c r="D29" s="21"/>
      <c r="E29" s="21"/>
      <c r="F29" s="21"/>
      <c r="G29" s="21"/>
      <c r="H29" s="22"/>
    </row>
    <row r="30" ht="15.75" customHeight="1">
      <c r="A30" s="53" t="s">
        <v>148</v>
      </c>
      <c r="B30" s="20"/>
      <c r="C30" s="21"/>
      <c r="D30" s="21"/>
      <c r="E30" s="21"/>
      <c r="F30" s="21"/>
      <c r="G30" s="21"/>
      <c r="H30" s="22"/>
    </row>
    <row r="31" ht="15.75" customHeight="1">
      <c r="A31" s="53" t="s">
        <v>211</v>
      </c>
      <c r="B31" s="20"/>
      <c r="C31" s="21"/>
      <c r="D31" s="21"/>
      <c r="E31" s="21"/>
      <c r="F31" s="21"/>
      <c r="G31" s="21"/>
      <c r="H31" s="22"/>
    </row>
    <row r="32" ht="15.75" customHeight="1">
      <c r="A32" s="44" t="s">
        <v>213</v>
      </c>
      <c r="B32" s="21"/>
      <c r="C32" s="21"/>
      <c r="D32" s="21"/>
      <c r="E32" s="21"/>
      <c r="F32" s="21"/>
      <c r="G32" s="21"/>
      <c r="H32" s="22"/>
    </row>
    <row r="33" ht="15.75" customHeight="1">
      <c r="A33" s="59"/>
      <c r="B33" s="46"/>
      <c r="C33" s="46"/>
      <c r="D33" s="46"/>
      <c r="E33" s="46"/>
      <c r="F33" s="46"/>
      <c r="G33" s="46"/>
      <c r="H33" s="47"/>
    </row>
    <row r="34" ht="15.75" customHeight="1">
      <c r="A34" s="60"/>
      <c r="H34" s="61"/>
    </row>
    <row r="35" ht="15.75" customHeight="1">
      <c r="A35" s="48"/>
      <c r="B35" s="49"/>
      <c r="C35" s="49"/>
      <c r="D35" s="49"/>
      <c r="E35" s="49"/>
      <c r="F35" s="49"/>
      <c r="G35" s="49"/>
      <c r="H35" s="50"/>
    </row>
    <row r="36" ht="15.75" customHeight="1">
      <c r="A36" s="44" t="s">
        <v>215</v>
      </c>
      <c r="B36" s="21"/>
      <c r="C36" s="21"/>
      <c r="D36" s="21"/>
      <c r="E36" s="21"/>
      <c r="F36" s="21"/>
      <c r="G36" s="21"/>
      <c r="H36" s="22"/>
    </row>
    <row r="37" ht="15.75" customHeight="1">
      <c r="A37" s="45" t="s">
        <v>229</v>
      </c>
      <c r="B37" s="46"/>
      <c r="C37" s="46"/>
      <c r="D37" s="46"/>
      <c r="E37" s="46"/>
      <c r="F37" s="46"/>
      <c r="G37" s="46"/>
      <c r="H37" s="47"/>
    </row>
    <row r="38" ht="15.75" customHeight="1">
      <c r="A38" s="60"/>
      <c r="H38" s="61"/>
    </row>
    <row r="39" ht="15.75" customHeight="1">
      <c r="A39" s="60"/>
      <c r="H39" s="61"/>
    </row>
    <row r="40" ht="15.75" customHeight="1">
      <c r="A40" s="48"/>
      <c r="B40" s="49"/>
      <c r="C40" s="49"/>
      <c r="D40" s="49"/>
      <c r="E40" s="49"/>
      <c r="F40" s="49"/>
      <c r="G40" s="49"/>
      <c r="H40" s="50"/>
    </row>
    <row r="41" ht="15.75" customHeight="1"/>
    <row r="42" ht="15.75" customHeight="1"/>
    <row r="43" ht="15.75" customHeight="1">
      <c r="A43" s="42" t="s">
        <v>230</v>
      </c>
      <c r="E43" s="35" t="s">
        <v>136</v>
      </c>
      <c r="F43" s="43">
        <v>1.0</v>
      </c>
      <c r="G43" s="35" t="s">
        <v>210</v>
      </c>
      <c r="H43" s="43">
        <v>1.0</v>
      </c>
    </row>
    <row r="44" ht="15.75" customHeight="1">
      <c r="A44" s="38" t="s">
        <v>222</v>
      </c>
    </row>
    <row r="45" ht="15.75" customHeight="1">
      <c r="A45" s="53" t="s">
        <v>148</v>
      </c>
      <c r="B45" s="32" t="s">
        <v>55</v>
      </c>
      <c r="C45" s="21"/>
      <c r="D45" s="21"/>
      <c r="E45" s="21"/>
      <c r="F45" s="21"/>
      <c r="G45" s="21"/>
      <c r="H45" s="22"/>
    </row>
    <row r="46" ht="15.75" customHeight="1">
      <c r="A46" s="53" t="s">
        <v>148</v>
      </c>
      <c r="B46" s="20"/>
      <c r="C46" s="21"/>
      <c r="D46" s="21"/>
      <c r="E46" s="21"/>
      <c r="F46" s="21"/>
      <c r="G46" s="21"/>
      <c r="H46" s="22"/>
    </row>
    <row r="47" ht="15.75" customHeight="1">
      <c r="A47" s="53" t="s">
        <v>148</v>
      </c>
      <c r="B47" s="20"/>
      <c r="C47" s="21"/>
      <c r="D47" s="21"/>
      <c r="E47" s="21"/>
      <c r="F47" s="21"/>
      <c r="G47" s="21"/>
      <c r="H47" s="22"/>
    </row>
    <row r="48" ht="15.75" customHeight="1">
      <c r="A48" s="53" t="s">
        <v>211</v>
      </c>
      <c r="B48" s="20"/>
      <c r="C48" s="21"/>
      <c r="D48" s="21"/>
      <c r="E48" s="21"/>
      <c r="F48" s="21"/>
      <c r="G48" s="21"/>
      <c r="H48" s="22"/>
    </row>
    <row r="49" ht="15.75" customHeight="1">
      <c r="A49" s="44" t="s">
        <v>213</v>
      </c>
      <c r="B49" s="21"/>
      <c r="C49" s="21"/>
      <c r="D49" s="21"/>
      <c r="E49" s="21"/>
      <c r="F49" s="21"/>
      <c r="G49" s="21"/>
      <c r="H49" s="22"/>
    </row>
    <row r="50" ht="15.75" customHeight="1">
      <c r="A50" s="59"/>
      <c r="B50" s="46"/>
      <c r="C50" s="46"/>
      <c r="D50" s="46"/>
      <c r="E50" s="46"/>
      <c r="F50" s="46"/>
      <c r="G50" s="46"/>
      <c r="H50" s="47"/>
    </row>
    <row r="51" ht="15.75" customHeight="1">
      <c r="A51" s="60"/>
      <c r="H51" s="61"/>
    </row>
    <row r="52" ht="15.75" customHeight="1">
      <c r="A52" s="48"/>
      <c r="B52" s="49"/>
      <c r="C52" s="49"/>
      <c r="D52" s="49"/>
      <c r="E52" s="49"/>
      <c r="F52" s="49"/>
      <c r="G52" s="49"/>
      <c r="H52" s="50"/>
    </row>
    <row r="53" ht="15.75" customHeight="1">
      <c r="A53" s="44" t="s">
        <v>215</v>
      </c>
      <c r="B53" s="21"/>
      <c r="C53" s="21"/>
      <c r="D53" s="21"/>
      <c r="E53" s="21"/>
      <c r="F53" s="21"/>
      <c r="G53" s="21"/>
      <c r="H53" s="22"/>
    </row>
    <row r="54" ht="15.75" customHeight="1">
      <c r="A54" s="45" t="s">
        <v>231</v>
      </c>
      <c r="B54" s="46"/>
      <c r="C54" s="46"/>
      <c r="D54" s="46"/>
      <c r="E54" s="46"/>
      <c r="F54" s="46"/>
      <c r="G54" s="46"/>
      <c r="H54" s="47"/>
    </row>
    <row r="55" ht="15.75" customHeight="1">
      <c r="A55" s="60"/>
      <c r="H55" s="61"/>
    </row>
    <row r="56" ht="15.75" customHeight="1">
      <c r="A56" s="60"/>
      <c r="H56" s="61"/>
    </row>
    <row r="57" ht="15.75" customHeight="1">
      <c r="A57" s="48"/>
      <c r="B57" s="49"/>
      <c r="C57" s="49"/>
      <c r="D57" s="49"/>
      <c r="E57" s="49"/>
      <c r="F57" s="49"/>
      <c r="G57" s="49"/>
      <c r="H57" s="50"/>
    </row>
    <row r="58" ht="15.75" customHeight="1"/>
    <row r="59" ht="15.75" customHeight="1"/>
    <row r="60" ht="15.75" customHeight="1">
      <c r="A60" s="42" t="s">
        <v>232</v>
      </c>
      <c r="E60" s="35" t="s">
        <v>136</v>
      </c>
      <c r="F60" s="43">
        <v>1.0</v>
      </c>
      <c r="G60" s="35" t="s">
        <v>210</v>
      </c>
      <c r="H60" s="43">
        <v>1.0</v>
      </c>
    </row>
    <row r="61" ht="15.75" customHeight="1">
      <c r="A61" s="38" t="s">
        <v>222</v>
      </c>
    </row>
    <row r="62" ht="15.75" customHeight="1">
      <c r="A62" s="53" t="s">
        <v>148</v>
      </c>
      <c r="B62" s="32" t="s">
        <v>55</v>
      </c>
      <c r="C62" s="21"/>
      <c r="D62" s="21"/>
      <c r="E62" s="21"/>
      <c r="F62" s="21"/>
      <c r="G62" s="21"/>
      <c r="H62" s="22"/>
    </row>
    <row r="63" ht="15.75" customHeight="1">
      <c r="A63" s="53" t="s">
        <v>148</v>
      </c>
      <c r="B63" s="20"/>
      <c r="C63" s="21"/>
      <c r="D63" s="21"/>
      <c r="E63" s="21"/>
      <c r="F63" s="21"/>
      <c r="G63" s="21"/>
      <c r="H63" s="22"/>
    </row>
    <row r="64" ht="15.75" customHeight="1">
      <c r="A64" s="53" t="s">
        <v>148</v>
      </c>
      <c r="B64" s="20"/>
      <c r="C64" s="21"/>
      <c r="D64" s="21"/>
      <c r="E64" s="21"/>
      <c r="F64" s="21"/>
      <c r="G64" s="21"/>
      <c r="H64" s="22"/>
    </row>
    <row r="65" ht="15.75" customHeight="1">
      <c r="A65" s="53" t="s">
        <v>211</v>
      </c>
      <c r="B65" s="20"/>
      <c r="C65" s="21"/>
      <c r="D65" s="21"/>
      <c r="E65" s="21"/>
      <c r="F65" s="21"/>
      <c r="G65" s="21"/>
      <c r="H65" s="22"/>
    </row>
    <row r="66" ht="15.75" customHeight="1">
      <c r="A66" s="44" t="s">
        <v>213</v>
      </c>
      <c r="B66" s="21"/>
      <c r="C66" s="21"/>
      <c r="D66" s="21"/>
      <c r="E66" s="21"/>
      <c r="F66" s="21"/>
      <c r="G66" s="21"/>
      <c r="H66" s="22"/>
    </row>
    <row r="67" ht="15.75" customHeight="1">
      <c r="A67" s="59"/>
      <c r="B67" s="46"/>
      <c r="C67" s="46"/>
      <c r="D67" s="46"/>
      <c r="E67" s="46"/>
      <c r="F67" s="46"/>
      <c r="G67" s="46"/>
      <c r="H67" s="47"/>
    </row>
    <row r="68" ht="15.75" customHeight="1">
      <c r="A68" s="60"/>
      <c r="H68" s="61"/>
    </row>
    <row r="69" ht="15.75" customHeight="1">
      <c r="A69" s="48"/>
      <c r="B69" s="49"/>
      <c r="C69" s="49"/>
      <c r="D69" s="49"/>
      <c r="E69" s="49"/>
      <c r="F69" s="49"/>
      <c r="G69" s="49"/>
      <c r="H69" s="50"/>
    </row>
    <row r="70" ht="15.75" customHeight="1">
      <c r="A70" s="44" t="s">
        <v>215</v>
      </c>
      <c r="B70" s="21"/>
      <c r="C70" s="21"/>
      <c r="D70" s="21"/>
      <c r="E70" s="21"/>
      <c r="F70" s="21"/>
      <c r="G70" s="21"/>
      <c r="H70" s="22"/>
    </row>
    <row r="71" ht="15.75" customHeight="1">
      <c r="A71" s="45" t="s">
        <v>233</v>
      </c>
      <c r="B71" s="46"/>
      <c r="C71" s="46"/>
      <c r="D71" s="46"/>
      <c r="E71" s="46"/>
      <c r="F71" s="46"/>
      <c r="G71" s="46"/>
      <c r="H71" s="47"/>
    </row>
    <row r="72" ht="15.75" customHeight="1">
      <c r="A72" s="60"/>
      <c r="H72" s="61"/>
    </row>
    <row r="73" ht="15.75" customHeight="1">
      <c r="A73" s="60"/>
      <c r="H73" s="61"/>
    </row>
    <row r="74" ht="15.75" customHeight="1">
      <c r="A74" s="48"/>
      <c r="B74" s="49"/>
      <c r="C74" s="49"/>
      <c r="D74" s="49"/>
      <c r="E74" s="49"/>
      <c r="F74" s="49"/>
      <c r="G74" s="49"/>
      <c r="H74" s="50"/>
    </row>
    <row r="75" ht="15.75" customHeight="1"/>
    <row r="76" ht="15.75" customHeight="1"/>
    <row r="77" ht="15.75" customHeight="1">
      <c r="A77" s="42" t="s">
        <v>234</v>
      </c>
      <c r="E77" s="35" t="s">
        <v>136</v>
      </c>
      <c r="F77" s="51"/>
      <c r="G77" s="35" t="s">
        <v>210</v>
      </c>
      <c r="H77" s="51"/>
    </row>
    <row r="78" ht="15.75" customHeight="1">
      <c r="A78" s="38" t="s">
        <v>222</v>
      </c>
    </row>
    <row r="79" ht="15.75" customHeight="1">
      <c r="A79" s="53" t="s">
        <v>148</v>
      </c>
      <c r="B79" s="20"/>
      <c r="C79" s="21"/>
      <c r="D79" s="21"/>
      <c r="E79" s="21"/>
      <c r="F79" s="21"/>
      <c r="G79" s="21"/>
      <c r="H79" s="22"/>
    </row>
    <row r="80" ht="15.75" customHeight="1">
      <c r="A80" s="53" t="s">
        <v>148</v>
      </c>
      <c r="B80" s="20"/>
      <c r="C80" s="21"/>
      <c r="D80" s="21"/>
      <c r="E80" s="21"/>
      <c r="F80" s="21"/>
      <c r="G80" s="21"/>
      <c r="H80" s="22"/>
    </row>
    <row r="81" ht="15.75" customHeight="1">
      <c r="A81" s="53" t="s">
        <v>148</v>
      </c>
      <c r="B81" s="20"/>
      <c r="C81" s="21"/>
      <c r="D81" s="21"/>
      <c r="E81" s="21"/>
      <c r="F81" s="21"/>
      <c r="G81" s="21"/>
      <c r="H81" s="22"/>
    </row>
    <row r="82" ht="15.75" customHeight="1">
      <c r="A82" s="53" t="s">
        <v>211</v>
      </c>
      <c r="B82" s="20"/>
      <c r="C82" s="21"/>
      <c r="D82" s="21"/>
      <c r="E82" s="21"/>
      <c r="F82" s="21"/>
      <c r="G82" s="21"/>
      <c r="H82" s="22"/>
    </row>
    <row r="83" ht="15.75" customHeight="1">
      <c r="A83" s="44" t="s">
        <v>213</v>
      </c>
      <c r="B83" s="21"/>
      <c r="C83" s="21"/>
      <c r="D83" s="21"/>
      <c r="E83" s="21"/>
      <c r="F83" s="21"/>
      <c r="G83" s="21"/>
      <c r="H83" s="22"/>
    </row>
    <row r="84" ht="15.75" customHeight="1">
      <c r="A84" s="59"/>
      <c r="B84" s="46"/>
      <c r="C84" s="46"/>
      <c r="D84" s="46"/>
      <c r="E84" s="46"/>
      <c r="F84" s="46"/>
      <c r="G84" s="46"/>
      <c r="H84" s="47"/>
    </row>
    <row r="85" ht="15.75" customHeight="1">
      <c r="A85" s="60"/>
      <c r="H85" s="61"/>
    </row>
    <row r="86" ht="15.75" customHeight="1">
      <c r="A86" s="48"/>
      <c r="B86" s="49"/>
      <c r="C86" s="49"/>
      <c r="D86" s="49"/>
      <c r="E86" s="49"/>
      <c r="F86" s="49"/>
      <c r="G86" s="49"/>
      <c r="H86" s="50"/>
    </row>
    <row r="87" ht="15.75" customHeight="1">
      <c r="A87" s="44" t="s">
        <v>215</v>
      </c>
      <c r="B87" s="21"/>
      <c r="C87" s="21"/>
      <c r="D87" s="21"/>
      <c r="E87" s="21"/>
      <c r="F87" s="21"/>
      <c r="G87" s="21"/>
      <c r="H87" s="22"/>
    </row>
    <row r="88" ht="15.75" customHeight="1">
      <c r="A88" s="59"/>
      <c r="B88" s="46"/>
      <c r="C88" s="46"/>
      <c r="D88" s="46"/>
      <c r="E88" s="46"/>
      <c r="F88" s="46"/>
      <c r="G88" s="46"/>
      <c r="H88" s="47"/>
    </row>
    <row r="89" ht="15.75" customHeight="1">
      <c r="A89" s="60"/>
      <c r="H89" s="61"/>
    </row>
    <row r="90" ht="15.75" customHeight="1">
      <c r="A90" s="60"/>
      <c r="H90" s="61"/>
    </row>
    <row r="91" ht="15.75" customHeight="1">
      <c r="A91" s="48"/>
      <c r="B91" s="49"/>
      <c r="C91" s="49"/>
      <c r="D91" s="49"/>
      <c r="E91" s="49"/>
      <c r="F91" s="49"/>
      <c r="G91" s="49"/>
      <c r="H91" s="50"/>
    </row>
    <row r="92" ht="15.75" customHeight="1"/>
    <row r="93" ht="15.75" customHeight="1"/>
    <row r="94" ht="15.75" customHeight="1">
      <c r="A94" s="42" t="s">
        <v>235</v>
      </c>
      <c r="E94" s="35" t="s">
        <v>136</v>
      </c>
      <c r="F94" s="51"/>
      <c r="G94" s="35" t="s">
        <v>210</v>
      </c>
      <c r="H94" s="51"/>
    </row>
    <row r="95" ht="15.75" customHeight="1">
      <c r="A95" s="38" t="s">
        <v>222</v>
      </c>
    </row>
    <row r="96" ht="15.75" customHeight="1">
      <c r="A96" s="53" t="s">
        <v>148</v>
      </c>
      <c r="B96" s="20"/>
      <c r="C96" s="21"/>
      <c r="D96" s="21"/>
      <c r="E96" s="21"/>
      <c r="F96" s="21"/>
      <c r="G96" s="21"/>
      <c r="H96" s="22"/>
    </row>
    <row r="97" ht="15.75" customHeight="1">
      <c r="A97" s="53" t="s">
        <v>148</v>
      </c>
      <c r="B97" s="20"/>
      <c r="C97" s="21"/>
      <c r="D97" s="21"/>
      <c r="E97" s="21"/>
      <c r="F97" s="21"/>
      <c r="G97" s="21"/>
      <c r="H97" s="22"/>
    </row>
    <row r="98" ht="15.75" customHeight="1">
      <c r="A98" s="53" t="s">
        <v>148</v>
      </c>
      <c r="B98" s="20"/>
      <c r="C98" s="21"/>
      <c r="D98" s="21"/>
      <c r="E98" s="21"/>
      <c r="F98" s="21"/>
      <c r="G98" s="21"/>
      <c r="H98" s="22"/>
    </row>
    <row r="99" ht="15.75" customHeight="1">
      <c r="A99" s="53" t="s">
        <v>211</v>
      </c>
      <c r="B99" s="20"/>
      <c r="C99" s="21"/>
      <c r="D99" s="21"/>
      <c r="E99" s="21"/>
      <c r="F99" s="21"/>
      <c r="G99" s="21"/>
      <c r="H99" s="22"/>
    </row>
    <row r="100" ht="15.75" customHeight="1">
      <c r="A100" s="44" t="s">
        <v>213</v>
      </c>
      <c r="B100" s="21"/>
      <c r="C100" s="21"/>
      <c r="D100" s="21"/>
      <c r="E100" s="21"/>
      <c r="F100" s="21"/>
      <c r="G100" s="21"/>
      <c r="H100" s="22"/>
    </row>
    <row r="101" ht="15.75" customHeight="1">
      <c r="A101" s="59"/>
      <c r="B101" s="46"/>
      <c r="C101" s="46"/>
      <c r="D101" s="46"/>
      <c r="E101" s="46"/>
      <c r="F101" s="46"/>
      <c r="G101" s="46"/>
      <c r="H101" s="47"/>
    </row>
    <row r="102" ht="15.75" customHeight="1">
      <c r="A102" s="60"/>
      <c r="H102" s="61"/>
    </row>
    <row r="103" ht="15.75" customHeight="1">
      <c r="A103" s="48"/>
      <c r="B103" s="49"/>
      <c r="C103" s="49"/>
      <c r="D103" s="49"/>
      <c r="E103" s="49"/>
      <c r="F103" s="49"/>
      <c r="G103" s="49"/>
      <c r="H103" s="50"/>
    </row>
    <row r="104" ht="15.75" customHeight="1">
      <c r="A104" s="44" t="s">
        <v>215</v>
      </c>
      <c r="B104" s="21"/>
      <c r="C104" s="21"/>
      <c r="D104" s="21"/>
      <c r="E104" s="21"/>
      <c r="F104" s="21"/>
      <c r="G104" s="21"/>
      <c r="H104" s="22"/>
    </row>
    <row r="105" ht="15.75" customHeight="1">
      <c r="A105" s="59"/>
      <c r="B105" s="46"/>
      <c r="C105" s="46"/>
      <c r="D105" s="46"/>
      <c r="E105" s="46"/>
      <c r="F105" s="46"/>
      <c r="G105" s="46"/>
      <c r="H105" s="47"/>
    </row>
    <row r="106" ht="15.75" customHeight="1">
      <c r="A106" s="60"/>
      <c r="H106" s="61"/>
    </row>
    <row r="107" ht="15.75" customHeight="1">
      <c r="A107" s="60"/>
      <c r="H107" s="61"/>
    </row>
    <row r="108" ht="15.75" customHeight="1">
      <c r="A108" s="48"/>
      <c r="B108" s="49"/>
      <c r="C108" s="49"/>
      <c r="D108" s="49"/>
      <c r="E108" s="49"/>
      <c r="F108" s="49"/>
      <c r="G108" s="49"/>
      <c r="H108" s="50"/>
    </row>
    <row r="109" ht="15.75" customHeight="1"/>
    <row r="110" ht="15.75" customHeight="1"/>
    <row r="111" ht="15.75" customHeight="1">
      <c r="A111" s="42" t="s">
        <v>236</v>
      </c>
      <c r="E111" s="35" t="s">
        <v>136</v>
      </c>
      <c r="F111" s="51"/>
      <c r="G111" s="35" t="s">
        <v>210</v>
      </c>
      <c r="H111" s="51"/>
    </row>
    <row r="112" ht="15.75" customHeight="1">
      <c r="A112" s="38" t="s">
        <v>222</v>
      </c>
    </row>
    <row r="113" ht="15.75" customHeight="1">
      <c r="A113" s="53" t="s">
        <v>148</v>
      </c>
      <c r="B113" s="20"/>
      <c r="C113" s="21"/>
      <c r="D113" s="21"/>
      <c r="E113" s="21"/>
      <c r="F113" s="21"/>
      <c r="G113" s="21"/>
      <c r="H113" s="22"/>
    </row>
    <row r="114" ht="15.75" customHeight="1">
      <c r="A114" s="53" t="s">
        <v>148</v>
      </c>
      <c r="B114" s="20"/>
      <c r="C114" s="21"/>
      <c r="D114" s="21"/>
      <c r="E114" s="21"/>
      <c r="F114" s="21"/>
      <c r="G114" s="21"/>
      <c r="H114" s="22"/>
    </row>
    <row r="115" ht="15.75" customHeight="1">
      <c r="A115" s="53" t="s">
        <v>148</v>
      </c>
      <c r="B115" s="20"/>
      <c r="C115" s="21"/>
      <c r="D115" s="21"/>
      <c r="E115" s="21"/>
      <c r="F115" s="21"/>
      <c r="G115" s="21"/>
      <c r="H115" s="22"/>
    </row>
    <row r="116" ht="15.75" customHeight="1">
      <c r="A116" s="53" t="s">
        <v>211</v>
      </c>
      <c r="B116" s="20"/>
      <c r="C116" s="21"/>
      <c r="D116" s="21"/>
      <c r="E116" s="21"/>
      <c r="F116" s="21"/>
      <c r="G116" s="21"/>
      <c r="H116" s="22"/>
    </row>
    <row r="117" ht="15.75" customHeight="1">
      <c r="A117" s="44" t="s">
        <v>213</v>
      </c>
      <c r="B117" s="21"/>
      <c r="C117" s="21"/>
      <c r="D117" s="21"/>
      <c r="E117" s="21"/>
      <c r="F117" s="21"/>
      <c r="G117" s="21"/>
      <c r="H117" s="22"/>
    </row>
    <row r="118" ht="15.75" customHeight="1">
      <c r="A118" s="59"/>
      <c r="B118" s="46"/>
      <c r="C118" s="46"/>
      <c r="D118" s="46"/>
      <c r="E118" s="46"/>
      <c r="F118" s="46"/>
      <c r="G118" s="46"/>
      <c r="H118" s="47"/>
    </row>
    <row r="119" ht="15.75" customHeight="1">
      <c r="A119" s="60"/>
      <c r="H119" s="61"/>
    </row>
    <row r="120" ht="15.75" customHeight="1">
      <c r="A120" s="48"/>
      <c r="B120" s="49"/>
      <c r="C120" s="49"/>
      <c r="D120" s="49"/>
      <c r="E120" s="49"/>
      <c r="F120" s="49"/>
      <c r="G120" s="49"/>
      <c r="H120" s="50"/>
    </row>
    <row r="121" ht="15.75" customHeight="1">
      <c r="A121" s="44" t="s">
        <v>215</v>
      </c>
      <c r="B121" s="21"/>
      <c r="C121" s="21"/>
      <c r="D121" s="21"/>
      <c r="E121" s="21"/>
      <c r="F121" s="21"/>
      <c r="G121" s="21"/>
      <c r="H121" s="22"/>
    </row>
    <row r="122" ht="15.75" customHeight="1">
      <c r="A122" s="59"/>
      <c r="B122" s="46"/>
      <c r="C122" s="46"/>
      <c r="D122" s="46"/>
      <c r="E122" s="46"/>
      <c r="F122" s="46"/>
      <c r="G122" s="46"/>
      <c r="H122" s="47"/>
    </row>
    <row r="123" ht="15.75" customHeight="1">
      <c r="A123" s="60"/>
      <c r="H123" s="61"/>
    </row>
    <row r="124" ht="15.75" customHeight="1">
      <c r="A124" s="60"/>
      <c r="H124" s="61"/>
    </row>
    <row r="125" ht="15.75" customHeight="1">
      <c r="A125" s="48"/>
      <c r="B125" s="49"/>
      <c r="C125" s="49"/>
      <c r="D125" s="49"/>
      <c r="E125" s="49"/>
      <c r="F125" s="49"/>
      <c r="G125" s="49"/>
      <c r="H125" s="5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0" t="s">
        <v>237</v>
      </c>
    </row>
    <row r="3" ht="15.75" customHeight="1"/>
    <row r="4" ht="15.75" customHeight="1">
      <c r="B4" s="19" t="s">
        <v>1</v>
      </c>
      <c r="C4" s="20" t="str">
        <f>'Diseño'!C4</f>
        <v>781 - Organización de Lenguajes y Compiladores 2</v>
      </c>
      <c r="D4" s="21"/>
      <c r="E4" s="21"/>
      <c r="F4" s="21"/>
      <c r="G4" s="22"/>
    </row>
    <row r="5" ht="15.75" customHeight="1">
      <c r="B5" s="41" t="s">
        <v>94</v>
      </c>
      <c r="C5" s="20">
        <f>H9+H26+H43+H60+H77+H94+H111</f>
        <v>33</v>
      </c>
      <c r="D5" s="21"/>
      <c r="E5" s="21"/>
      <c r="F5" s="21"/>
      <c r="G5" s="22"/>
    </row>
    <row r="6" ht="15.75" customHeight="1">
      <c r="B6" s="41" t="s">
        <v>136</v>
      </c>
      <c r="C6" s="20">
        <f>F9+F26+F43+F60+F77+F94+F111</f>
        <v>6</v>
      </c>
      <c r="D6" s="21"/>
      <c r="E6" s="21"/>
      <c r="F6" s="21"/>
      <c r="G6" s="22"/>
    </row>
    <row r="7" ht="15.75" customHeight="1">
      <c r="B7" s="6" t="s">
        <v>238</v>
      </c>
    </row>
    <row r="8" ht="15.75" customHeight="1"/>
    <row r="9" ht="15.75" customHeight="1">
      <c r="A9" s="42" t="s">
        <v>239</v>
      </c>
      <c r="E9" s="35" t="s">
        <v>136</v>
      </c>
      <c r="F9" s="43">
        <v>1.0</v>
      </c>
      <c r="G9" s="35" t="s">
        <v>210</v>
      </c>
      <c r="H9" s="43">
        <v>3.0</v>
      </c>
    </row>
    <row r="10" ht="15.75" customHeight="1">
      <c r="A10" s="6" t="s">
        <v>226</v>
      </c>
    </row>
    <row r="11" ht="15.75" customHeight="1">
      <c r="A11" s="53" t="s">
        <v>148</v>
      </c>
      <c r="B11" s="32" t="s">
        <v>12</v>
      </c>
      <c r="C11" s="21"/>
      <c r="D11" s="21"/>
      <c r="E11" s="21"/>
      <c r="F11" s="21"/>
      <c r="G11" s="21"/>
      <c r="H11" s="22"/>
    </row>
    <row r="12" ht="15.75" customHeight="1">
      <c r="A12" s="53" t="s">
        <v>148</v>
      </c>
      <c r="B12" s="32" t="s">
        <v>17</v>
      </c>
      <c r="C12" s="21"/>
      <c r="D12" s="21"/>
      <c r="E12" s="21"/>
      <c r="F12" s="21"/>
      <c r="G12" s="21"/>
      <c r="H12" s="22"/>
    </row>
    <row r="13" ht="15.75" customHeight="1">
      <c r="A13" s="53" t="s">
        <v>148</v>
      </c>
      <c r="B13" s="32" t="s">
        <v>19</v>
      </c>
      <c r="C13" s="21"/>
      <c r="D13" s="21"/>
      <c r="E13" s="21"/>
      <c r="F13" s="21"/>
      <c r="G13" s="21"/>
      <c r="H13" s="22"/>
    </row>
    <row r="14" ht="15.75" customHeight="1">
      <c r="A14" s="53" t="s">
        <v>211</v>
      </c>
      <c r="B14" s="20"/>
      <c r="C14" s="21"/>
      <c r="D14" s="21"/>
      <c r="E14" s="21"/>
      <c r="F14" s="21"/>
      <c r="G14" s="21"/>
      <c r="H14" s="22"/>
    </row>
    <row r="15" ht="15.75" customHeight="1">
      <c r="A15" s="44" t="s">
        <v>213</v>
      </c>
      <c r="B15" s="21"/>
      <c r="C15" s="21"/>
      <c r="D15" s="21"/>
      <c r="E15" s="21"/>
      <c r="F15" s="21"/>
      <c r="G15" s="21"/>
      <c r="H15" s="22"/>
    </row>
    <row r="16" ht="15.75" customHeight="1">
      <c r="A16" s="59"/>
      <c r="B16" s="46"/>
      <c r="C16" s="46"/>
      <c r="D16" s="46"/>
      <c r="E16" s="46"/>
      <c r="F16" s="46"/>
      <c r="G16" s="46"/>
      <c r="H16" s="47"/>
    </row>
    <row r="17" ht="15.75" customHeight="1">
      <c r="A17" s="60"/>
      <c r="H17" s="61"/>
    </row>
    <row r="18" ht="15.75" customHeight="1">
      <c r="A18" s="48"/>
      <c r="B18" s="49"/>
      <c r="C18" s="49"/>
      <c r="D18" s="49"/>
      <c r="E18" s="49"/>
      <c r="F18" s="49"/>
      <c r="G18" s="49"/>
      <c r="H18" s="50"/>
    </row>
    <row r="19" ht="15.75" customHeight="1">
      <c r="A19" s="44" t="s">
        <v>215</v>
      </c>
      <c r="B19" s="21"/>
      <c r="C19" s="21"/>
      <c r="D19" s="21"/>
      <c r="E19" s="21"/>
      <c r="F19" s="21"/>
      <c r="G19" s="21"/>
      <c r="H19" s="22"/>
    </row>
    <row r="20" ht="15.75" customHeight="1">
      <c r="A20" s="64" t="s">
        <v>240</v>
      </c>
      <c r="B20" s="46"/>
      <c r="C20" s="46"/>
      <c r="D20" s="46"/>
      <c r="E20" s="46"/>
      <c r="F20" s="46"/>
      <c r="G20" s="46"/>
      <c r="H20" s="47"/>
    </row>
    <row r="21" ht="15.75" customHeight="1">
      <c r="A21" s="60"/>
      <c r="H21" s="61"/>
    </row>
    <row r="22" ht="15.75" customHeight="1">
      <c r="A22" s="60"/>
      <c r="H22" s="61"/>
    </row>
    <row r="23" ht="15.75" customHeight="1">
      <c r="A23" s="48"/>
      <c r="B23" s="49"/>
      <c r="C23" s="49"/>
      <c r="D23" s="49"/>
      <c r="E23" s="49"/>
      <c r="F23" s="49"/>
      <c r="G23" s="49"/>
      <c r="H23" s="50"/>
    </row>
    <row r="24" ht="15.75" customHeight="1"/>
    <row r="25" ht="15.75" customHeight="1"/>
    <row r="26" ht="15.75" customHeight="1">
      <c r="A26" s="42" t="s">
        <v>241</v>
      </c>
      <c r="E26" s="35" t="s">
        <v>136</v>
      </c>
      <c r="F26" s="43">
        <v>1.0</v>
      </c>
      <c r="G26" s="35" t="s">
        <v>210</v>
      </c>
      <c r="H26" s="43">
        <v>6.0</v>
      </c>
    </row>
    <row r="27" ht="15.75" customHeight="1">
      <c r="A27" s="6" t="s">
        <v>226</v>
      </c>
    </row>
    <row r="28" ht="15.75" customHeight="1">
      <c r="A28" s="53" t="s">
        <v>148</v>
      </c>
      <c r="B28" s="32" t="s">
        <v>12</v>
      </c>
      <c r="C28" s="21"/>
      <c r="D28" s="21"/>
      <c r="E28" s="21"/>
      <c r="F28" s="21"/>
      <c r="G28" s="21"/>
      <c r="H28" s="22"/>
    </row>
    <row r="29" ht="15.75" customHeight="1">
      <c r="A29" s="53" t="s">
        <v>148</v>
      </c>
      <c r="B29" s="32" t="s">
        <v>17</v>
      </c>
      <c r="C29" s="21"/>
      <c r="D29" s="21"/>
      <c r="E29" s="21"/>
      <c r="F29" s="21"/>
      <c r="G29" s="21"/>
      <c r="H29" s="22"/>
    </row>
    <row r="30" ht="15.75" customHeight="1">
      <c r="A30" s="53" t="s">
        <v>148</v>
      </c>
      <c r="B30" s="32" t="s">
        <v>19</v>
      </c>
      <c r="C30" s="21"/>
      <c r="D30" s="21"/>
      <c r="E30" s="21"/>
      <c r="F30" s="21"/>
      <c r="G30" s="21"/>
      <c r="H30" s="22"/>
    </row>
    <row r="31" ht="15.75" customHeight="1">
      <c r="A31" s="53" t="s">
        <v>211</v>
      </c>
      <c r="B31" s="32" t="s">
        <v>242</v>
      </c>
      <c r="C31" s="21"/>
      <c r="D31" s="21"/>
      <c r="E31" s="21"/>
      <c r="F31" s="21"/>
      <c r="G31" s="21"/>
      <c r="H31" s="22"/>
    </row>
    <row r="32" ht="15.75" customHeight="1">
      <c r="A32" s="44" t="s">
        <v>213</v>
      </c>
      <c r="B32" s="21"/>
      <c r="C32" s="21"/>
      <c r="D32" s="21"/>
      <c r="E32" s="21"/>
      <c r="F32" s="21"/>
      <c r="G32" s="21"/>
      <c r="H32" s="22"/>
    </row>
    <row r="33" ht="15.75" customHeight="1">
      <c r="A33" s="59"/>
      <c r="B33" s="46"/>
      <c r="C33" s="46"/>
      <c r="D33" s="46"/>
      <c r="E33" s="46"/>
      <c r="F33" s="46"/>
      <c r="G33" s="46"/>
      <c r="H33" s="47"/>
    </row>
    <row r="34" ht="15.75" customHeight="1">
      <c r="A34" s="60"/>
      <c r="H34" s="61"/>
    </row>
    <row r="35" ht="15.75" customHeight="1">
      <c r="A35" s="48"/>
      <c r="B35" s="49"/>
      <c r="C35" s="49"/>
      <c r="D35" s="49"/>
      <c r="E35" s="49"/>
      <c r="F35" s="49"/>
      <c r="G35" s="49"/>
      <c r="H35" s="50"/>
    </row>
    <row r="36" ht="15.75" customHeight="1">
      <c r="A36" s="44" t="s">
        <v>215</v>
      </c>
      <c r="B36" s="21"/>
      <c r="C36" s="21"/>
      <c r="D36" s="21"/>
      <c r="E36" s="21"/>
      <c r="F36" s="21"/>
      <c r="G36" s="21"/>
      <c r="H36" s="22"/>
    </row>
    <row r="37" ht="15.75" customHeight="1">
      <c r="A37" s="64" t="s">
        <v>243</v>
      </c>
      <c r="B37" s="46"/>
      <c r="C37" s="46"/>
      <c r="D37" s="46"/>
      <c r="E37" s="46"/>
      <c r="F37" s="46"/>
      <c r="G37" s="46"/>
      <c r="H37" s="47"/>
    </row>
    <row r="38" ht="15.75" customHeight="1">
      <c r="A38" s="60"/>
      <c r="H38" s="61"/>
    </row>
    <row r="39" ht="15.75" customHeight="1">
      <c r="A39" s="60"/>
      <c r="H39" s="61"/>
    </row>
    <row r="40" ht="15.75" customHeight="1">
      <c r="A40" s="48"/>
      <c r="B40" s="49"/>
      <c r="C40" s="49"/>
      <c r="D40" s="49"/>
      <c r="E40" s="49"/>
      <c r="F40" s="49"/>
      <c r="G40" s="49"/>
      <c r="H40" s="50"/>
    </row>
    <row r="41" ht="15.75" customHeight="1"/>
    <row r="42" ht="15.75" customHeight="1"/>
    <row r="43" ht="15.75" customHeight="1">
      <c r="A43" s="42" t="s">
        <v>244</v>
      </c>
      <c r="E43" s="35" t="s">
        <v>136</v>
      </c>
      <c r="F43" s="43">
        <v>1.0</v>
      </c>
      <c r="G43" s="35" t="s">
        <v>210</v>
      </c>
      <c r="H43" s="43">
        <v>10.0</v>
      </c>
    </row>
    <row r="44" ht="15.75" customHeight="1">
      <c r="A44" s="38" t="s">
        <v>222</v>
      </c>
    </row>
    <row r="45" ht="15.75" customHeight="1">
      <c r="A45" s="53" t="s">
        <v>148</v>
      </c>
      <c r="B45" s="32" t="s">
        <v>12</v>
      </c>
      <c r="C45" s="21"/>
      <c r="D45" s="21"/>
      <c r="E45" s="21"/>
      <c r="F45" s="21"/>
      <c r="G45" s="21"/>
      <c r="H45" s="22"/>
    </row>
    <row r="46" ht="15.75" customHeight="1">
      <c r="A46" s="53" t="s">
        <v>148</v>
      </c>
      <c r="B46" s="32" t="s">
        <v>17</v>
      </c>
      <c r="C46" s="21"/>
      <c r="D46" s="21"/>
      <c r="E46" s="21"/>
      <c r="F46" s="21"/>
      <c r="G46" s="21"/>
      <c r="H46" s="22"/>
    </row>
    <row r="47" ht="15.75" customHeight="1">
      <c r="A47" s="53" t="s">
        <v>148</v>
      </c>
      <c r="B47" s="32" t="s">
        <v>19</v>
      </c>
      <c r="C47" s="21"/>
      <c r="D47" s="21"/>
      <c r="E47" s="21"/>
      <c r="F47" s="21"/>
      <c r="G47" s="21"/>
      <c r="H47" s="22"/>
    </row>
    <row r="48" ht="15.75" customHeight="1">
      <c r="A48" s="53" t="s">
        <v>211</v>
      </c>
      <c r="B48" s="32" t="s">
        <v>245</v>
      </c>
      <c r="C48" s="21"/>
      <c r="D48" s="21"/>
      <c r="E48" s="21"/>
      <c r="F48" s="21"/>
      <c r="G48" s="21"/>
      <c r="H48" s="22"/>
    </row>
    <row r="49" ht="15.75" customHeight="1">
      <c r="A49" s="44" t="s">
        <v>213</v>
      </c>
      <c r="B49" s="21"/>
      <c r="C49" s="21"/>
      <c r="D49" s="21"/>
      <c r="E49" s="21"/>
      <c r="F49" s="21"/>
      <c r="G49" s="21"/>
      <c r="H49" s="22"/>
    </row>
    <row r="50" ht="15.75" customHeight="1">
      <c r="A50" s="59"/>
      <c r="B50" s="46"/>
      <c r="C50" s="46"/>
      <c r="D50" s="46"/>
      <c r="E50" s="46"/>
      <c r="F50" s="46"/>
      <c r="G50" s="46"/>
      <c r="H50" s="47"/>
    </row>
    <row r="51" ht="15.75" customHeight="1">
      <c r="A51" s="60"/>
      <c r="H51" s="61"/>
    </row>
    <row r="52" ht="15.75" customHeight="1">
      <c r="A52" s="48"/>
      <c r="B52" s="49"/>
      <c r="C52" s="49"/>
      <c r="D52" s="49"/>
      <c r="E52" s="49"/>
      <c r="F52" s="49"/>
      <c r="G52" s="49"/>
      <c r="H52" s="50"/>
    </row>
    <row r="53" ht="15.75" customHeight="1">
      <c r="A53" s="44" t="s">
        <v>215</v>
      </c>
      <c r="B53" s="21"/>
      <c r="C53" s="21"/>
      <c r="D53" s="21"/>
      <c r="E53" s="21"/>
      <c r="F53" s="21"/>
      <c r="G53" s="21"/>
      <c r="H53" s="22"/>
    </row>
    <row r="54" ht="15.75" customHeight="1">
      <c r="A54" s="64" t="s">
        <v>246</v>
      </c>
      <c r="B54" s="46"/>
      <c r="C54" s="46"/>
      <c r="D54" s="46"/>
      <c r="E54" s="46"/>
      <c r="F54" s="46"/>
      <c r="G54" s="46"/>
      <c r="H54" s="47"/>
    </row>
    <row r="55" ht="15.75" customHeight="1">
      <c r="A55" s="60"/>
      <c r="H55" s="61"/>
    </row>
    <row r="56" ht="15.75" customHeight="1">
      <c r="A56" s="60"/>
      <c r="H56" s="61"/>
    </row>
    <row r="57" ht="15.75" customHeight="1">
      <c r="A57" s="48"/>
      <c r="B57" s="49"/>
      <c r="C57" s="49"/>
      <c r="D57" s="49"/>
      <c r="E57" s="49"/>
      <c r="F57" s="49"/>
      <c r="G57" s="49"/>
      <c r="H57" s="50"/>
    </row>
    <row r="58" ht="15.75" customHeight="1"/>
    <row r="59" ht="15.75" customHeight="1"/>
    <row r="60" ht="15.75" customHeight="1">
      <c r="A60" s="42" t="s">
        <v>247</v>
      </c>
      <c r="E60" s="35" t="s">
        <v>136</v>
      </c>
      <c r="F60" s="43">
        <v>1.0</v>
      </c>
      <c r="G60" s="35" t="s">
        <v>210</v>
      </c>
      <c r="H60" s="43">
        <v>5.0</v>
      </c>
    </row>
    <row r="61" ht="15.75" customHeight="1">
      <c r="A61" s="38" t="s">
        <v>222</v>
      </c>
    </row>
    <row r="62" ht="15.75" customHeight="1">
      <c r="A62" s="53" t="s">
        <v>148</v>
      </c>
      <c r="B62" s="32" t="s">
        <v>83</v>
      </c>
      <c r="C62" s="21"/>
      <c r="D62" s="21"/>
      <c r="E62" s="21"/>
      <c r="F62" s="21"/>
      <c r="G62" s="21"/>
      <c r="H62" s="22"/>
    </row>
    <row r="63" ht="15.75" customHeight="1">
      <c r="A63" s="53" t="s">
        <v>148</v>
      </c>
      <c r="B63" s="32" t="s">
        <v>65</v>
      </c>
      <c r="C63" s="21"/>
      <c r="D63" s="21"/>
      <c r="E63" s="21"/>
      <c r="F63" s="21"/>
      <c r="G63" s="21"/>
      <c r="H63" s="22"/>
    </row>
    <row r="64" ht="15.75" customHeight="1">
      <c r="A64" s="53" t="s">
        <v>148</v>
      </c>
      <c r="B64" s="20"/>
      <c r="C64" s="21"/>
      <c r="D64" s="21"/>
      <c r="E64" s="21"/>
      <c r="F64" s="21"/>
      <c r="G64" s="21"/>
      <c r="H64" s="22"/>
    </row>
    <row r="65" ht="15.75" customHeight="1">
      <c r="A65" s="53" t="s">
        <v>211</v>
      </c>
      <c r="B65" s="32" t="s">
        <v>248</v>
      </c>
      <c r="C65" s="21"/>
      <c r="D65" s="21"/>
      <c r="E65" s="21"/>
      <c r="F65" s="21"/>
      <c r="G65" s="21"/>
      <c r="H65" s="22"/>
    </row>
    <row r="66" ht="15.75" customHeight="1">
      <c r="A66" s="44" t="s">
        <v>213</v>
      </c>
      <c r="B66" s="21"/>
      <c r="C66" s="21"/>
      <c r="D66" s="21"/>
      <c r="E66" s="21"/>
      <c r="F66" s="21"/>
      <c r="G66" s="21"/>
      <c r="H66" s="22"/>
    </row>
    <row r="67" ht="15.75" customHeight="1">
      <c r="A67" s="59"/>
      <c r="B67" s="46"/>
      <c r="C67" s="46"/>
      <c r="D67" s="46"/>
      <c r="E67" s="46"/>
      <c r="F67" s="46"/>
      <c r="G67" s="46"/>
      <c r="H67" s="47"/>
    </row>
    <row r="68" ht="15.75" customHeight="1">
      <c r="A68" s="60"/>
      <c r="H68" s="61"/>
    </row>
    <row r="69" ht="15.75" customHeight="1">
      <c r="A69" s="48"/>
      <c r="B69" s="49"/>
      <c r="C69" s="49"/>
      <c r="D69" s="49"/>
      <c r="E69" s="49"/>
      <c r="F69" s="49"/>
      <c r="G69" s="49"/>
      <c r="H69" s="50"/>
    </row>
    <row r="70" ht="15.75" customHeight="1">
      <c r="A70" s="44" t="s">
        <v>215</v>
      </c>
      <c r="B70" s="21"/>
      <c r="C70" s="21"/>
      <c r="D70" s="21"/>
      <c r="E70" s="21"/>
      <c r="F70" s="21"/>
      <c r="G70" s="21"/>
      <c r="H70" s="22"/>
    </row>
    <row r="71" ht="15.75" customHeight="1">
      <c r="A71" s="45" t="s">
        <v>249</v>
      </c>
      <c r="B71" s="46"/>
      <c r="C71" s="46"/>
      <c r="D71" s="46"/>
      <c r="E71" s="46"/>
      <c r="F71" s="46"/>
      <c r="G71" s="46"/>
      <c r="H71" s="47"/>
    </row>
    <row r="72" ht="15.75" customHeight="1">
      <c r="A72" s="60"/>
      <c r="H72" s="61"/>
    </row>
    <row r="73" ht="15.75" customHeight="1">
      <c r="A73" s="60"/>
      <c r="H73" s="61"/>
    </row>
    <row r="74" ht="15.75" customHeight="1">
      <c r="A74" s="48"/>
      <c r="B74" s="49"/>
      <c r="C74" s="49"/>
      <c r="D74" s="49"/>
      <c r="E74" s="49"/>
      <c r="F74" s="49"/>
      <c r="G74" s="49"/>
      <c r="H74" s="50"/>
    </row>
    <row r="75" ht="15.75" customHeight="1"/>
    <row r="76" ht="15.75" customHeight="1"/>
    <row r="77" ht="15.75" customHeight="1">
      <c r="A77" s="42" t="s">
        <v>250</v>
      </c>
      <c r="E77" s="35" t="s">
        <v>136</v>
      </c>
      <c r="F77" s="43">
        <v>1.0</v>
      </c>
      <c r="G77" s="35" t="s">
        <v>210</v>
      </c>
      <c r="H77" s="43">
        <v>5.0</v>
      </c>
    </row>
    <row r="78" ht="15.75" customHeight="1">
      <c r="A78" s="38" t="s">
        <v>222</v>
      </c>
    </row>
    <row r="79" ht="15.75" customHeight="1">
      <c r="A79" s="53" t="s">
        <v>148</v>
      </c>
      <c r="B79" s="32" t="s">
        <v>65</v>
      </c>
      <c r="C79" s="21"/>
      <c r="D79" s="21"/>
      <c r="E79" s="21"/>
      <c r="F79" s="21"/>
      <c r="G79" s="21"/>
      <c r="H79" s="22"/>
    </row>
    <row r="80" ht="15.75" customHeight="1">
      <c r="A80" s="53" t="s">
        <v>148</v>
      </c>
      <c r="B80" s="32" t="s">
        <v>83</v>
      </c>
      <c r="C80" s="21"/>
      <c r="D80" s="21"/>
      <c r="E80" s="21"/>
      <c r="F80" s="21"/>
      <c r="G80" s="21"/>
      <c r="H80" s="22"/>
    </row>
    <row r="81" ht="15.75" customHeight="1">
      <c r="A81" s="53" t="s">
        <v>148</v>
      </c>
      <c r="B81" s="20"/>
      <c r="C81" s="21"/>
      <c r="D81" s="21"/>
      <c r="E81" s="21"/>
      <c r="F81" s="21"/>
      <c r="G81" s="21"/>
      <c r="H81" s="22"/>
    </row>
    <row r="82" ht="15.75" customHeight="1">
      <c r="A82" s="53" t="s">
        <v>211</v>
      </c>
      <c r="B82" s="32"/>
      <c r="C82" s="21"/>
      <c r="D82" s="21"/>
      <c r="E82" s="21"/>
      <c r="F82" s="21"/>
      <c r="G82" s="21"/>
      <c r="H82" s="22"/>
    </row>
    <row r="83" ht="15.75" customHeight="1">
      <c r="A83" s="44" t="s">
        <v>213</v>
      </c>
      <c r="B83" s="21"/>
      <c r="C83" s="21"/>
      <c r="D83" s="21"/>
      <c r="E83" s="21"/>
      <c r="F83" s="21"/>
      <c r="G83" s="21"/>
      <c r="H83" s="22"/>
    </row>
    <row r="84" ht="15.75" customHeight="1">
      <c r="A84" s="59"/>
      <c r="B84" s="46"/>
      <c r="C84" s="46"/>
      <c r="D84" s="46"/>
      <c r="E84" s="46"/>
      <c r="F84" s="46"/>
      <c r="G84" s="46"/>
      <c r="H84" s="47"/>
    </row>
    <row r="85" ht="15.75" customHeight="1">
      <c r="A85" s="60"/>
      <c r="H85" s="61"/>
    </row>
    <row r="86" ht="15.75" customHeight="1">
      <c r="A86" s="48"/>
      <c r="B86" s="49"/>
      <c r="C86" s="49"/>
      <c r="D86" s="49"/>
      <c r="E86" s="49"/>
      <c r="F86" s="49"/>
      <c r="G86" s="49"/>
      <c r="H86" s="50"/>
    </row>
    <row r="87" ht="15.75" customHeight="1">
      <c r="A87" s="44" t="s">
        <v>215</v>
      </c>
      <c r="B87" s="21"/>
      <c r="C87" s="21"/>
      <c r="D87" s="21"/>
      <c r="E87" s="21"/>
      <c r="F87" s="21"/>
      <c r="G87" s="21"/>
      <c r="H87" s="22"/>
    </row>
    <row r="88" ht="15.75" customHeight="1">
      <c r="A88" s="64"/>
      <c r="B88" s="46"/>
      <c r="C88" s="46"/>
      <c r="D88" s="46"/>
      <c r="E88" s="46"/>
      <c r="F88" s="46"/>
      <c r="G88" s="46"/>
      <c r="H88" s="47"/>
    </row>
    <row r="89" ht="15.75" customHeight="1">
      <c r="A89" s="60"/>
      <c r="H89" s="61"/>
    </row>
    <row r="90" ht="15.75" customHeight="1">
      <c r="A90" s="60"/>
      <c r="H90" s="61"/>
    </row>
    <row r="91" ht="15.75" customHeight="1">
      <c r="A91" s="48"/>
      <c r="B91" s="49"/>
      <c r="C91" s="49"/>
      <c r="D91" s="49"/>
      <c r="E91" s="49"/>
      <c r="F91" s="49"/>
      <c r="G91" s="49"/>
      <c r="H91" s="50"/>
    </row>
    <row r="92" ht="15.75" customHeight="1"/>
    <row r="93" ht="15.75" customHeight="1"/>
    <row r="94" ht="15.75" customHeight="1">
      <c r="A94" s="42" t="s">
        <v>251</v>
      </c>
      <c r="E94" s="35" t="s">
        <v>136</v>
      </c>
      <c r="F94" s="43">
        <v>1.0</v>
      </c>
      <c r="G94" s="35" t="s">
        <v>210</v>
      </c>
      <c r="H94" s="43">
        <v>4.0</v>
      </c>
    </row>
    <row r="95" ht="15.75" customHeight="1">
      <c r="A95" s="38" t="s">
        <v>222</v>
      </c>
    </row>
    <row r="96" ht="15.75" customHeight="1">
      <c r="A96" s="53" t="s">
        <v>148</v>
      </c>
      <c r="B96" s="32" t="s">
        <v>65</v>
      </c>
      <c r="C96" s="21"/>
      <c r="D96" s="21"/>
      <c r="E96" s="21"/>
      <c r="F96" s="21"/>
      <c r="G96" s="21"/>
      <c r="H96" s="22"/>
    </row>
    <row r="97" ht="15.75" customHeight="1">
      <c r="A97" s="53" t="s">
        <v>148</v>
      </c>
      <c r="B97" s="32" t="s">
        <v>19</v>
      </c>
      <c r="C97" s="21"/>
      <c r="D97" s="21"/>
      <c r="E97" s="21"/>
      <c r="F97" s="21"/>
      <c r="G97" s="21"/>
      <c r="H97" s="22"/>
    </row>
    <row r="98" ht="15.75" customHeight="1">
      <c r="A98" s="53" t="s">
        <v>148</v>
      </c>
      <c r="B98" s="20"/>
      <c r="C98" s="21"/>
      <c r="D98" s="21"/>
      <c r="E98" s="21"/>
      <c r="F98" s="21"/>
      <c r="G98" s="21"/>
      <c r="H98" s="22"/>
    </row>
    <row r="99" ht="15.75" customHeight="1">
      <c r="A99" s="53" t="s">
        <v>211</v>
      </c>
      <c r="B99" s="32" t="s">
        <v>252</v>
      </c>
      <c r="C99" s="21"/>
      <c r="D99" s="21"/>
      <c r="E99" s="21"/>
      <c r="F99" s="21"/>
      <c r="G99" s="21"/>
      <c r="H99" s="22"/>
    </row>
    <row r="100" ht="15.75" customHeight="1">
      <c r="A100" s="44" t="s">
        <v>213</v>
      </c>
      <c r="B100" s="21"/>
      <c r="C100" s="21"/>
      <c r="D100" s="21"/>
      <c r="E100" s="21"/>
      <c r="F100" s="21"/>
      <c r="G100" s="21"/>
      <c r="H100" s="22"/>
    </row>
    <row r="101" ht="15.75" customHeight="1">
      <c r="A101" s="59"/>
      <c r="B101" s="46"/>
      <c r="C101" s="46"/>
      <c r="D101" s="46"/>
      <c r="E101" s="46"/>
      <c r="F101" s="46"/>
      <c r="G101" s="46"/>
      <c r="H101" s="47"/>
    </row>
    <row r="102" ht="15.75" customHeight="1">
      <c r="A102" s="60"/>
      <c r="H102" s="61"/>
    </row>
    <row r="103" ht="15.75" customHeight="1">
      <c r="A103" s="48"/>
      <c r="B103" s="49"/>
      <c r="C103" s="49"/>
      <c r="D103" s="49"/>
      <c r="E103" s="49"/>
      <c r="F103" s="49"/>
      <c r="G103" s="49"/>
      <c r="H103" s="50"/>
    </row>
    <row r="104" ht="15.75" customHeight="1">
      <c r="A104" s="44" t="s">
        <v>215</v>
      </c>
      <c r="B104" s="21"/>
      <c r="C104" s="21"/>
      <c r="D104" s="21"/>
      <c r="E104" s="21"/>
      <c r="F104" s="21"/>
      <c r="G104" s="21"/>
      <c r="H104" s="22"/>
    </row>
    <row r="105" ht="15.75" customHeight="1">
      <c r="A105" s="67" t="s">
        <v>253</v>
      </c>
      <c r="B105" s="46"/>
      <c r="C105" s="46"/>
      <c r="D105" s="46"/>
      <c r="E105" s="46"/>
      <c r="F105" s="46"/>
      <c r="G105" s="46"/>
      <c r="H105" s="47"/>
    </row>
    <row r="106" ht="15.75" customHeight="1">
      <c r="A106" s="60"/>
      <c r="H106" s="61"/>
    </row>
    <row r="107" ht="15.75" customHeight="1">
      <c r="A107" s="60"/>
      <c r="H107" s="61"/>
    </row>
    <row r="108" ht="15.75" customHeight="1">
      <c r="A108" s="48"/>
      <c r="B108" s="49"/>
      <c r="C108" s="49"/>
      <c r="D108" s="49"/>
      <c r="E108" s="49"/>
      <c r="F108" s="49"/>
      <c r="G108" s="49"/>
      <c r="H108" s="50"/>
    </row>
    <row r="109" ht="15.75" customHeight="1"/>
    <row r="110" ht="15.75" customHeight="1"/>
    <row r="111" ht="15.75" customHeight="1">
      <c r="A111" s="42" t="s">
        <v>254</v>
      </c>
      <c r="E111" s="35" t="s">
        <v>136</v>
      </c>
      <c r="F111" s="51"/>
      <c r="G111" s="35" t="s">
        <v>210</v>
      </c>
      <c r="H111" s="51"/>
    </row>
    <row r="112" ht="15.75" customHeight="1">
      <c r="A112" s="38" t="s">
        <v>222</v>
      </c>
    </row>
    <row r="113" ht="15.75" customHeight="1">
      <c r="A113" s="53" t="s">
        <v>148</v>
      </c>
      <c r="B113" s="20"/>
      <c r="C113" s="21"/>
      <c r="D113" s="21"/>
      <c r="E113" s="21"/>
      <c r="F113" s="21"/>
      <c r="G113" s="21"/>
      <c r="H113" s="22"/>
    </row>
    <row r="114" ht="15.75" customHeight="1">
      <c r="A114" s="53" t="s">
        <v>148</v>
      </c>
      <c r="B114" s="20"/>
      <c r="C114" s="21"/>
      <c r="D114" s="21"/>
      <c r="E114" s="21"/>
      <c r="F114" s="21"/>
      <c r="G114" s="21"/>
      <c r="H114" s="22"/>
    </row>
    <row r="115" ht="15.75" customHeight="1">
      <c r="A115" s="53" t="s">
        <v>148</v>
      </c>
      <c r="B115" s="20"/>
      <c r="C115" s="21"/>
      <c r="D115" s="21"/>
      <c r="E115" s="21"/>
      <c r="F115" s="21"/>
      <c r="G115" s="21"/>
      <c r="H115" s="22"/>
    </row>
    <row r="116" ht="15.75" customHeight="1">
      <c r="A116" s="53" t="s">
        <v>211</v>
      </c>
      <c r="B116" s="20"/>
      <c r="C116" s="21"/>
      <c r="D116" s="21"/>
      <c r="E116" s="21"/>
      <c r="F116" s="21"/>
      <c r="G116" s="21"/>
      <c r="H116" s="22"/>
    </row>
    <row r="117" ht="15.75" customHeight="1">
      <c r="A117" s="44" t="s">
        <v>213</v>
      </c>
      <c r="B117" s="21"/>
      <c r="C117" s="21"/>
      <c r="D117" s="21"/>
      <c r="E117" s="21"/>
      <c r="F117" s="21"/>
      <c r="G117" s="21"/>
      <c r="H117" s="22"/>
    </row>
    <row r="118" ht="15.75" customHeight="1">
      <c r="A118" s="59"/>
      <c r="B118" s="46"/>
      <c r="C118" s="46"/>
      <c r="D118" s="46"/>
      <c r="E118" s="46"/>
      <c r="F118" s="46"/>
      <c r="G118" s="46"/>
      <c r="H118" s="47"/>
    </row>
    <row r="119" ht="15.75" customHeight="1">
      <c r="A119" s="60"/>
      <c r="H119" s="61"/>
    </row>
    <row r="120" ht="15.75" customHeight="1">
      <c r="A120" s="48"/>
      <c r="B120" s="49"/>
      <c r="C120" s="49"/>
      <c r="D120" s="49"/>
      <c r="E120" s="49"/>
      <c r="F120" s="49"/>
      <c r="G120" s="49"/>
      <c r="H120" s="50"/>
    </row>
    <row r="121" ht="15.75" customHeight="1">
      <c r="A121" s="44" t="s">
        <v>215</v>
      </c>
      <c r="B121" s="21"/>
      <c r="C121" s="21"/>
      <c r="D121" s="21"/>
      <c r="E121" s="21"/>
      <c r="F121" s="21"/>
      <c r="G121" s="21"/>
      <c r="H121" s="22"/>
    </row>
    <row r="122" ht="15.75" customHeight="1">
      <c r="A122" s="59"/>
      <c r="B122" s="46"/>
      <c r="C122" s="46"/>
      <c r="D122" s="46"/>
      <c r="E122" s="46"/>
      <c r="F122" s="46"/>
      <c r="G122" s="46"/>
      <c r="H122" s="47"/>
    </row>
    <row r="123" ht="15.75" customHeight="1">
      <c r="A123" s="60"/>
      <c r="H123" s="61"/>
    </row>
    <row r="124" ht="15.75" customHeight="1">
      <c r="A124" s="60"/>
      <c r="H124" s="61"/>
    </row>
    <row r="125" ht="15.75" customHeight="1">
      <c r="A125" s="48"/>
      <c r="B125" s="49"/>
      <c r="C125" s="49"/>
      <c r="D125" s="49"/>
      <c r="E125" s="49"/>
      <c r="F125" s="49"/>
      <c r="G125" s="49"/>
      <c r="H125" s="5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8"/>
    </row>
    <row r="2" ht="15.75" customHeight="1">
      <c r="A2" s="18"/>
      <c r="B2" s="40" t="s">
        <v>255</v>
      </c>
    </row>
    <row r="3" ht="15.75" customHeight="1">
      <c r="A3" s="18"/>
    </row>
    <row r="4" ht="15.75" customHeight="1">
      <c r="A4" s="18"/>
      <c r="B4" s="3" t="s">
        <v>1</v>
      </c>
      <c r="C4" s="3" t="str">
        <f>'Diseño'!C4</f>
        <v>781 - Organización de Lenguajes y Compiladores 2</v>
      </c>
    </row>
    <row r="5" ht="15.75" customHeight="1">
      <c r="A5" s="18"/>
      <c r="B5" s="18" t="s">
        <v>3</v>
      </c>
      <c r="C5" s="5" t="s">
        <v>4</v>
      </c>
    </row>
    <row r="6" ht="15.75" customHeight="1">
      <c r="A6" s="18"/>
      <c r="B6" s="18" t="s">
        <v>256</v>
      </c>
      <c r="H6" s="68"/>
    </row>
    <row r="7" ht="15.75" customHeight="1">
      <c r="A7" s="18"/>
    </row>
    <row r="8" ht="15.75" customHeight="1">
      <c r="A8" s="18"/>
    </row>
    <row r="9" ht="15.75" customHeight="1">
      <c r="A9" s="35" t="s">
        <v>257</v>
      </c>
      <c r="B9" s="69"/>
      <c r="D9" s="35" t="s">
        <v>207</v>
      </c>
      <c r="E9" s="70"/>
      <c r="F9" s="71"/>
      <c r="G9" s="71"/>
      <c r="H9" s="71"/>
      <c r="I9" s="71"/>
      <c r="J9" s="71"/>
      <c r="K9" s="71"/>
      <c r="L9" s="71"/>
      <c r="M9" s="71"/>
      <c r="N9" s="71"/>
      <c r="O9" s="71"/>
      <c r="P9" s="71"/>
      <c r="Q9" s="71"/>
      <c r="R9" s="71"/>
      <c r="S9" s="71"/>
      <c r="T9" s="71"/>
      <c r="U9" s="71"/>
      <c r="V9" s="71"/>
      <c r="W9" s="71"/>
      <c r="X9" s="71"/>
      <c r="Y9" s="71"/>
      <c r="Z9" s="71"/>
    </row>
    <row r="10" ht="15.75" customHeight="1">
      <c r="A10" s="72" t="s">
        <v>258</v>
      </c>
      <c r="D10" s="72" t="s">
        <v>259</v>
      </c>
    </row>
    <row r="11" ht="15.75" customHeight="1">
      <c r="A11" s="73"/>
      <c r="B11" s="74"/>
      <c r="C11" s="74"/>
      <c r="D11" s="74"/>
    </row>
    <row r="12" ht="15.75" customHeight="1">
      <c r="A12" s="75" t="s">
        <v>168</v>
      </c>
      <c r="B12" s="76" t="s">
        <v>260</v>
      </c>
      <c r="C12" s="76" t="s">
        <v>261</v>
      </c>
      <c r="D12" s="76" t="s">
        <v>262</v>
      </c>
    </row>
    <row r="13" ht="27.0" customHeight="1">
      <c r="A13" s="41" t="s">
        <v>263</v>
      </c>
      <c r="B13" s="23"/>
      <c r="C13" s="23"/>
      <c r="D13" s="23"/>
      <c r="E13" s="72" t="s">
        <v>264</v>
      </c>
    </row>
    <row r="14" ht="15.75" customHeight="1">
      <c r="A14" s="41" t="s">
        <v>207</v>
      </c>
      <c r="B14" s="23">
        <f>Proyectos!C6</f>
        <v>90</v>
      </c>
      <c r="C14" s="23">
        <f>Proyectos!C5</f>
        <v>80</v>
      </c>
      <c r="D14" s="23"/>
    </row>
    <row r="15" ht="15.75" customHeight="1">
      <c r="A15" s="41" t="s">
        <v>223</v>
      </c>
      <c r="B15" s="23">
        <f>Practicas!C6</f>
        <v>4</v>
      </c>
      <c r="C15" s="23">
        <f>Practicas!C5</f>
        <v>4</v>
      </c>
      <c r="D15" s="23"/>
    </row>
    <row r="16" ht="15.75" customHeight="1">
      <c r="A16" s="41" t="s">
        <v>237</v>
      </c>
      <c r="B16" s="23">
        <f>Tareas!C6</f>
        <v>6</v>
      </c>
      <c r="C16" s="23">
        <f>Tareas!C5</f>
        <v>33</v>
      </c>
      <c r="D16" s="23"/>
    </row>
    <row r="17" ht="15.75" customHeight="1">
      <c r="A17" s="77" t="s">
        <v>265</v>
      </c>
      <c r="B17" s="78">
        <f t="shared" ref="B17:C17" si="1">SUM(B13:B16)</f>
        <v>100</v>
      </c>
      <c r="C17" s="78">
        <f t="shared" si="1"/>
        <v>117</v>
      </c>
      <c r="D17" s="78"/>
    </row>
    <row r="18" ht="15.75" customHeight="1">
      <c r="A18" s="18"/>
    </row>
    <row r="19" ht="15.75" customHeight="1">
      <c r="A19" s="18"/>
    </row>
    <row r="20" ht="15.75" customHeight="1">
      <c r="A20" s="18"/>
    </row>
    <row r="21" ht="15.75" customHeight="1">
      <c r="A21" s="18"/>
    </row>
    <row r="22" ht="15.75" customHeight="1">
      <c r="A22" s="18"/>
    </row>
    <row r="23" ht="15.75" customHeight="1">
      <c r="A23" s="18"/>
    </row>
    <row r="24" ht="15.75" customHeight="1">
      <c r="A24" s="18"/>
    </row>
    <row r="25" ht="15.75" customHeight="1">
      <c r="A25" s="18"/>
    </row>
    <row r="26" ht="15.75" customHeight="1">
      <c r="A26" s="18"/>
    </row>
    <row r="27" ht="15.75" customHeight="1">
      <c r="A27" s="18"/>
    </row>
    <row r="28" ht="15.75" customHeight="1">
      <c r="A28" s="18"/>
    </row>
    <row r="29" ht="15.75" customHeight="1">
      <c r="A29" s="18"/>
    </row>
    <row r="30" ht="15.75" customHeight="1">
      <c r="A30" s="18"/>
    </row>
    <row r="31" ht="15.75" customHeight="1">
      <c r="A31" s="18"/>
    </row>
    <row r="32" ht="15.75" customHeight="1">
      <c r="A32" s="18"/>
    </row>
    <row r="33" ht="15.75" customHeight="1">
      <c r="A33" s="18"/>
    </row>
    <row r="34" ht="15.75" customHeight="1">
      <c r="A34" s="18"/>
    </row>
    <row r="35" ht="15.75" customHeight="1">
      <c r="A35" s="18"/>
    </row>
    <row r="36" ht="15.75" customHeight="1">
      <c r="A36" s="18"/>
    </row>
    <row r="37" ht="15.75" customHeight="1">
      <c r="A37" s="18"/>
    </row>
    <row r="38" ht="15.75" customHeight="1">
      <c r="A38" s="18"/>
    </row>
    <row r="39" ht="15.75" customHeight="1">
      <c r="A39" s="18"/>
    </row>
    <row r="40" ht="15.75" customHeight="1">
      <c r="A40" s="18"/>
    </row>
    <row r="41" ht="15.75" customHeight="1">
      <c r="A41" s="18"/>
    </row>
    <row r="42" ht="15.75" customHeight="1">
      <c r="A42" s="18"/>
    </row>
    <row r="43" ht="15.75" customHeight="1">
      <c r="A43" s="18"/>
    </row>
    <row r="44" ht="15.75" customHeight="1">
      <c r="A44" s="18"/>
    </row>
    <row r="45" ht="15.75" customHeight="1">
      <c r="A45" s="18"/>
    </row>
    <row r="46" ht="15.75" customHeight="1">
      <c r="A46" s="18"/>
    </row>
    <row r="47" ht="15.75" customHeight="1">
      <c r="A47" s="18"/>
    </row>
    <row r="48" ht="15.75" customHeight="1">
      <c r="A48" s="18"/>
    </row>
    <row r="49" ht="15.75" customHeight="1">
      <c r="A49" s="18"/>
    </row>
    <row r="50" ht="15.75" customHeight="1">
      <c r="A50" s="18"/>
    </row>
    <row r="51" ht="15.75" customHeight="1">
      <c r="A51" s="18"/>
    </row>
    <row r="52" ht="15.75" customHeight="1">
      <c r="A52" s="18"/>
    </row>
    <row r="53" ht="15.75" customHeight="1">
      <c r="A53" s="18"/>
    </row>
    <row r="54" ht="15.75" customHeight="1">
      <c r="A54" s="18"/>
    </row>
    <row r="55" ht="15.75" customHeight="1">
      <c r="A55" s="18"/>
    </row>
    <row r="56" ht="15.75" customHeight="1">
      <c r="A56" s="18"/>
    </row>
    <row r="57" ht="15.75" customHeight="1">
      <c r="A57" s="18"/>
    </row>
    <row r="58" ht="15.75" customHeight="1">
      <c r="A58" s="18"/>
    </row>
    <row r="59" ht="15.75" customHeight="1">
      <c r="A59" s="18"/>
    </row>
    <row r="60" ht="15.75" customHeight="1">
      <c r="A60" s="18"/>
    </row>
    <row r="61" ht="15.75" customHeight="1">
      <c r="A61" s="18"/>
    </row>
    <row r="62" ht="15.75" customHeight="1">
      <c r="A62" s="18"/>
    </row>
    <row r="63" ht="15.75" customHeight="1">
      <c r="A63" s="18"/>
    </row>
    <row r="64" ht="15.75" customHeight="1">
      <c r="A64" s="18"/>
    </row>
    <row r="65" ht="15.75" customHeight="1">
      <c r="A65" s="18"/>
    </row>
    <row r="66" ht="15.75" customHeight="1">
      <c r="A66" s="18"/>
    </row>
    <row r="67" ht="15.75" customHeight="1">
      <c r="A67" s="18"/>
    </row>
    <row r="68" ht="15.75" customHeight="1">
      <c r="A68" s="18"/>
    </row>
    <row r="69" ht="15.75" customHeight="1">
      <c r="A69" s="18"/>
    </row>
    <row r="70" ht="15.75" customHeight="1">
      <c r="A70" s="18"/>
    </row>
    <row r="71" ht="15.75" customHeight="1">
      <c r="A71" s="18"/>
    </row>
    <row r="72" ht="15.75" customHeight="1">
      <c r="A72" s="18"/>
    </row>
    <row r="73" ht="15.75" customHeight="1">
      <c r="A73" s="18"/>
    </row>
    <row r="74" ht="15.75" customHeight="1">
      <c r="A74" s="18"/>
    </row>
    <row r="75" ht="15.75" customHeight="1">
      <c r="A75" s="18"/>
    </row>
    <row r="76" ht="15.75" customHeight="1">
      <c r="A76" s="18"/>
    </row>
    <row r="77" ht="15.75" customHeight="1">
      <c r="A77" s="18"/>
    </row>
    <row r="78" ht="15.75" customHeight="1">
      <c r="A78" s="18"/>
    </row>
    <row r="79" ht="15.75" customHeight="1">
      <c r="A79" s="18"/>
    </row>
    <row r="80" ht="15.75" customHeight="1">
      <c r="A80" s="18"/>
    </row>
    <row r="81" ht="15.75" customHeight="1">
      <c r="A81" s="18"/>
    </row>
    <row r="82" ht="15.75" customHeight="1">
      <c r="A82" s="18"/>
    </row>
    <row r="83" ht="15.75" customHeight="1">
      <c r="A83" s="18"/>
    </row>
    <row r="84" ht="15.75" customHeight="1">
      <c r="A84" s="18"/>
    </row>
    <row r="85" ht="15.75" customHeight="1">
      <c r="A85" s="18"/>
    </row>
    <row r="86" ht="15.75" customHeight="1">
      <c r="A86" s="18"/>
    </row>
    <row r="87" ht="15.75" customHeight="1">
      <c r="A87" s="18"/>
    </row>
    <row r="88" ht="15.75" customHeight="1">
      <c r="A88" s="18"/>
    </row>
    <row r="89" ht="15.75" customHeight="1">
      <c r="A89" s="18"/>
    </row>
    <row r="90" ht="15.75" customHeight="1">
      <c r="A90" s="18"/>
    </row>
    <row r="91" ht="15.75" customHeight="1">
      <c r="A91" s="18"/>
    </row>
    <row r="92" ht="15.75" customHeight="1">
      <c r="A92" s="18"/>
    </row>
    <row r="93" ht="15.75" customHeight="1">
      <c r="A93" s="18"/>
    </row>
    <row r="94" ht="15.75" customHeight="1">
      <c r="A94" s="18"/>
    </row>
    <row r="95" ht="15.75" customHeight="1">
      <c r="A95" s="18"/>
    </row>
    <row r="96" ht="15.75" customHeight="1">
      <c r="A96" s="18"/>
    </row>
    <row r="97" ht="15.75" customHeight="1">
      <c r="A97" s="18"/>
    </row>
    <row r="98" ht="15.75" customHeight="1">
      <c r="A98" s="18"/>
    </row>
    <row r="99" ht="15.75" customHeight="1">
      <c r="A99" s="18"/>
    </row>
    <row r="100" ht="15.75" customHeight="1">
      <c r="A100" s="18"/>
    </row>
    <row r="101" ht="15.75" customHeight="1">
      <c r="A101" s="18"/>
    </row>
    <row r="102" ht="15.75" customHeight="1">
      <c r="A102" s="18"/>
    </row>
    <row r="103" ht="15.75" customHeight="1">
      <c r="A103" s="18"/>
    </row>
    <row r="104" ht="15.75" customHeight="1">
      <c r="A104" s="18"/>
    </row>
    <row r="105" ht="15.75" customHeight="1">
      <c r="A105" s="18"/>
    </row>
    <row r="106" ht="15.75" customHeight="1">
      <c r="A106" s="18"/>
    </row>
    <row r="107" ht="15.75" customHeight="1">
      <c r="A107" s="18"/>
    </row>
    <row r="108" ht="15.75" customHeight="1">
      <c r="A108" s="18"/>
    </row>
    <row r="109" ht="15.75" customHeight="1">
      <c r="A109" s="18"/>
    </row>
    <row r="110" ht="15.75" customHeight="1">
      <c r="A110" s="18"/>
    </row>
    <row r="111" ht="15.75" customHeight="1">
      <c r="A111" s="18"/>
    </row>
    <row r="112" ht="15.75" customHeight="1">
      <c r="A112" s="18"/>
    </row>
    <row r="113" ht="15.75" customHeight="1">
      <c r="A113" s="18"/>
    </row>
    <row r="114" ht="15.75" customHeight="1">
      <c r="A114" s="18"/>
    </row>
    <row r="115" ht="15.75" customHeight="1">
      <c r="A115" s="18"/>
    </row>
    <row r="116" ht="15.75" customHeight="1">
      <c r="A116" s="18"/>
    </row>
    <row r="117" ht="15.75" customHeight="1">
      <c r="A117" s="18"/>
    </row>
    <row r="118" ht="15.75" customHeight="1">
      <c r="A118" s="18"/>
    </row>
    <row r="119" ht="15.75" customHeight="1">
      <c r="A119" s="18"/>
    </row>
    <row r="120" ht="15.75" customHeight="1">
      <c r="A120" s="18"/>
    </row>
    <row r="121" ht="15.75" customHeight="1">
      <c r="A121" s="18"/>
    </row>
    <row r="122" ht="15.75" customHeight="1">
      <c r="A122" s="18"/>
    </row>
    <row r="123" ht="15.75" customHeight="1">
      <c r="A123" s="18"/>
    </row>
    <row r="124" ht="15.75" customHeight="1">
      <c r="A124" s="18"/>
    </row>
    <row r="125" ht="15.75" customHeight="1">
      <c r="A125" s="18"/>
    </row>
    <row r="126" ht="15.75" customHeight="1">
      <c r="A126" s="18"/>
    </row>
    <row r="127" ht="15.75" customHeight="1">
      <c r="A127" s="18"/>
    </row>
    <row r="128" ht="15.75" customHeight="1">
      <c r="A128" s="18"/>
    </row>
    <row r="129" ht="15.75" customHeight="1">
      <c r="A129" s="18"/>
    </row>
    <row r="130" ht="15.75" customHeight="1">
      <c r="A130" s="18"/>
    </row>
    <row r="131" ht="15.75" customHeight="1">
      <c r="A131" s="18"/>
    </row>
    <row r="132" ht="15.75" customHeight="1">
      <c r="A132" s="18"/>
    </row>
    <row r="133" ht="15.75" customHeight="1">
      <c r="A133" s="18"/>
    </row>
    <row r="134" ht="15.75" customHeight="1">
      <c r="A134" s="18"/>
    </row>
    <row r="135" ht="15.75" customHeight="1">
      <c r="A135" s="18"/>
    </row>
    <row r="136" ht="15.75" customHeight="1">
      <c r="A136" s="18"/>
    </row>
    <row r="137" ht="15.75" customHeight="1">
      <c r="A137" s="18"/>
    </row>
    <row r="138" ht="15.75" customHeight="1">
      <c r="A138" s="18"/>
    </row>
    <row r="139" ht="15.75" customHeight="1">
      <c r="A139" s="18"/>
    </row>
    <row r="140" ht="15.75" customHeight="1">
      <c r="A140" s="18"/>
    </row>
    <row r="141" ht="15.75" customHeight="1">
      <c r="A141" s="18"/>
    </row>
    <row r="142" ht="15.75" customHeight="1">
      <c r="A142" s="18"/>
    </row>
    <row r="143" ht="15.75" customHeight="1">
      <c r="A143" s="18"/>
    </row>
    <row r="144" ht="15.75" customHeight="1">
      <c r="A144" s="18"/>
    </row>
    <row r="145" ht="15.75" customHeight="1">
      <c r="A145" s="18"/>
    </row>
    <row r="146" ht="15.75" customHeight="1">
      <c r="A146" s="18"/>
    </row>
    <row r="147" ht="15.75" customHeight="1">
      <c r="A147" s="18"/>
    </row>
    <row r="148" ht="15.75" customHeight="1">
      <c r="A148" s="18"/>
    </row>
    <row r="149" ht="15.75" customHeight="1">
      <c r="A149" s="18"/>
    </row>
    <row r="150" ht="15.75" customHeight="1">
      <c r="A150" s="18"/>
    </row>
    <row r="151" ht="15.75" customHeight="1">
      <c r="A151" s="18"/>
    </row>
    <row r="152" ht="15.75" customHeight="1">
      <c r="A152" s="18"/>
    </row>
    <row r="153" ht="15.75" customHeight="1">
      <c r="A153" s="18"/>
    </row>
    <row r="154" ht="15.75" customHeight="1">
      <c r="A154" s="18"/>
    </row>
    <row r="155" ht="15.75" customHeight="1">
      <c r="A155" s="18"/>
    </row>
    <row r="156" ht="15.75" customHeight="1">
      <c r="A156" s="18"/>
    </row>
    <row r="157" ht="15.75" customHeight="1">
      <c r="A157" s="18"/>
    </row>
    <row r="158" ht="15.75" customHeight="1">
      <c r="A158" s="18"/>
    </row>
    <row r="159" ht="15.75" customHeight="1">
      <c r="A159" s="18"/>
    </row>
    <row r="160" ht="15.75" customHeight="1">
      <c r="A160" s="18"/>
    </row>
    <row r="161" ht="15.75" customHeight="1">
      <c r="A161" s="18"/>
    </row>
    <row r="162" ht="15.75" customHeight="1">
      <c r="A162" s="18"/>
    </row>
    <row r="163" ht="15.75" customHeight="1">
      <c r="A163" s="18"/>
    </row>
    <row r="164" ht="15.75" customHeight="1">
      <c r="A164" s="18"/>
    </row>
    <row r="165" ht="15.75" customHeight="1">
      <c r="A165" s="18"/>
    </row>
    <row r="166" ht="15.75" customHeight="1">
      <c r="A166" s="18"/>
    </row>
    <row r="167" ht="15.75" customHeight="1">
      <c r="A167" s="18"/>
    </row>
    <row r="168" ht="15.75" customHeight="1">
      <c r="A168" s="18"/>
    </row>
    <row r="169" ht="15.75" customHeight="1">
      <c r="A169" s="18"/>
    </row>
    <row r="170" ht="15.75" customHeight="1">
      <c r="A170" s="18"/>
    </row>
    <row r="171" ht="15.75" customHeight="1">
      <c r="A171" s="18"/>
    </row>
    <row r="172" ht="15.75" customHeight="1">
      <c r="A172" s="18"/>
    </row>
    <row r="173" ht="15.75" customHeight="1">
      <c r="A173" s="18"/>
    </row>
    <row r="174" ht="15.75" customHeight="1">
      <c r="A174" s="18"/>
    </row>
    <row r="175" ht="15.75" customHeight="1">
      <c r="A175" s="18"/>
    </row>
    <row r="176" ht="15.75" customHeight="1">
      <c r="A176" s="18"/>
    </row>
    <row r="177" ht="15.75" customHeight="1">
      <c r="A177" s="18"/>
    </row>
    <row r="178" ht="15.75" customHeight="1">
      <c r="A178" s="18"/>
    </row>
    <row r="179" ht="15.75" customHeight="1">
      <c r="A179" s="18"/>
    </row>
    <row r="180" ht="15.75" customHeight="1">
      <c r="A180" s="18"/>
    </row>
    <row r="181" ht="15.75" customHeight="1">
      <c r="A181" s="18"/>
    </row>
    <row r="182" ht="15.75" customHeight="1">
      <c r="A182" s="18"/>
    </row>
    <row r="183" ht="15.75" customHeight="1">
      <c r="A183" s="18"/>
    </row>
    <row r="184" ht="15.75" customHeight="1">
      <c r="A184" s="18"/>
    </row>
    <row r="185" ht="15.75" customHeight="1">
      <c r="A185" s="18"/>
    </row>
    <row r="186" ht="15.75" customHeight="1">
      <c r="A186" s="18"/>
    </row>
    <row r="187" ht="15.75" customHeight="1">
      <c r="A187" s="18"/>
    </row>
    <row r="188" ht="15.75" customHeight="1">
      <c r="A188" s="18"/>
    </row>
    <row r="189" ht="15.75" customHeight="1">
      <c r="A189" s="18"/>
    </row>
    <row r="190" ht="15.75" customHeight="1">
      <c r="A190" s="18"/>
    </row>
    <row r="191" ht="15.75" customHeight="1">
      <c r="A191" s="18"/>
    </row>
    <row r="192" ht="15.75" customHeight="1">
      <c r="A192" s="18"/>
    </row>
    <row r="193" ht="15.75" customHeight="1">
      <c r="A193" s="18"/>
    </row>
    <row r="194" ht="15.75" customHeight="1">
      <c r="A194" s="18"/>
    </row>
    <row r="195" ht="15.75" customHeight="1">
      <c r="A195" s="18"/>
    </row>
    <row r="196" ht="15.75" customHeight="1">
      <c r="A196" s="18"/>
    </row>
    <row r="197" ht="15.75" customHeight="1">
      <c r="A197" s="18"/>
    </row>
    <row r="198" ht="15.75" customHeight="1">
      <c r="A198" s="18"/>
    </row>
    <row r="199" ht="15.75" customHeight="1">
      <c r="A199" s="18"/>
    </row>
    <row r="200" ht="15.75" customHeight="1">
      <c r="A200" s="18"/>
    </row>
    <row r="201" ht="15.75" customHeight="1">
      <c r="A201" s="18"/>
    </row>
    <row r="202" ht="15.75" customHeight="1">
      <c r="A202" s="18"/>
    </row>
    <row r="203" ht="15.75" customHeight="1">
      <c r="A203" s="18"/>
    </row>
    <row r="204" ht="15.75" customHeight="1">
      <c r="A204" s="18"/>
    </row>
    <row r="205" ht="15.75" customHeight="1">
      <c r="A205" s="18"/>
    </row>
    <row r="206" ht="15.75" customHeight="1">
      <c r="A206" s="18"/>
    </row>
    <row r="207" ht="15.75" customHeight="1">
      <c r="A207" s="18"/>
    </row>
    <row r="208" ht="15.75" customHeight="1">
      <c r="A208" s="18"/>
    </row>
    <row r="209" ht="15.75" customHeight="1">
      <c r="A209" s="18"/>
    </row>
    <row r="210" ht="15.75" customHeight="1">
      <c r="A210" s="18"/>
    </row>
    <row r="211" ht="15.75" customHeight="1">
      <c r="A211" s="18"/>
    </row>
    <row r="212" ht="15.75" customHeight="1">
      <c r="A212" s="18"/>
    </row>
    <row r="213" ht="15.75" customHeight="1">
      <c r="A213" s="18"/>
    </row>
    <row r="214" ht="15.75" customHeight="1">
      <c r="A214" s="18"/>
    </row>
    <row r="215" ht="15.75" customHeight="1">
      <c r="A215" s="18"/>
    </row>
    <row r="216" ht="15.75" customHeight="1">
      <c r="A216" s="18"/>
    </row>
    <row r="217" ht="15.75" customHeight="1">
      <c r="A217" s="18"/>
    </row>
    <row r="218" ht="15.75" customHeight="1">
      <c r="A218" s="18"/>
    </row>
    <row r="219" ht="15.75" customHeight="1">
      <c r="A219" s="18"/>
    </row>
    <row r="220" ht="15.75" customHeight="1">
      <c r="A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Cursos!H:L"")"),"Codigo-Nombre")</f>
        <v>Codigo-Nombre</v>
      </c>
      <c r="B1" s="5" t="str">
        <f>IFERROR(__xludf.DUMMYFUNCTION("""COMPUTED_VALUE"""),"Diseño Curricular V01")</f>
        <v>Diseño Curricular V01</v>
      </c>
      <c r="C1" s="5" t="str">
        <f>IFERROR(__xludf.DUMMYFUNCTION("""COMPUTED_VALUE"""),"Analisis de Contexto V01")</f>
        <v>Analisis de Contexto V01</v>
      </c>
      <c r="D1" s="5" t="str">
        <f>IFERROR(__xludf.DUMMYFUNCTION("""COMPUTED_VALUE"""),"2_Analisis_Internacional_y_Local")</f>
        <v>2_Analisis_Internacional_y_Local</v>
      </c>
      <c r="E1" s="5" t="str">
        <f>IFERROR(__xludf.DUMMYFUNCTION("""COMPUTED_VALUE"""),"3_Diseño_Curricular")</f>
        <v>3_Diseño_Curricular</v>
      </c>
      <c r="H1" s="5">
        <f>IFERROR(__xludf.DUMMYFUNCTION("IMPORTRANGE(VLOOKUP('Diseño'!C4,A:E,4,FALSE), ""Competencias_1re_Sem_2026!B10:J23"")"),1.0)</f>
        <v>1</v>
      </c>
      <c r="I1" s="5" t="str">
        <f>IFERROR(__xludf.DUMMYFUNCTION("""COMPUTED_VALUE"""),"General")</f>
        <v>General</v>
      </c>
      <c r="J1" s="5" t="str">
        <f>IFERROR(__xludf.DUMMYFUNCTION("""COMPUTED_VALUE"""),"El estudiante comprende")</f>
        <v>El estudiante comprende</v>
      </c>
      <c r="K1" s="5" t="str">
        <f>IFERROR(__xludf.DUMMYFUNCTION("""COMPUTED_VALUE"""),"las fases de un compilador")</f>
        <v>las fases de un compilador</v>
      </c>
      <c r="L1" s="5"/>
      <c r="M1" s="5" t="str">
        <f>IFERROR(__xludf.DUMMYFUNCTION("""COMPUTED_VALUE"""),"a través de diagramas de flujo y modelos teóricos")</f>
        <v>a través de diagramas de flujo y modelos teóricos</v>
      </c>
      <c r="N1" s="5" t="str">
        <f>IFERROR(__xludf.DUMMYFUNCTION("""COMPUTED_VALUE"""),"con ejemplos de compilación real en lenguajes como C, Go o Java.")</f>
        <v>con ejemplos de compilación real en lenguajes como C, Go o Java.</v>
      </c>
      <c r="O1" s="5"/>
      <c r="P1" s="5" t="str">
        <f>IFERROR(__xludf.DUMMYFUNCTION("""COMPUTED_VALUE"""),"Comprender")</f>
        <v>Comprender</v>
      </c>
    </row>
    <row r="2" ht="15.75" customHeight="1">
      <c r="A2" s="5" t="str">
        <f>IFERROR(__xludf.DUMMYFUNCTION("""COMPUTED_VALUE"""),"17 - Área Social Humanística 1")</f>
        <v>17 - Área Social Humanística 1</v>
      </c>
      <c r="B2" s="5"/>
      <c r="C2" s="5"/>
      <c r="D2" s="5"/>
      <c r="E2" s="5"/>
      <c r="H2" s="5"/>
      <c r="I2" s="5" t="str">
        <f>IFERROR(__xludf.DUMMYFUNCTION("""COMPUTED_VALUE"""),"El estudiante comprende las fases de un compilador a través de diagramas de flujo y modelos teóricos con ejemplos de compilación real en lenguajes como C, Go o Java. ")</f>
        <v>El estudiante comprende las fases de un compilador a través de diagramas de flujo y modelos teóricos con ejemplos de compilación real en lenguajes como C, Go o Java. </v>
      </c>
      <c r="J2" s="5"/>
      <c r="K2" s="5"/>
      <c r="L2" s="5"/>
      <c r="M2" s="5"/>
      <c r="N2" s="5"/>
      <c r="O2" s="5"/>
      <c r="P2" s="5"/>
    </row>
    <row r="3" ht="15.75" customHeight="1">
      <c r="A3" s="5" t="str">
        <f>IFERROR(__xludf.DUMMYFUNCTION("""COMPUTED_VALUE"""),"101 - Área Matemática Básica 1")</f>
        <v>101 - Área Matemática Básica 1</v>
      </c>
      <c r="B3" s="5"/>
      <c r="C3" s="5"/>
      <c r="D3" s="5"/>
      <c r="E3" s="5"/>
      <c r="H3" s="5">
        <f>IFERROR(__xludf.DUMMYFUNCTION("""COMPUTED_VALUE"""),2.0)</f>
        <v>2</v>
      </c>
      <c r="I3" s="5" t="str">
        <f>IFERROR(__xludf.DUMMYFUNCTION("""COMPUTED_VALUE"""),"Especifica")</f>
        <v>Especifica</v>
      </c>
      <c r="J3" s="5" t="str">
        <f>IFERROR(__xludf.DUMMYFUNCTION("""COMPUTED_VALUE"""),"El estudiante evalúa")</f>
        <v>El estudiante evalúa</v>
      </c>
      <c r="K3" s="5" t="str">
        <f>IFERROR(__xludf.DUMMYFUNCTION("""COMPUTED_VALUE"""),"el desempeño de cada fase del compilador")</f>
        <v>el desempeño de cada fase del compilador</v>
      </c>
      <c r="L3" s="5"/>
      <c r="M3" s="5" t="str">
        <f>IFERROR(__xludf.DUMMYFUNCTION("""COMPUTED_VALUE"""),"a través de métricas de tiempo y uso de memoria para")</f>
        <v>a través de métricas de tiempo y uso de memoria para</v>
      </c>
      <c r="N3" s="5" t="str">
        <f>IFERROR(__xludf.DUMMYFUNCTION("""COMPUTED_VALUE"""),"comparar implementaciones como GCC vs. Clang")</f>
        <v>comparar implementaciones como GCC vs. Clang</v>
      </c>
      <c r="O3" s="5"/>
      <c r="P3" s="5" t="str">
        <f>IFERROR(__xludf.DUMMYFUNCTION("""COMPUTED_VALUE"""),"Evaluar")</f>
        <v>Evaluar</v>
      </c>
    </row>
    <row r="4" ht="15.75" customHeight="1">
      <c r="A4" s="5" t="str">
        <f>IFERROR(__xludf.DUMMYFUNCTION("""COMPUTED_VALUE"""),"5 - Técnicas de Estudio e Investigación")</f>
        <v>5 - Técnicas de Estudio e Investigación</v>
      </c>
      <c r="B4" s="5"/>
      <c r="C4" s="5"/>
      <c r="D4" s="5"/>
      <c r="E4" s="5"/>
      <c r="H4" s="5"/>
      <c r="I4" s="5" t="str">
        <f>IFERROR(__xludf.DUMMYFUNCTION("""COMPUTED_VALUE"""),"El estudiante evalúa el desempeño de cada fase del compilador a través de métricas de tiempo y uso de memoria para comparar implementaciones como GCC vs. Clang ")</f>
        <v>El estudiante evalúa el desempeño de cada fase del compilador a través de métricas de tiempo y uso de memoria para comparar implementaciones como GCC vs. Clang </v>
      </c>
      <c r="J4" s="5"/>
      <c r="K4" s="5"/>
      <c r="L4" s="5"/>
      <c r="M4" s="5"/>
      <c r="N4" s="5"/>
      <c r="O4" s="5"/>
      <c r="P4" s="5"/>
    </row>
    <row r="5" ht="15.75" customHeight="1">
      <c r="A5" s="5" t="str">
        <f>IFERROR(__xludf.DUMMYFUNCTION("""COMPUTED_VALUE"""),"39 - Deportes 1")</f>
        <v>39 - Deportes 1</v>
      </c>
      <c r="B5" s="5"/>
      <c r="C5" s="5"/>
      <c r="D5" s="5"/>
      <c r="E5" s="5"/>
      <c r="H5" s="5">
        <f>IFERROR(__xludf.DUMMYFUNCTION("""COMPUTED_VALUE"""),3.0)</f>
        <v>3</v>
      </c>
      <c r="I5" s="5" t="str">
        <f>IFERROR(__xludf.DUMMYFUNCTION("""COMPUTED_VALUE"""),"General")</f>
        <v>General</v>
      </c>
      <c r="J5" s="5" t="str">
        <f>IFERROR(__xludf.DUMMYFUNCTION("""COMPUTED_VALUE"""),"El estudiante utiliza")</f>
        <v>El estudiante utiliza</v>
      </c>
      <c r="K5" s="5" t="str">
        <f>IFERROR(__xludf.DUMMYFUNCTION("""COMPUTED_VALUE"""),"herramientas generadoras de lexers y parsers")</f>
        <v>herramientas generadoras de lexers y parsers</v>
      </c>
      <c r="L5" s="5"/>
      <c r="M5" s="5" t="str">
        <f>IFERROR(__xludf.DUMMYFUNCTION("""COMPUTED_VALUE"""),"tales como Flex, Bison y ANTLR en")</f>
        <v>tales como Flex, Bison y ANTLR en</v>
      </c>
      <c r="N5" s="5" t="str">
        <f>IFERROR(__xludf.DUMMYFUNCTION("""COMPUTED_VALUE"""),"proyectos de análisis léxico y sintáctico")</f>
        <v>proyectos de análisis léxico y sintáctico</v>
      </c>
      <c r="O5" s="5"/>
      <c r="P5" s="5" t="str">
        <f>IFERROR(__xludf.DUMMYFUNCTION("""COMPUTED_VALUE"""),"Aplicar")</f>
        <v>Aplicar</v>
      </c>
    </row>
    <row r="6" ht="15.75" customHeight="1">
      <c r="A6" s="5" t="str">
        <f>IFERROR(__xludf.DUMMYFUNCTION("""COMPUTED_VALUE"""),"6 - Idioma Tecnico 1")</f>
        <v>6 - Idioma Tecnico 1</v>
      </c>
      <c r="B6" s="5"/>
      <c r="C6" s="5"/>
      <c r="D6" s="5"/>
      <c r="E6" s="5"/>
      <c r="H6" s="5"/>
      <c r="I6" s="5" t="str">
        <f>IFERROR(__xludf.DUMMYFUNCTION("""COMPUTED_VALUE"""),"El estudiante utiliza herramientas generadoras de lexers y parsers tales como Flex, Bison y ANTLR en proyectos de análisis léxico y sintáctico ")</f>
        <v>El estudiante utiliza herramientas generadoras de lexers y parsers tales como Flex, Bison y ANTLR en proyectos de análisis léxico y sintáctico </v>
      </c>
      <c r="J6" s="5"/>
      <c r="K6" s="5"/>
      <c r="L6" s="5"/>
      <c r="M6" s="5"/>
      <c r="N6" s="5"/>
      <c r="O6" s="5"/>
      <c r="P6" s="5"/>
    </row>
    <row r="7" ht="15.75" customHeight="1">
      <c r="A7" s="5" t="str">
        <f>IFERROR(__xludf.DUMMYFUNCTION("""COMPUTED_VALUE"""),"19 - Área Social Humanística 2")</f>
        <v>19 - Área Social Humanística 2</v>
      </c>
      <c r="B7" s="5"/>
      <c r="C7" s="5"/>
      <c r="D7" s="5"/>
      <c r="E7" s="5"/>
      <c r="H7" s="5">
        <f>IFERROR(__xludf.DUMMYFUNCTION("""COMPUTED_VALUE"""),4.0)</f>
        <v>4</v>
      </c>
      <c r="I7" s="5" t="str">
        <f>IFERROR(__xludf.DUMMYFUNCTION("""COMPUTED_VALUE"""),"Especifica")</f>
        <v>Especifica</v>
      </c>
      <c r="J7" s="5" t="str">
        <f>IFERROR(__xludf.DUMMYFUNCTION("""COMPUTED_VALUE"""),"El estudiante aplica")</f>
        <v>El estudiante aplica</v>
      </c>
      <c r="K7" s="5" t="str">
        <f>IFERROR(__xludf.DUMMYFUNCTION("""COMPUTED_VALUE"""),"técnicas de optimización de código")</f>
        <v>técnicas de optimización de código</v>
      </c>
      <c r="L7" s="5"/>
      <c r="M7" s="5" t="str">
        <f>IFERROR(__xludf.DUMMYFUNCTION("""COMPUTED_VALUE"""),"como optimización local y global")</f>
        <v>como optimización local y global</v>
      </c>
      <c r="N7" s="5" t="str">
        <f>IFERROR(__xludf.DUMMYFUNCTION("""COMPUTED_VALUE"""),"para reducir tamaño de código y mejorar rendimiento")</f>
        <v>para reducir tamaño de código y mejorar rendimiento</v>
      </c>
      <c r="O7" s="5"/>
      <c r="P7" s="5" t="str">
        <f>IFERROR(__xludf.DUMMYFUNCTION("""COMPUTED_VALUE"""),"Aplicar")</f>
        <v>Aplicar</v>
      </c>
    </row>
    <row r="8" ht="15.75" customHeight="1">
      <c r="A8" s="5" t="str">
        <f>IFERROR(__xludf.DUMMYFUNCTION("""COMPUTED_VALUE"""),"103 - Área Matemática Básica 2")</f>
        <v>103 - Área Matemática Básica 2</v>
      </c>
      <c r="B8" s="5"/>
      <c r="C8" s="5"/>
      <c r="D8" s="5"/>
      <c r="E8" s="5"/>
      <c r="H8" s="5"/>
      <c r="I8" s="5" t="str">
        <f>IFERROR(__xludf.DUMMYFUNCTION("""COMPUTED_VALUE"""),"El estudiante aplica técnicas de optimización de código como optimización local y global para reducir tamaño de código y mejorar rendimiento ")</f>
        <v>El estudiante aplica técnicas de optimización de código como optimización local y global para reducir tamaño de código y mejorar rendimiento </v>
      </c>
      <c r="J8" s="5"/>
      <c r="K8" s="5"/>
      <c r="L8" s="5"/>
      <c r="M8" s="5"/>
      <c r="N8" s="5"/>
      <c r="O8" s="5"/>
      <c r="P8" s="5"/>
    </row>
    <row r="9" ht="15.75" customHeight="1">
      <c r="A9" s="5" t="str">
        <f>IFERROR(__xludf.DUMMYFUNCTION("""COMPUTED_VALUE"""),"960 - Matemática Para Computación 1")</f>
        <v>960 - Matemática Para Computación 1</v>
      </c>
      <c r="B9" s="5"/>
      <c r="C9" s="5"/>
      <c r="D9" s="5"/>
      <c r="E9" s="5"/>
      <c r="H9" s="5">
        <f>IFERROR(__xludf.DUMMYFUNCTION("""COMPUTED_VALUE"""),5.0)</f>
        <v>5</v>
      </c>
      <c r="I9" s="5" t="str">
        <f>IFERROR(__xludf.DUMMYFUNCTION("""COMPUTED_VALUE"""),"Especifica")</f>
        <v>Especifica</v>
      </c>
      <c r="J9" s="5" t="str">
        <f>IFERROR(__xludf.DUMMYFUNCTION("""COMPUTED_VALUE"""),"El estudiante genera")</f>
        <v>El estudiante genera</v>
      </c>
      <c r="K9" s="5" t="str">
        <f>IFERROR(__xludf.DUMMYFUNCTION("""COMPUTED_VALUE"""),"código de bajo nivel y ensamblador")</f>
        <v>código de bajo nivel y ensamblador</v>
      </c>
      <c r="L9" s="5"/>
      <c r="M9" s="5" t="str">
        <f>IFERROR(__xludf.DUMMYFUNCTION("""COMPUTED_VALUE"""),"a partir de plantillas de generación y asignación de registros considerando")</f>
        <v>a partir de plantillas de generación y asignación de registros considerando</v>
      </c>
      <c r="N9" s="5" t="str">
        <f>IFERROR(__xludf.DUMMYFUNCTION("""COMPUTED_VALUE"""),"convenciones de llamada y optimización de registros")</f>
        <v>convenciones de llamada y optimización de registros</v>
      </c>
      <c r="O9" s="5"/>
      <c r="P9" s="5" t="str">
        <f>IFERROR(__xludf.DUMMYFUNCTION("""COMPUTED_VALUE"""),"Crear")</f>
        <v>Crear</v>
      </c>
    </row>
    <row r="10" ht="15.75" customHeight="1">
      <c r="A10" s="5" t="str">
        <f>IFERROR(__xludf.DUMMYFUNCTION("""COMPUTED_VALUE"""),"147 - Física Básica")</f>
        <v>147 - Física Básica</v>
      </c>
      <c r="B10" s="5"/>
      <c r="C10" s="5"/>
      <c r="D10" s="5"/>
      <c r="E10" s="5"/>
      <c r="H10" s="5"/>
      <c r="I10" s="5" t="str">
        <f>IFERROR(__xludf.DUMMYFUNCTION("""COMPUTED_VALUE"""),"El estudiante genera código de bajo nivel y ensamblador a partir de plantillas de generación y asignación de registros considerando convenciones de llamada y optimización de registros ")</f>
        <v>El estudiante genera código de bajo nivel y ensamblador a partir de plantillas de generación y asignación de registros considerando convenciones de llamada y optimización de registros </v>
      </c>
      <c r="J10" s="5"/>
      <c r="K10" s="5"/>
      <c r="L10" s="5"/>
      <c r="M10" s="5"/>
      <c r="N10" s="5"/>
      <c r="O10" s="5"/>
      <c r="P10" s="5"/>
    </row>
    <row r="11" ht="15.75" customHeight="1">
      <c r="A11" s="5" t="str">
        <f>IFERROR(__xludf.DUMMYFUNCTION("""COMPUTED_VALUE"""),"40 - Deportes 2")</f>
        <v>40 - Deportes 2</v>
      </c>
      <c r="B11" s="5"/>
      <c r="C11" s="5"/>
      <c r="D11" s="5"/>
      <c r="E11" s="5"/>
      <c r="H11" s="5">
        <f>IFERROR(__xludf.DUMMYFUNCTION("""COMPUTED_VALUE"""),6.0)</f>
        <v>6</v>
      </c>
      <c r="I11" s="5" t="str">
        <f>IFERROR(__xludf.DUMMYFUNCTION("""COMPUTED_VALUE"""),"Especifica")</f>
        <v>Especifica</v>
      </c>
      <c r="J11" s="5" t="str">
        <f>IFERROR(__xludf.DUMMYFUNCTION("""COMPUTED_VALUE"""),"El estudiante analiza")</f>
        <v>El estudiante analiza</v>
      </c>
      <c r="K11" s="5" t="str">
        <f>IFERROR(__xludf.DUMMYFUNCTION("""COMPUTED_VALUE"""),"representaciones intermedias de código")</f>
        <v>representaciones intermedias de código</v>
      </c>
      <c r="L11" s="5"/>
      <c r="M11" s="5" t="str">
        <f>IFERROR(__xludf.DUMMYFUNCTION("""COMPUTED_VALUE"""),"mediante código de tres direcciones")</f>
        <v>mediante código de tres direcciones</v>
      </c>
      <c r="N11" s="5" t="str">
        <f>IFERROR(__xludf.DUMMYFUNCTION("""COMPUTED_VALUE"""),"para identificar oportunidades de optimización")</f>
        <v>para identificar oportunidades de optimización</v>
      </c>
      <c r="O11" s="5"/>
      <c r="P11" s="5" t="str">
        <f>IFERROR(__xludf.DUMMYFUNCTION("""COMPUTED_VALUE"""),"Analizar")</f>
        <v>Analizar</v>
      </c>
    </row>
    <row r="12" ht="15.75" customHeight="1">
      <c r="A12" s="5" t="str">
        <f>IFERROR(__xludf.DUMMYFUNCTION("""COMPUTED_VALUE"""),"8 - Idioma Técnico 2")</f>
        <v>8 - Idioma Técnico 2</v>
      </c>
      <c r="B12" s="5"/>
      <c r="C12" s="5"/>
      <c r="D12" s="5"/>
      <c r="E12" s="5"/>
      <c r="H12" s="5"/>
      <c r="I12" s="5" t="str">
        <f>IFERROR(__xludf.DUMMYFUNCTION("""COMPUTED_VALUE"""),"El estudiante analiza representaciones intermedias de código mediante código de tres direcciones para identificar oportunidades de optimización ")</f>
        <v>El estudiante analiza representaciones intermedias de código mediante código de tres direcciones para identificar oportunidades de optimización </v>
      </c>
      <c r="J12" s="5"/>
      <c r="K12" s="5"/>
      <c r="L12" s="5"/>
      <c r="M12" s="5"/>
      <c r="N12" s="5"/>
      <c r="O12" s="5"/>
      <c r="P12" s="5"/>
    </row>
    <row r="13" ht="15.75" customHeight="1">
      <c r="A13" s="5" t="str">
        <f>IFERROR(__xludf.DUMMYFUNCTION("""COMPUTED_VALUE"""),"795 - Logica de Sitemas")</f>
        <v>795 - Logica de Sitemas</v>
      </c>
      <c r="B13" s="5" t="str">
        <f>IFERROR(__xludf.DUMMYFUNCTION("""COMPUTED_VALUE"""),"1tGblVNcAY7QU_u00ZUgf5GJjDZOK39vXt9FvZeMfPKg")</f>
        <v>1tGblVNcAY7QU_u00ZUgf5GJjDZOK39vXt9FvZeMfPKg</v>
      </c>
      <c r="C13" s="5" t="str">
        <f>IFERROR(__xludf.DUMMYFUNCTION("""COMPUTED_VALUE"""),"1olpUmnSmvTLYIIWFmjmPX_CYPTPOprpPEwh7xMvm2WM")</f>
        <v>1olpUmnSmvTLYIIWFmjmPX_CYPTPOprpPEwh7xMvm2WM</v>
      </c>
      <c r="D13" s="5" t="str">
        <f>IFERROR(__xludf.DUMMYFUNCTION("""COMPUTED_VALUE"""),"17agcDtIQgmVILM9RXVaUBYkv_J7pJleLEkxEkIyMJJM")</f>
        <v>17agcDtIQgmVILM9RXVaUBYkv_J7pJleLEkxEkIyMJJM</v>
      </c>
      <c r="E13" s="5" t="str">
        <f>IFERROR(__xludf.DUMMYFUNCTION("""COMPUTED_VALUE"""),"1w95w-5-FomsEx4h6E_6QIaFvwjWn3GpS")</f>
        <v>1w95w-5-FomsEx4h6E_6QIaFvwjWn3GpS</v>
      </c>
      <c r="H13" s="5">
        <f>IFERROR(__xludf.DUMMYFUNCTION("""COMPUTED_VALUE"""),7.0)</f>
        <v>7</v>
      </c>
      <c r="I13" s="5" t="str">
        <f>IFERROR(__xludf.DUMMYFUNCTION("""COMPUTED_VALUE"""),"Especifica")</f>
        <v>Especifica</v>
      </c>
      <c r="J13" s="5" t="str">
        <f>IFERROR(__xludf.DUMMYFUNCTION("""COMPUTED_VALUE"""),"El estudiante explica")</f>
        <v>El estudiante explica</v>
      </c>
      <c r="K13" s="5" t="str">
        <f>IFERROR(__xludf.DUMMYFUNCTION("""COMPUTED_VALUE"""),"la eliminación de recursión por la izquierda")</f>
        <v>la eliminación de recursión por la izquierda</v>
      </c>
      <c r="L13" s="5"/>
      <c r="M13" s="5" t="str">
        <f>IFERROR(__xludf.DUMMYFUNCTION("""COMPUTED_VALUE"""),"con ejemplos paso a paso para")</f>
        <v>con ejemplos paso a paso para</v>
      </c>
      <c r="N13" s="5" t="str">
        <f>IFERROR(__xludf.DUMMYFUNCTION("""COMPUTED_VALUE"""),"preparar gramáticas para análisis sintáctico")</f>
        <v>preparar gramáticas para análisis sintáctico</v>
      </c>
      <c r="O13" s="5"/>
      <c r="P13" s="5" t="str">
        <f>IFERROR(__xludf.DUMMYFUNCTION("""COMPUTED_VALUE"""),"Comprender")</f>
        <v>Comprender</v>
      </c>
    </row>
    <row r="14" ht="15.75" customHeight="1">
      <c r="A14" s="5" t="str">
        <f>IFERROR(__xludf.DUMMYFUNCTION("""COMPUTED_VALUE"""),"962 - Matemática Para Computación 2")</f>
        <v>962 - Matemática Para Computación 2</v>
      </c>
      <c r="B14" s="5"/>
      <c r="C14" s="5"/>
      <c r="D14" s="5"/>
      <c r="E14" s="5"/>
      <c r="H14" s="5"/>
      <c r="I14" s="5" t="str">
        <f>IFERROR(__xludf.DUMMYFUNCTION("""COMPUTED_VALUE"""),"El estudiante explica la eliminación de recursión por la izquierda con ejemplos paso a paso para preparar gramáticas para análisis sintáctico ")</f>
        <v>El estudiante explica la eliminación de recursión por la izquierda con ejemplos paso a paso para preparar gramáticas para análisis sintáctico </v>
      </c>
      <c r="J14" s="5"/>
      <c r="K14" s="5"/>
      <c r="L14" s="5"/>
      <c r="M14" s="5"/>
      <c r="N14" s="5"/>
      <c r="O14" s="5"/>
      <c r="P14" s="5"/>
    </row>
    <row r="15" ht="15.75" customHeight="1">
      <c r="A15" s="5" t="str">
        <f>IFERROR(__xludf.DUMMYFUNCTION("""COMPUTED_VALUE"""),"770 - Introducción a ala programación y computación 1")</f>
        <v>770 - Introducción a ala programación y computación 1</v>
      </c>
      <c r="B15" s="5" t="str">
        <f>IFERROR(__xludf.DUMMYFUNCTION("""COMPUTED_VALUE"""),"1hnCz3e7R539DMJA_6KBromYXyQWjR5cbX4eUFYyZB78")</f>
        <v>1hnCz3e7R539DMJA_6KBromYXyQWjR5cbX4eUFYyZB78</v>
      </c>
      <c r="C15" s="5" t="str">
        <f>IFERROR(__xludf.DUMMYFUNCTION("""COMPUTED_VALUE"""),"13K0AQ2QyRJmkDL_B9YKTYVy3OKQyLCIBTe0sAqstrFI")</f>
        <v>13K0AQ2QyRJmkDL_B9YKTYVy3OKQyLCIBTe0sAqstrFI</v>
      </c>
      <c r="D15" s="5" t="str">
        <f>IFERROR(__xludf.DUMMYFUNCTION("""COMPUTED_VALUE"""),"1kT0U-6N_PfLXHZnMI7r4DBtAi8DedDHU4nlc6LJYNo0")</f>
        <v>1kT0U-6N_PfLXHZnMI7r4DBtAi8DedDHU4nlc6LJYNo0</v>
      </c>
      <c r="E15" s="5" t="str">
        <f>IFERROR(__xludf.DUMMYFUNCTION("""COMPUTED_VALUE"""),"1ckY3kIc3clzV4xpXc56uv8KpfX4YxL-8")</f>
        <v>1ckY3kIc3clzV4xpXc56uv8KpfX4YxL-8</v>
      </c>
    </row>
    <row r="16" ht="15.75" customHeight="1">
      <c r="A16" s="5" t="str">
        <f>IFERROR(__xludf.DUMMYFUNCTION("""COMPUTED_VALUE"""),"107 - Área Matemática Intermedia 1")</f>
        <v>107 - Área Matemática Intermedia 1</v>
      </c>
      <c r="B16" s="5"/>
      <c r="C16" s="5"/>
      <c r="D16" s="5"/>
      <c r="E16" s="5"/>
    </row>
    <row r="17" ht="15.75" customHeight="1">
      <c r="A17" s="5" t="str">
        <f>IFERROR(__xludf.DUMMYFUNCTION("""COMPUTED_VALUE"""),"150 - Fisica 1")</f>
        <v>150 - Fisica 1</v>
      </c>
      <c r="B17" s="5"/>
      <c r="C17" s="5"/>
      <c r="D17" s="5"/>
      <c r="E17" s="5"/>
      <c r="I17" s="5" t="str">
        <f>I2</f>
        <v>El estudiante comprende las fases de un compilador a través de diagramas de flujo y modelos teóricos con ejemplos de compilación real en lenguajes como C, Go o Java. </v>
      </c>
    </row>
    <row r="18" ht="15.75" customHeight="1">
      <c r="A18" s="5" t="str">
        <f>IFERROR(__xludf.DUMMYFUNCTION("""COMPUTED_VALUE"""),"1 - Ética Profesional")</f>
        <v>1 - Ética Profesional</v>
      </c>
      <c r="B18" s="5"/>
      <c r="C18" s="5"/>
      <c r="D18" s="5"/>
      <c r="E18" s="5"/>
      <c r="I18" s="5" t="str">
        <f>I4</f>
        <v>El estudiante evalúa el desempeño de cada fase del compilador a través de métricas de tiempo y uso de memoria para comparar implementaciones como GCC vs. Clang </v>
      </c>
    </row>
    <row r="19" ht="15.75" customHeight="1">
      <c r="A19" s="5" t="str">
        <f>IFERROR(__xludf.DUMMYFUNCTION("""COMPUTED_VALUE"""),"9 - Idioma Técnico 3")</f>
        <v>9 - Idioma Técnico 3</v>
      </c>
      <c r="B19" s="5"/>
      <c r="C19" s="5"/>
      <c r="D19" s="5"/>
      <c r="E19" s="5"/>
      <c r="I19" s="5" t="str">
        <f>I6</f>
        <v>El estudiante utiliza herramientas generadoras de lexers y parsers tales como Flex, Bison y ANTLR en proyectos de análisis léxico y sintáctico </v>
      </c>
    </row>
    <row r="20" ht="15.75" customHeight="1">
      <c r="A20" s="5" t="str">
        <f>IFERROR(__xludf.DUMMYFUNCTION("""COMPUTED_VALUE"""),"796 - Lenguajes Formales y de Programación")</f>
        <v>796 - Lenguajes Formales y de Programación</v>
      </c>
      <c r="B20" s="5" t="str">
        <f>IFERROR(__xludf.DUMMYFUNCTION("""COMPUTED_VALUE"""),"1-dPQ2ZCWWgBi4gyaV8KmnDWxF063I-zfJutKPMwJjrw")</f>
        <v>1-dPQ2ZCWWgBi4gyaV8KmnDWxF063I-zfJutKPMwJjrw</v>
      </c>
      <c r="C20" s="5" t="str">
        <f>IFERROR(__xludf.DUMMYFUNCTION("""COMPUTED_VALUE"""),"14p5IrzE6q20i9mtWRrbgJgIQTyfVIS4RiO1JbrFY3Ng")</f>
        <v>14p5IrzE6q20i9mtWRrbgJgIQTyfVIS4RiO1JbrFY3Ng</v>
      </c>
      <c r="D20" s="5" t="str">
        <f>IFERROR(__xludf.DUMMYFUNCTION("""COMPUTED_VALUE"""),"1AGg7thSM78QT3j-XZKX-5O8_jS800m3f69bnsKDL7lw")</f>
        <v>1AGg7thSM78QT3j-XZKX-5O8_jS800m3f69bnsKDL7lw</v>
      </c>
      <c r="E20" s="5" t="str">
        <f>IFERROR(__xludf.DUMMYFUNCTION("""COMPUTED_VALUE"""),"1OmnbU2f0aXljqhgz4fTmiAjtEt-JJYai")</f>
        <v>1OmnbU2f0aXljqhgz4fTmiAjtEt-JJYai</v>
      </c>
      <c r="I20" s="5" t="str">
        <f>I8</f>
        <v>El estudiante aplica técnicas de optimización de código como optimización local y global para reducir tamaño de código y mejorar rendimiento </v>
      </c>
    </row>
    <row r="21" ht="15.75" customHeight="1">
      <c r="A21" s="5" t="str">
        <f>IFERROR(__xludf.DUMMYFUNCTION("""COMPUTED_VALUE"""),"771 - Introducción a la Programación y Computación 2")</f>
        <v>771 - Introducción a la Programación y Computación 2</v>
      </c>
      <c r="B21" s="5" t="str">
        <f>IFERROR(__xludf.DUMMYFUNCTION("""COMPUTED_VALUE"""),"1__RmanO4MiKBpppCFzGzdDC2fWb5cD2m02xjOur_6nk")</f>
        <v>1__RmanO4MiKBpppCFzGzdDC2fWb5cD2m02xjOur_6nk</v>
      </c>
      <c r="C21" s="5" t="str">
        <f>IFERROR(__xludf.DUMMYFUNCTION("""COMPUTED_VALUE"""),"1hwyEeHtTnYmAXwVixwCmwcQ_1S6x1ID8qghxNj_2les")</f>
        <v>1hwyEeHtTnYmAXwVixwCmwcQ_1S6x1ID8qghxNj_2les</v>
      </c>
      <c r="D21" s="5" t="str">
        <f>IFERROR(__xludf.DUMMYFUNCTION("""COMPUTED_VALUE"""),"1u-w0HNCWqujufP7pN3mFHcpWgitZrec1rkML6inpQK4")</f>
        <v>1u-w0HNCWqujufP7pN3mFHcpWgitZrec1rkML6inpQK4</v>
      </c>
      <c r="E21" s="5" t="str">
        <f>IFERROR(__xludf.DUMMYFUNCTION("""COMPUTED_VALUE"""),"1cHaBQxjzhcYUkXb4b-PtA5PT2axoYWIL")</f>
        <v>1cHaBQxjzhcYUkXb4b-PtA5PT2axoYWIL</v>
      </c>
      <c r="I21" s="5" t="str">
        <f>I10</f>
        <v>El estudiante genera código de bajo nivel y ensamblador a partir de plantillas de generación y asignación de registros considerando convenciones de llamada y optimización de registros </v>
      </c>
    </row>
    <row r="22" ht="15.75" customHeight="1">
      <c r="A22" s="5" t="str">
        <f>IFERROR(__xludf.DUMMYFUNCTION("""COMPUTED_VALUE"""),"112 - Área Matemática Intermedia 2")</f>
        <v>112 - Área Matemática Intermedia 2</v>
      </c>
      <c r="B22" s="5"/>
      <c r="C22" s="5"/>
      <c r="D22" s="5"/>
      <c r="E22" s="5"/>
      <c r="I22" s="5" t="str">
        <f>I12</f>
        <v>El estudiante analiza representaciones intermedias de código mediante código de tres direcciones para identificar oportunidades de optimización </v>
      </c>
    </row>
    <row r="23" ht="15.75" customHeight="1">
      <c r="A23" s="5" t="str">
        <f>IFERROR(__xludf.DUMMYFUNCTION("""COMPUTED_VALUE"""),"114 - Área Matemática Intermedia 3")</f>
        <v>114 - Área Matemática Intermedia 3</v>
      </c>
      <c r="B23" s="5"/>
      <c r="C23" s="5"/>
      <c r="D23" s="5"/>
      <c r="E23" s="5"/>
      <c r="I23" s="5" t="str">
        <f>I14</f>
        <v>El estudiante explica la eliminación de recursión por la izquierda con ejemplos paso a paso para preparar gramáticas para análisis sintáctico </v>
      </c>
    </row>
    <row r="24" ht="15.75" customHeight="1">
      <c r="A24" s="5" t="str">
        <f>IFERROR(__xludf.DUMMYFUNCTION("""COMPUTED_VALUE"""),"152 - Física 2")</f>
        <v>152 - Física 2</v>
      </c>
      <c r="B24" s="5"/>
      <c r="C24" s="5"/>
      <c r="D24" s="5"/>
      <c r="E24" s="5"/>
    </row>
    <row r="25" ht="15.75" customHeight="1">
      <c r="A25" s="5" t="str">
        <f>IFERROR(__xludf.DUMMYFUNCTION("""COMPUTED_VALUE"""),"10 - Lógica")</f>
        <v>10 - Lógica</v>
      </c>
      <c r="B25" s="5"/>
      <c r="C25" s="5"/>
      <c r="D25" s="5"/>
      <c r="E25" s="5"/>
    </row>
    <row r="26" ht="15.75" customHeight="1">
      <c r="A26" s="5" t="str">
        <f>IFERROR(__xludf.DUMMYFUNCTION("""COMPUTED_VALUE"""),"11 - Idioma Técnico 4")</f>
        <v>11 - Idioma Técnico 4</v>
      </c>
      <c r="B26" s="5"/>
      <c r="C26" s="5"/>
      <c r="D26" s="5"/>
      <c r="E26" s="5"/>
    </row>
    <row r="27" ht="15.75" customHeight="1">
      <c r="A27" s="5" t="str">
        <f>IFERROR(__xludf.DUMMYFUNCTION("""COMPUTED_VALUE"""),"2025 - Prácticas Iniciales")</f>
        <v>2025 - Prácticas Iniciales</v>
      </c>
      <c r="B27" s="5"/>
      <c r="C27" s="5"/>
      <c r="D27" s="5"/>
      <c r="E27" s="5"/>
    </row>
    <row r="28" ht="15.75" customHeight="1">
      <c r="A28" s="5" t="str">
        <f>IFERROR(__xludf.DUMMYFUNCTION("""COMPUTED_VALUE"""),"732 - Estadística 1")</f>
        <v>732 - Estadística 1</v>
      </c>
      <c r="B28" s="5"/>
      <c r="C28" s="5"/>
      <c r="D28" s="5"/>
      <c r="E28" s="5"/>
    </row>
    <row r="29" ht="15.75" customHeight="1">
      <c r="A29" s="5" t="str">
        <f>IFERROR(__xludf.DUMMYFUNCTION("""COMPUTED_VALUE"""),"777 - Organización de Lenguajes y Compiladores 1")</f>
        <v>777 - Organización de Lenguajes y Compiladores 1</v>
      </c>
      <c r="B29" s="5" t="str">
        <f>IFERROR(__xludf.DUMMYFUNCTION("""COMPUTED_VALUE"""),"1sMJr8kYIDF7fR6Jn6GMDZp8CdJCeGqxbVA5UTdBCrkM")</f>
        <v>1sMJr8kYIDF7fR6Jn6GMDZp8CdJCeGqxbVA5UTdBCrkM</v>
      </c>
      <c r="C29" s="5" t="str">
        <f>IFERROR(__xludf.DUMMYFUNCTION("""COMPUTED_VALUE"""),"1sznB5glJmAKD25Jh38PR_uvVmYLeupPdQfr5Z_cGdy0")</f>
        <v>1sznB5glJmAKD25Jh38PR_uvVmYLeupPdQfr5Z_cGdy0</v>
      </c>
      <c r="D29" s="5" t="str">
        <f>IFERROR(__xludf.DUMMYFUNCTION("""COMPUTED_VALUE"""),"1kBA4IGrUYJDRe0Y1euEq_2KSZ_6qIOJf4ChyOoB7-bw")</f>
        <v>1kBA4IGrUYJDRe0Y1euEq_2KSZ_6qIOJf4ChyOoB7-bw</v>
      </c>
      <c r="E29" s="5" t="str">
        <f>IFERROR(__xludf.DUMMYFUNCTION("""COMPUTED_VALUE"""),"14tEUE8qfBh4CI8Qotf2UbaoJFzpnWz0r")</f>
        <v>14tEUE8qfBh4CI8Qotf2UbaoJFzpnWz0r</v>
      </c>
    </row>
    <row r="30" ht="15.75" customHeight="1">
      <c r="A30" s="5" t="str">
        <f>IFERROR(__xludf.DUMMYFUNCTION("""COMPUTED_VALUE"""),"964 - Organización Computacional")</f>
        <v>964 - Organización Computacional</v>
      </c>
      <c r="B30" s="5" t="str">
        <f>IFERROR(__xludf.DUMMYFUNCTION("""COMPUTED_VALUE"""),"1daYmFoqU1khKZXb4p_ygv5jH4tkv8-tTjdTDSUh72F0")</f>
        <v>1daYmFoqU1khKZXb4p_ygv5jH4tkv8-tTjdTDSUh72F0</v>
      </c>
      <c r="C30" s="5" t="str">
        <f>IFERROR(__xludf.DUMMYFUNCTION("""COMPUTED_VALUE"""),"1Iu2w--EUMRmqIHGvbgJsupMFeebEMTKXZFzhrwGZtOs")</f>
        <v>1Iu2w--EUMRmqIHGvbgJsupMFeebEMTKXZFzhrwGZtOs</v>
      </c>
      <c r="D30" s="5" t="str">
        <f>IFERROR(__xludf.DUMMYFUNCTION("""COMPUTED_VALUE"""),"1gqR4HPKEldyIGuEb4K6wpzCwLjthMqCU81C5lPPJfYo")</f>
        <v>1gqR4HPKEldyIGuEb4K6wpzCwLjthMqCU81C5lPPJfYo</v>
      </c>
      <c r="E30" s="5" t="str">
        <f>IFERROR(__xludf.DUMMYFUNCTION("""COMPUTED_VALUE"""),"168JiBG-dVAZLw3Z00Wh0GzOSNJ7yxpVe")</f>
        <v>168JiBG-dVAZLw3Z00Wh0GzOSNJ7yxpVe</v>
      </c>
    </row>
    <row r="31" ht="15.75" customHeight="1">
      <c r="A31" s="5" t="str">
        <f>IFERROR(__xludf.DUMMYFUNCTION("""COMPUTED_VALUE"""),"772 - Estructuras de Datos")</f>
        <v>772 - Estructuras de Datos</v>
      </c>
      <c r="B31" s="5" t="str">
        <f>IFERROR(__xludf.DUMMYFUNCTION("""COMPUTED_VALUE"""),"1rTNY7hLmB5N26Z2z6EtF0axcaKKizdu0eLKqLiwUhto")</f>
        <v>1rTNY7hLmB5N26Z2z6EtF0axcaKKizdu0eLKqLiwUhto</v>
      </c>
      <c r="C31" s="5" t="str">
        <f>IFERROR(__xludf.DUMMYFUNCTION("""COMPUTED_VALUE"""),"1e8AAZ395NIODTRjmbwP3Bvdb1OJlsJawLywq7NixwcM")</f>
        <v>1e8AAZ395NIODTRjmbwP3Bvdb1OJlsJawLywq7NixwcM</v>
      </c>
      <c r="D31" s="5" t="str">
        <f>IFERROR(__xludf.DUMMYFUNCTION("""COMPUTED_VALUE"""),"1PVCPYoBYbA64z-ceE8HVIWfvtziNTX_CeNB1XrAFUmk")</f>
        <v>1PVCPYoBYbA64z-ceE8HVIWfvtziNTX_CeNB1XrAFUmk</v>
      </c>
      <c r="E31" s="5" t="str">
        <f>IFERROR(__xludf.DUMMYFUNCTION("""COMPUTED_VALUE"""),"1E0q2biUjzF_2MGRSFGlAtpUs_jiKeYCi")</f>
        <v>1E0q2biUjzF_2MGRSFGlAtpUs_jiKeYCi</v>
      </c>
    </row>
    <row r="32" ht="15.75" customHeight="1">
      <c r="A32" s="5" t="str">
        <f>IFERROR(__xludf.DUMMYFUNCTION("""COMPUTED_VALUE"""),"116 - Matemática Aplicada 3")</f>
        <v>116 - Matemática Aplicada 3</v>
      </c>
      <c r="B32" s="5"/>
      <c r="C32" s="5"/>
      <c r="D32" s="5"/>
      <c r="E32" s="5"/>
    </row>
    <row r="33" ht="15.75" customHeight="1">
      <c r="A33" s="5" t="str">
        <f>IFERROR(__xludf.DUMMYFUNCTION("""COMPUTED_VALUE"""),"118 - Matemática Aplicada 1")</f>
        <v>118 - Matemática Aplicada 1</v>
      </c>
      <c r="B33" s="5"/>
      <c r="C33" s="5"/>
      <c r="D33" s="5"/>
      <c r="E33" s="5"/>
    </row>
    <row r="34" ht="15.75" customHeight="1">
      <c r="A34" s="5" t="str">
        <f>IFERROR(__xludf.DUMMYFUNCTION("""COMPUTED_VALUE"""),"18 - Filosofía de la Ciencia")</f>
        <v>18 - Filosofía de la Ciencia</v>
      </c>
      <c r="B34" s="5"/>
      <c r="C34" s="5"/>
      <c r="D34" s="5"/>
      <c r="E34" s="5"/>
    </row>
    <row r="35" ht="15.75" customHeight="1">
      <c r="A35" s="5" t="str">
        <f>IFERROR(__xludf.DUMMYFUNCTION("""COMPUTED_VALUE"""),"722 - Teoría de Sistemas 1")</f>
        <v>722 - Teoría de Sistemas 1</v>
      </c>
      <c r="B35" s="5" t="str">
        <f>IFERROR(__xludf.DUMMYFUNCTION("""COMPUTED_VALUE"""),"1npGvBttUX2JHkjnmDRQmNhZacltUudlNKCQsLV09BaU")</f>
        <v>1npGvBttUX2JHkjnmDRQmNhZacltUudlNKCQsLV09BaU</v>
      </c>
      <c r="C35" s="5" t="str">
        <f>IFERROR(__xludf.DUMMYFUNCTION("""COMPUTED_VALUE"""),"1hMUPf0qs2ca-iLxfgxe8cYMynK4MJCa34p7GqRHJXbE")</f>
        <v>1hMUPf0qs2ca-iLxfgxe8cYMynK4MJCa34p7GqRHJXbE</v>
      </c>
      <c r="D35" s="5" t="str">
        <f>IFERROR(__xludf.DUMMYFUNCTION("""COMPUTED_VALUE"""),"1ATHMFdf0XbWCqh2hcVgPbB3YAnr637GqzneY0kwZPXs")</f>
        <v>1ATHMFdf0XbWCqh2hcVgPbB3YAnr637GqzneY0kwZPXs</v>
      </c>
      <c r="E35" s="5" t="str">
        <f>IFERROR(__xludf.DUMMYFUNCTION("""COMPUTED_VALUE"""),"1me1nH7wLH9V0Y0D1dBAqO-cxBMvcPd1a")</f>
        <v>1me1nH7wLH9V0Y0D1dBAqO-cxBMvcPd1a</v>
      </c>
    </row>
    <row r="36" ht="15.75" customHeight="1">
      <c r="A36" s="5" t="str">
        <f>IFERROR(__xludf.DUMMYFUNCTION("""COMPUTED_VALUE"""),"601 - Investigación de Operaciones 1")</f>
        <v>601 - Investigación de Operaciones 1</v>
      </c>
      <c r="B36" s="5"/>
      <c r="C36" s="5"/>
      <c r="D36" s="5"/>
      <c r="E36" s="5"/>
    </row>
    <row r="37" ht="15.75" customHeight="1">
      <c r="A37" s="5" t="str">
        <f>IFERROR(__xludf.DUMMYFUNCTION("""COMPUTED_VALUE"""),"14 - Economía")</f>
        <v>14 - Economía</v>
      </c>
      <c r="B37" s="5" t="str">
        <f>IFERROR(__xludf.DUMMYFUNCTION("""COMPUTED_VALUE"""),"169ieOogZaXHMs_PddYQfqqWTOgqfbgT1NUf8dchmb4U")</f>
        <v>169ieOogZaXHMs_PddYQfqqWTOgqfbgT1NUf8dchmb4U</v>
      </c>
      <c r="C37" s="5" t="str">
        <f>IFERROR(__xludf.DUMMYFUNCTION("""COMPUTED_VALUE"""),"1aRV1pjb7CPc1NcugRe2l92I-OqNZYb_4YmhuHZtvXzs")</f>
        <v>1aRV1pjb7CPc1NcugRe2l92I-OqNZYb_4YmhuHZtvXzs</v>
      </c>
      <c r="D37" s="5" t="str">
        <f>IFERROR(__xludf.DUMMYFUNCTION("""COMPUTED_VALUE"""),"1pajOO3AWmOi1jPG43utDMvSL31e0t1UDzgvEQYveS28")</f>
        <v>1pajOO3AWmOi1jPG43utDMvSL31e0t1UDzgvEQYveS28</v>
      </c>
      <c r="E37" s="5" t="str">
        <f>IFERROR(__xludf.DUMMYFUNCTION("""COMPUTED_VALUE"""),"1WqxKIBh1lpbr01vS0jn_ragnl3d_04zY")</f>
        <v>1WqxKIBh1lpbr01vS0jn_ragnl3d_04zY</v>
      </c>
    </row>
    <row r="38" ht="15.75" customHeight="1">
      <c r="A38" s="5" t="str">
        <f>IFERROR(__xludf.DUMMYFUNCTION("""COMPUTED_VALUE"""),"781 - Organización de Lenguajes y Compiladores 2")</f>
        <v>781 - Organización de Lenguajes y Compiladores 2</v>
      </c>
      <c r="B38" s="5" t="str">
        <f>IFERROR(__xludf.DUMMYFUNCTION("""COMPUTED_VALUE"""),"18dQYgiKWkpI2wogupgHf8u3PbCa0cKqMH6-ZsAIhLPw")</f>
        <v>18dQYgiKWkpI2wogupgHf8u3PbCa0cKqMH6-ZsAIhLPw</v>
      </c>
      <c r="C38" s="5" t="str">
        <f>IFERROR(__xludf.DUMMYFUNCTION("""COMPUTED_VALUE"""),"1FvDr2nu5sW0gxDkpPanB4sWbi78KZCAhc6wrywlrvlE")</f>
        <v>1FvDr2nu5sW0gxDkpPanB4sWbi78KZCAhc6wrywlrvlE</v>
      </c>
      <c r="D38" s="5" t="str">
        <f>IFERROR(__xludf.DUMMYFUNCTION("""COMPUTED_VALUE"""),"1vR-fd-_MbOLAfMSv4L0B7CMj6jdlTkOQCD95r1XcqZI")</f>
        <v>1vR-fd-_MbOLAfMSv4L0B7CMj6jdlTkOQCD95r1XcqZI</v>
      </c>
      <c r="E38" s="5" t="str">
        <f>IFERROR(__xludf.DUMMYFUNCTION("""COMPUTED_VALUE"""),"1OpTiDYbGu0wNKI3xw8Lxhx1c4euS0YR9")</f>
        <v>1OpTiDYbGu0wNKI3xw8Lxhx1c4euS0YR9</v>
      </c>
    </row>
    <row r="39" ht="15.75" customHeight="1">
      <c r="A39" s="5" t="str">
        <f>IFERROR(__xludf.DUMMYFUNCTION("""COMPUTED_VALUE"""),"778 - Arquitectura de Computadoras y Ensambladores 1")</f>
        <v>778 - Arquitectura de Computadoras y Ensambladores 1</v>
      </c>
      <c r="B39" s="5" t="str">
        <f>IFERROR(__xludf.DUMMYFUNCTION("""COMPUTED_VALUE"""),"13gNb-7XS_aMptaL1TLnLB5k06Y_okRzOgjzOxLHNuiI")</f>
        <v>13gNb-7XS_aMptaL1TLnLB5k06Y_okRzOgjzOxLHNuiI</v>
      </c>
      <c r="C39" s="5" t="str">
        <f>IFERROR(__xludf.DUMMYFUNCTION("""COMPUTED_VALUE"""),"1dlO25kugHQowRwF3LcOkrFuLGg-hP9mn9OW7x7GssMc")</f>
        <v>1dlO25kugHQowRwF3LcOkrFuLGg-hP9mn9OW7x7GssMc</v>
      </c>
      <c r="D39" s="5" t="str">
        <f>IFERROR(__xludf.DUMMYFUNCTION("""COMPUTED_VALUE"""),"1jMElka7Ve71KPvj9i1bHpM_BAVnEwEXLC-W_04LIFGg")</f>
        <v>1jMElka7Ve71KPvj9i1bHpM_BAVnEwEXLC-W_04LIFGg</v>
      </c>
      <c r="E39" s="5" t="str">
        <f>IFERROR(__xludf.DUMMYFUNCTION("""COMPUTED_VALUE"""),"1vPaqqtPi3QjCFIUp-K5im-qBz572iNPY")</f>
        <v>1vPaqqtPi3QjCFIUp-K5im-qBz572iNPY</v>
      </c>
    </row>
    <row r="40" ht="15.75" customHeight="1">
      <c r="A40" s="5" t="str">
        <f>IFERROR(__xludf.DUMMYFUNCTION("""COMPUTED_VALUE"""),"773 - Manejo e Implementación de Archivos")</f>
        <v>773 - Manejo e Implementación de Archivos</v>
      </c>
      <c r="B40" s="5" t="str">
        <f>IFERROR(__xludf.DUMMYFUNCTION("""COMPUTED_VALUE"""),"1VDaIod2C3XfezxQfz50xvWZ9yVVdVvNIqd-1xbJmaD8")</f>
        <v>1VDaIod2C3XfezxQfz50xvWZ9yVVdVvNIqd-1xbJmaD8</v>
      </c>
      <c r="C40" s="5" t="str">
        <f>IFERROR(__xludf.DUMMYFUNCTION("""COMPUTED_VALUE"""),"1MkqyTtzzzyQyC--twNt__AoC_Sd0UBC67j0f9nktivE")</f>
        <v>1MkqyTtzzzyQyC--twNt__AoC_Sd0UBC67j0f9nktivE</v>
      </c>
      <c r="D40" s="5" t="str">
        <f>IFERROR(__xludf.DUMMYFUNCTION("""COMPUTED_VALUE"""),"1TN3z_RT4NXTQfbj6qQEFc9gmXRHLB6-fy_oyWA0RHdU")</f>
        <v>1TN3z_RT4NXTQfbj6qQEFc9gmXRHLB6-fy_oyWA0RHdU</v>
      </c>
      <c r="E40" s="5" t="str">
        <f>IFERROR(__xludf.DUMMYFUNCTION("""COMPUTED_VALUE"""),"1Nn4F-GdSnEftvTXSfmVRSNkPuH0v1E3D")</f>
        <v>1Nn4F-GdSnEftvTXSfmVRSNkPuH0v1E3D</v>
      </c>
    </row>
    <row r="41" ht="15.75" customHeight="1">
      <c r="A41" s="5" t="str">
        <f>IFERROR(__xludf.DUMMYFUNCTION("""COMPUTED_VALUE"""),"122 - Matemática Aplicada 4")</f>
        <v>122 - Matemática Aplicada 4</v>
      </c>
      <c r="B41" s="5"/>
      <c r="C41" s="5"/>
      <c r="D41" s="5"/>
      <c r="E41" s="5"/>
    </row>
    <row r="42" ht="15.75" customHeight="1">
      <c r="A42" s="5" t="str">
        <f>IFERROR(__xludf.DUMMYFUNCTION("""COMPUTED_VALUE"""),"120 - Matemática Aplicada 2")</f>
        <v>120 - Matemática Aplicada 2</v>
      </c>
      <c r="B42" s="5"/>
      <c r="C42" s="5"/>
      <c r="D42" s="5"/>
      <c r="E42" s="5"/>
    </row>
    <row r="43" ht="15.75" customHeight="1">
      <c r="A43" s="5" t="str">
        <f>IFERROR(__xludf.DUMMYFUNCTION("""COMPUTED_VALUE"""),"200 - Ingeniería Eléctrica 1")</f>
        <v>200 - Ingeniería Eléctrica 1</v>
      </c>
      <c r="B43" s="5"/>
      <c r="C43" s="5"/>
      <c r="D43" s="5"/>
      <c r="E43" s="5"/>
    </row>
    <row r="44" ht="15.75" customHeight="1">
      <c r="A44" s="5" t="str">
        <f>IFERROR(__xludf.DUMMYFUNCTION("""COMPUTED_VALUE"""),"724 - Teoría de Sistemas 2")</f>
        <v>724 - Teoría de Sistemas 2</v>
      </c>
      <c r="B44" s="5" t="str">
        <f>IFERROR(__xludf.DUMMYFUNCTION("""COMPUTED_VALUE"""),"1Oh-yJJ9oc8SdDPJao-u31YXfwOPrsifu2o1a7Sf2-9k")</f>
        <v>1Oh-yJJ9oc8SdDPJao-u31YXfwOPrsifu2o1a7Sf2-9k</v>
      </c>
      <c r="C44" s="5" t="str">
        <f>IFERROR(__xludf.DUMMYFUNCTION("""COMPUTED_VALUE"""),"1O2rxycdV4XrytI_g4llqenReY8-rYp3frKI7rd6fNMI")</f>
        <v>1O2rxycdV4XrytI_g4llqenReY8-rYp3frKI7rd6fNMI</v>
      </c>
      <c r="D44" s="5" t="str">
        <f>IFERROR(__xludf.DUMMYFUNCTION("""COMPUTED_VALUE"""),"1uWuKRV1yUDuRgCMclGBs18DlrkJbY-3RrPrV1PnXLeM")</f>
        <v>1uWuKRV1yUDuRgCMclGBs18DlrkJbY-3RrPrV1PnXLeM</v>
      </c>
      <c r="E44" s="5" t="str">
        <f>IFERROR(__xludf.DUMMYFUNCTION("""COMPUTED_VALUE"""),"1EQVlwt_Q14_MHhr3GeYfJvtnySQAorrC")</f>
        <v>1EQVlwt_Q14_MHhr3GeYfJvtnySQAorrC</v>
      </c>
    </row>
    <row r="45" ht="15.75" customHeight="1">
      <c r="A45" s="5" t="str">
        <f>IFERROR(__xludf.DUMMYFUNCTION("""COMPUTED_VALUE"""),"603 - Investigación de Operaciones 2")</f>
        <v>603 - Investigación de Operaciones 2</v>
      </c>
      <c r="B45" s="5"/>
      <c r="C45" s="5"/>
      <c r="D45" s="5"/>
      <c r="E45" s="5"/>
    </row>
    <row r="46" ht="15.75" customHeight="1">
      <c r="A46" s="5" t="str">
        <f>IFERROR(__xludf.DUMMYFUNCTION("""COMPUTED_VALUE"""),"734 - Estadística 2")</f>
        <v>734 - Estadística 2</v>
      </c>
      <c r="B46" s="5"/>
      <c r="C46" s="5"/>
      <c r="D46" s="5"/>
      <c r="E46" s="5"/>
    </row>
    <row r="47" ht="15.75" customHeight="1">
      <c r="A47" s="5" t="str">
        <f>IFERROR(__xludf.DUMMYFUNCTION("""COMPUTED_VALUE"""),"281 - Sistemas Operativos 1")</f>
        <v>281 - Sistemas Operativos 1</v>
      </c>
      <c r="B47" s="5" t="str">
        <f>IFERROR(__xludf.DUMMYFUNCTION("""COMPUTED_VALUE"""),"1RAzDRLQZEv8Ck7PxnFQbrklrekiw5bDJFX0wgP7vFSQ")</f>
        <v>1RAzDRLQZEv8Ck7PxnFQbrklrekiw5bDJFX0wgP7vFSQ</v>
      </c>
      <c r="C47" s="5" t="str">
        <f>IFERROR(__xludf.DUMMYFUNCTION("""COMPUTED_VALUE"""),"145JPmfq4pDEEE_ipNtWzYQNDVrAg9WOQ9ocmZu_NegE")</f>
        <v>145JPmfq4pDEEE_ipNtWzYQNDVrAg9WOQ9ocmZu_NegE</v>
      </c>
      <c r="D47" s="5" t="str">
        <f>IFERROR(__xludf.DUMMYFUNCTION("""COMPUTED_VALUE"""),"1HE-c5k7b7a4sV8kZRb8whPINiB0Q_xMq-7-LwYVSiEA")</f>
        <v>1HE-c5k7b7a4sV8kZRb8whPINiB0Q_xMq-7-LwYVSiEA</v>
      </c>
      <c r="E47" s="5" t="str">
        <f>IFERROR(__xludf.DUMMYFUNCTION("""COMPUTED_VALUE"""),"1n0J1NqUgfuTdZBYJs6ClPsEPAT-BsF53")</f>
        <v>1n0J1NqUgfuTdZBYJs6ClPsEPAT-BsF53</v>
      </c>
    </row>
    <row r="48" ht="15.75" customHeight="1">
      <c r="A48" s="5" t="str">
        <f>IFERROR(__xludf.DUMMYFUNCTION("""COMPUTED_VALUE"""),"779 - Arquitectura de Computadoras y Ensambladores 2")</f>
        <v>779 - Arquitectura de Computadoras y Ensambladores 2</v>
      </c>
      <c r="B48" s="5" t="str">
        <f>IFERROR(__xludf.DUMMYFUNCTION("""COMPUTED_VALUE"""),"1_uxBhWcRvgBlCjf2s6O-Hvly7rBvJyZdswUKwm6KP5Y")</f>
        <v>1_uxBhWcRvgBlCjf2s6O-Hvly7rBvJyZdswUKwm6KP5Y</v>
      </c>
      <c r="C48" s="5" t="str">
        <f>IFERROR(__xludf.DUMMYFUNCTION("""COMPUTED_VALUE"""),"1dqk67SNWBGb15fqe17ZBfmxUg9pla5H7nqVOrGHYEJ4")</f>
        <v>1dqk67SNWBGb15fqe17ZBfmxUg9pla5H7nqVOrGHYEJ4</v>
      </c>
      <c r="D48" s="5" t="str">
        <f>IFERROR(__xludf.DUMMYFUNCTION("""COMPUTED_VALUE"""),"1I4Bx-1TpNE382Kclmp7qlhsORNllFJ6iza9or1MYlQM")</f>
        <v>1I4Bx-1TpNE382Kclmp7qlhsORNllFJ6iza9or1MYlQM</v>
      </c>
      <c r="E48" s="5" t="str">
        <f>IFERROR(__xludf.DUMMYFUNCTION("""COMPUTED_VALUE"""),"1fb6OBuOK__kn1iOUatpXGXqw-Xx2KUF3")</f>
        <v>1fb6OBuOK__kn1iOUatpXGXqw-Xx2KUF3</v>
      </c>
    </row>
    <row r="49" ht="15.75" customHeight="1">
      <c r="A49" s="5" t="str">
        <f>IFERROR(__xludf.DUMMYFUNCTION("""COMPUTED_VALUE"""),"970 - Redes de Computadoras 1")</f>
        <v>970 - Redes de Computadoras 1</v>
      </c>
      <c r="B49" s="5" t="str">
        <f>IFERROR(__xludf.DUMMYFUNCTION("""COMPUTED_VALUE"""),"1z_6lSkIcVZpEVQ4tR8c-eSvVvTxWsXwhmFojsLWeBGc")</f>
        <v>1z_6lSkIcVZpEVQ4tR8c-eSvVvTxWsXwhmFojsLWeBGc</v>
      </c>
      <c r="C49" s="5" t="str">
        <f>IFERROR(__xludf.DUMMYFUNCTION("""COMPUTED_VALUE"""),"18wRQLI8Pz51ZFEFWKE1SD6XVhlxOdJa1PpxDFo2dRT4")</f>
        <v>18wRQLI8Pz51ZFEFWKE1SD6XVhlxOdJa1PpxDFo2dRT4</v>
      </c>
      <c r="D49" s="5" t="str">
        <f>IFERROR(__xludf.DUMMYFUNCTION("""COMPUTED_VALUE"""),"1i-Uona9IG1TfHaWeowvwDDQBbBF5rm-kKLnZwWQbchA")</f>
        <v>1i-Uona9IG1TfHaWeowvwDDQBbBF5rm-kKLnZwWQbchA</v>
      </c>
      <c r="E49" s="5" t="str">
        <f>IFERROR(__xludf.DUMMYFUNCTION("""COMPUTED_VALUE"""),"1MyEh58_aw-4JAg_UmiHarHdZJMAoZYFg")</f>
        <v>1MyEh58_aw-4JAg_UmiHarHdZJMAoZYFg</v>
      </c>
    </row>
    <row r="50" ht="15.75" customHeight="1">
      <c r="A50" s="5" t="str">
        <f>IFERROR(__xludf.DUMMYFUNCTION("""COMPUTED_VALUE"""),"774 - Sistemas de Bases de Datos 1")</f>
        <v>774 - Sistemas de Bases de Datos 1</v>
      </c>
      <c r="B50" s="5" t="str">
        <f>IFERROR(__xludf.DUMMYFUNCTION("""COMPUTED_VALUE"""),"1h1zzA1-Xq9ihet57bP4f0PLQnKeojJUanhgpuP67hKs")</f>
        <v>1h1zzA1-Xq9ihet57bP4f0PLQnKeojJUanhgpuP67hKs</v>
      </c>
      <c r="C50" s="5" t="str">
        <f>IFERROR(__xludf.DUMMYFUNCTION("""COMPUTED_VALUE"""),"1xYInTWRmhz45q5vjazDVsb1EGOCbYqibWRBgZMK1g2I")</f>
        <v>1xYInTWRmhz45q5vjazDVsb1EGOCbYqibWRBgZMK1g2I</v>
      </c>
      <c r="D50" s="5" t="str">
        <f>IFERROR(__xludf.DUMMYFUNCTION("""COMPUTED_VALUE"""),"1ab_tQ3tdHfx3wTYZggg6topYWfMdNDjc_9Pl6gMgeY0")</f>
        <v>1ab_tQ3tdHfx3wTYZggg6topYWfMdNDjc_9Pl6gMgeY0</v>
      </c>
      <c r="E50" s="5" t="str">
        <f>IFERROR(__xludf.DUMMYFUNCTION("""COMPUTED_VALUE"""),"1a0bdit9CmOXEhJOXc35cohqfdNKmMAzD")</f>
        <v>1a0bdit9CmOXEhJOXc35cohqfdNKmMAzD</v>
      </c>
    </row>
    <row r="51" ht="15.75" customHeight="1">
      <c r="A51" s="5" t="str">
        <f>IFERROR(__xludf.DUMMYFUNCTION("""COMPUTED_VALUE"""),"2036 - Prácticas Intermedias")</f>
        <v>2036 - Prácticas Intermedias</v>
      </c>
      <c r="B51" s="5"/>
      <c r="C51" s="5"/>
      <c r="D51" s="5"/>
      <c r="E51" s="5"/>
    </row>
    <row r="52" ht="15.75" customHeight="1">
      <c r="A52" s="5" t="str">
        <f>IFERROR(__xludf.DUMMYFUNCTION("""COMPUTED_VALUE"""),"285 - Sistemas Operativos 2")</f>
        <v>285 - Sistemas Operativos 2</v>
      </c>
      <c r="B52" s="5" t="str">
        <f>IFERROR(__xludf.DUMMYFUNCTION("""COMPUTED_VALUE"""),"1VCx3jdfVNJvtMfY5j_W624CAT1QxC-9qVw_ts_erFM8")</f>
        <v>1VCx3jdfVNJvtMfY5j_W624CAT1QxC-9qVw_ts_erFM8</v>
      </c>
      <c r="C52" s="5" t="str">
        <f>IFERROR(__xludf.DUMMYFUNCTION("""COMPUTED_VALUE"""),"1ssmi68Gibgtkl07Zn0H_wQWjqhj_SfcpUhCdmyvVjb4")</f>
        <v>1ssmi68Gibgtkl07Zn0H_wQWjqhj_SfcpUhCdmyvVjb4</v>
      </c>
      <c r="D52" s="5" t="str">
        <f>IFERROR(__xludf.DUMMYFUNCTION("""COMPUTED_VALUE"""),"1bIFK2VHNoCYqh3rnNBIgLzQpv40VUWzyYaRVu-gQbTI")</f>
        <v>1bIFK2VHNoCYqh3rnNBIgLzQpv40VUWzyYaRVu-gQbTI</v>
      </c>
      <c r="E52" s="5" t="str">
        <f>IFERROR(__xludf.DUMMYFUNCTION("""COMPUTED_VALUE"""),"1q8mN6aa9bhjGWUIaszZNHjuEk-b6qckg")</f>
        <v>1q8mN6aa9bhjGWUIaszZNHjuEk-b6qckg</v>
      </c>
    </row>
    <row r="53" ht="15.75" customHeight="1">
      <c r="A53" s="5" t="str">
        <f>IFERROR(__xludf.DUMMYFUNCTION("""COMPUTED_VALUE"""),"975 - Redes de Computadoras 2")</f>
        <v>975 - Redes de Computadoras 2</v>
      </c>
      <c r="B53" s="5" t="str">
        <f>IFERROR(__xludf.DUMMYFUNCTION("""COMPUTED_VALUE"""),"1JcTacSIMIoXQmOixc1cssvrK_MVzZYH-Yo4FFSny6Nk")</f>
        <v>1JcTacSIMIoXQmOixc1cssvrK_MVzZYH-Yo4FFSny6Nk</v>
      </c>
      <c r="C53" s="5" t="str">
        <f>IFERROR(__xludf.DUMMYFUNCTION("""COMPUTED_VALUE"""),"1JLgRGqqoVVNY2eFrI2m3ylhPGOUPiyZN7_tK8VnOywQ")</f>
        <v>1JLgRGqqoVVNY2eFrI2m3ylhPGOUPiyZN7_tK8VnOywQ</v>
      </c>
      <c r="D53" s="5" t="str">
        <f>IFERROR(__xludf.DUMMYFUNCTION("""COMPUTED_VALUE"""),"1IL8QCca0XDIN9zPNoVS7hKBCHZQ9eh42iA_U0q-_ktQ")</f>
        <v>1IL8QCca0XDIN9zPNoVS7hKBCHZQ9eh42iA_U0q-_ktQ</v>
      </c>
      <c r="E53" s="5" t="str">
        <f>IFERROR(__xludf.DUMMYFUNCTION("""COMPUTED_VALUE"""),"1gu0dvm6zoJE2RmJVBG6ZIV_BFoLoxJfB")</f>
        <v>1gu0dvm6zoJE2RmJVBG6ZIV_BFoLoxJfB</v>
      </c>
    </row>
    <row r="54" ht="15.75" customHeight="1">
      <c r="A54" s="5" t="str">
        <f>IFERROR(__xludf.DUMMYFUNCTION("""COMPUTED_VALUE"""),"775 - Sistemas de Bases de Datos 2")</f>
        <v>775 - Sistemas de Bases de Datos 2</v>
      </c>
      <c r="B54" s="5" t="str">
        <f>IFERROR(__xludf.DUMMYFUNCTION("""COMPUTED_VALUE"""),"1TCVGX95CGGMGYvyB2K8cDve9RSMthqD6Tc1-CrmctiM")</f>
        <v>1TCVGX95CGGMGYvyB2K8cDve9RSMthqD6Tc1-CrmctiM</v>
      </c>
      <c r="C54" s="5" t="str">
        <f>IFERROR(__xludf.DUMMYFUNCTION("""COMPUTED_VALUE"""),"1c8vA2_5i-ARXIPU3ZxB3bwcKRbWh46erGG5KH3wrJyU")</f>
        <v>1c8vA2_5i-ARXIPU3ZxB3bwcKRbWh46erGG5KH3wrJyU</v>
      </c>
      <c r="D54" s="5" t="str">
        <f>IFERROR(__xludf.DUMMYFUNCTION("""COMPUTED_VALUE"""),"17_WFCeqzOngZrZqB-G0qa2RVksxKYCq8VrQTxvdfvyg")</f>
        <v>17_WFCeqzOngZrZqB-G0qa2RVksxKYCq8VrQTxvdfvyg</v>
      </c>
      <c r="E54" s="5" t="str">
        <f>IFERROR(__xludf.DUMMYFUNCTION("""COMPUTED_VALUE"""),"d/1-KBylfOI9IIiZlF-l2dlJlM6PNNdjzFl")</f>
        <v>d/1-KBylfOI9IIiZlF-l2dlJlM6PNNdjzFl</v>
      </c>
    </row>
    <row r="55" ht="15.75" customHeight="1">
      <c r="A55" s="5" t="str">
        <f>IFERROR(__xludf.DUMMYFUNCTION("""COMPUTED_VALUE"""),"283 - Análisis y Diseño de Sistemas 1")</f>
        <v>283 - Análisis y Diseño de Sistemas 1</v>
      </c>
      <c r="B55" s="5" t="str">
        <f>IFERROR(__xludf.DUMMYFUNCTION("""COMPUTED_VALUE"""),"1Y3HF-OxPbgEhNi6pNhbpImrQsH3btlYO6xtsnryrunY")</f>
        <v>1Y3HF-OxPbgEhNi6pNhbpImrQsH3btlYO6xtsnryrunY</v>
      </c>
      <c r="C55" s="5" t="str">
        <f>IFERROR(__xludf.DUMMYFUNCTION("""COMPUTED_VALUE"""),"12umvxFMZmSLGZenSQOXCnUePgu7-gug8FmFRz5MKlkE")</f>
        <v>12umvxFMZmSLGZenSQOXCnUePgu7-gug8FmFRz5MKlkE</v>
      </c>
      <c r="D55" s="5" t="str">
        <f>IFERROR(__xludf.DUMMYFUNCTION("""COMPUTED_VALUE"""),"1gwmb6_MjiG_JUXAI5JWT33vnYBsnPqtoeHWc1yoFWQQ")</f>
        <v>1gwmb6_MjiG_JUXAI5JWT33vnYBsnPqtoeHWc1yoFWQQ</v>
      </c>
      <c r="E55" s="5" t="str">
        <f>IFERROR(__xludf.DUMMYFUNCTION("""COMPUTED_VALUE"""),"1QXb23bY6W9aTRkpiCON7Q0ews5p7hatK")</f>
        <v>1QXb23bY6W9aTRkpiCON7Q0ews5p7hatK</v>
      </c>
    </row>
    <row r="56" ht="15.75" customHeight="1">
      <c r="A56" s="5" t="str">
        <f>IFERROR(__xludf.DUMMYFUNCTION("""COMPUTED_VALUE"""),"797 - Seminario de Sistemas 1")</f>
        <v>797 - Seminario de Sistemas 1</v>
      </c>
      <c r="B56" s="5" t="str">
        <f>IFERROR(__xludf.DUMMYFUNCTION("""COMPUTED_VALUE"""),"1VXfuZgL8iNYOe8XfW_5s4rVnIq-_Xurqk8xlOGGexqY")</f>
        <v>1VXfuZgL8iNYOe8XfW_5s4rVnIq-_Xurqk8xlOGGexqY</v>
      </c>
      <c r="C56" s="5" t="str">
        <f>IFERROR(__xludf.DUMMYFUNCTION("""COMPUTED_VALUE"""),"1eWOPuodcZlQ4YNCFI3CQ-Zpw7nxkVx7vi3XlMdj8he4")</f>
        <v>1eWOPuodcZlQ4YNCFI3CQ-Zpw7nxkVx7vi3XlMdj8he4</v>
      </c>
      <c r="D56" s="5" t="str">
        <f>IFERROR(__xludf.DUMMYFUNCTION("""COMPUTED_VALUE"""),"13DUp9JOUZdD2C1BdD-os-W-bLO-jSufbMHC7eJ5PBSo")</f>
        <v>13DUp9JOUZdD2C1BdD-os-W-bLO-jSufbMHC7eJ5PBSo</v>
      </c>
      <c r="E56" s="5" t="str">
        <f>IFERROR(__xludf.DUMMYFUNCTION("""COMPUTED_VALUE"""),"1EnANLnqSuVktTF4SdlpIOuHPbefsIOnc")</f>
        <v>1EnANLnqSuVktTF4SdlpIOuHPbefsIOnc</v>
      </c>
    </row>
    <row r="57" ht="15.75" customHeight="1">
      <c r="A57" s="5" t="str">
        <f>IFERROR(__xludf.DUMMYFUNCTION("""COMPUTED_VALUE"""),"700 - Ingeniería Económica 1")</f>
        <v>700 - Ingeniería Económica 1</v>
      </c>
      <c r="B57" s="5"/>
      <c r="C57" s="5"/>
      <c r="D57" s="5"/>
      <c r="E57" s="5"/>
    </row>
    <row r="58" ht="15.75" customHeight="1">
      <c r="A58" s="5" t="str">
        <f>IFERROR(__xludf.DUMMYFUNCTION("""COMPUTED_VALUE"""),"729 - Modelación y Simulación 1")</f>
        <v>729 - Modelación y Simulación 1</v>
      </c>
      <c r="B58" s="5" t="str">
        <f>IFERROR(__xludf.DUMMYFUNCTION("""COMPUTED_VALUE"""),"17u8GNz3HZ-i9KS-yxFiuJx9u7OawTwjyLcvLoG_x6W8")</f>
        <v>17u8GNz3HZ-i9KS-yxFiuJx9u7OawTwjyLcvLoG_x6W8</v>
      </c>
      <c r="C58" s="5" t="str">
        <f>IFERROR(__xludf.DUMMYFUNCTION("""COMPUTED_VALUE"""),"1NFJSyWLsOrGAG7qFKpXyw79GRTTb4abmj-M6aBddS5U")</f>
        <v>1NFJSyWLsOrGAG7qFKpXyw79GRTTb4abmj-M6aBddS5U</v>
      </c>
      <c r="D58" s="5" t="str">
        <f>IFERROR(__xludf.DUMMYFUNCTION("""COMPUTED_VALUE"""),"1toY-3JEeuVBJwRbyxsqyquwh-orXIfZE8KB3e43PXok")</f>
        <v>1toY-3JEeuVBJwRbyxsqyquwh-orXIfZE8KB3e43PXok</v>
      </c>
      <c r="E58" s="5" t="str">
        <f>IFERROR(__xludf.DUMMYFUNCTION("""COMPUTED_VALUE"""),"15sfPZmXt41hGkttgpVICPuKozdPNEJ6A")</f>
        <v>15sfPZmXt41hGkttgpVICPuKozdPNEJ6A</v>
      </c>
    </row>
    <row r="59" ht="15.75" customHeight="1">
      <c r="A59" s="5" t="str">
        <f>IFERROR(__xludf.DUMMYFUNCTION("""COMPUTED_VALUE"""),"786 - Sistemas Organizacionales y Gerenciales 1")</f>
        <v>786 - Sistemas Organizacionales y Gerenciales 1</v>
      </c>
      <c r="B59" s="5" t="str">
        <f>IFERROR(__xludf.DUMMYFUNCTION("""COMPUTED_VALUE"""),"1VTtCckO64u9REDx8UoxNJrYiavZGQU_hh4HvsOUiqlc")</f>
        <v>1VTtCckO64u9REDx8UoxNJrYiavZGQU_hh4HvsOUiqlc</v>
      </c>
      <c r="C59" s="5" t="str">
        <f>IFERROR(__xludf.DUMMYFUNCTION("""COMPUTED_VALUE"""),"1dMwVEKpg3j4uCN3CqoVXOWkBQbHNw7DIhtU8Bhc5Mqc")</f>
        <v>1dMwVEKpg3j4uCN3CqoVXOWkBQbHNw7DIhtU8Bhc5Mqc</v>
      </c>
      <c r="D59" s="5" t="str">
        <f>IFERROR(__xludf.DUMMYFUNCTION("""COMPUTED_VALUE"""),"1eh447vkO2YeAmVFqKtzinqlk4a4Y1JJKjOtv9eVOlY0")</f>
        <v>1eh447vkO2YeAmVFqKtzinqlk4a4Y1JJKjOtv9eVOlY0</v>
      </c>
      <c r="E59" s="5" t="str">
        <f>IFERROR(__xludf.DUMMYFUNCTION("""COMPUTED_VALUE"""),"1txIe6LugQ0CGgSIkqRY1UZvHL7CtMqgD")</f>
        <v>1txIe6LugQ0CGgSIkqRY1UZvHL7CtMqgD</v>
      </c>
    </row>
    <row r="60" ht="15.75" customHeight="1">
      <c r="A60" s="5" t="str">
        <f>IFERROR(__xludf.DUMMYFUNCTION("""COMPUTED_VALUE"""),"972 - Inteligencia Artificial 1")</f>
        <v>972 - Inteligencia Artificial 1</v>
      </c>
      <c r="B60" s="5" t="str">
        <f>IFERROR(__xludf.DUMMYFUNCTION("""COMPUTED_VALUE"""),"1C04a6qH3d2zJVb1hJwa6tsRQVM9LUb_nwyxMovG5tdI")</f>
        <v>1C04a6qH3d2zJVb1hJwa6tsRQVM9LUb_nwyxMovG5tdI</v>
      </c>
      <c r="C60" s="5" t="str">
        <f>IFERROR(__xludf.DUMMYFUNCTION("""COMPUTED_VALUE"""),"1CEh1GcUg3ntzgPT9yUocLDlrLJKmZCCl1MWUrEyfwzg")</f>
        <v>1CEh1GcUg3ntzgPT9yUocLDlrLJKmZCCl1MWUrEyfwzg</v>
      </c>
      <c r="D60" s="5" t="str">
        <f>IFERROR(__xludf.DUMMYFUNCTION("""COMPUTED_VALUE"""),"1oncZrzGawvfNWTdhWsLhXGKvrApliYXhCf81eUnkV20")</f>
        <v>1oncZrzGawvfNWTdhWsLhXGKvrApliYXhCf81eUnkV20</v>
      </c>
      <c r="E60" s="5" t="str">
        <f>IFERROR(__xludf.DUMMYFUNCTION("""COMPUTED_VALUE"""),"1eMKEvvWQ4yFq38z3ks0ZmIZ43xAVGgyM")</f>
        <v>1eMKEvvWQ4yFq38z3ks0ZmIZ43xAVGgyM</v>
      </c>
    </row>
    <row r="61" ht="15.75" customHeight="1">
      <c r="A61" s="5" t="str">
        <f>IFERROR(__xludf.DUMMYFUNCTION("""COMPUTED_VALUE"""),"966 - Seguridad y Auditoría de Redes de Computadoras")</f>
        <v>966 - Seguridad y Auditoría de Redes de Computadoras</v>
      </c>
      <c r="B61" s="5"/>
      <c r="C61" s="5"/>
      <c r="D61" s="5"/>
      <c r="E61" s="5"/>
    </row>
    <row r="62" ht="15.75" customHeight="1">
      <c r="A62" s="5" t="str">
        <f>IFERROR(__xludf.DUMMYFUNCTION("""COMPUTED_VALUE"""),"785 - Análisis y Diseño de Sistemas 2")</f>
        <v>785 - Análisis y Diseño de Sistemas 2</v>
      </c>
      <c r="B62" s="5" t="str">
        <f>IFERROR(__xludf.DUMMYFUNCTION("""COMPUTED_VALUE"""),"1_ufF1kvClwUUTsCz0V0fLuXjs_JRZWRSMCWkUEd8co4")</f>
        <v>1_ufF1kvClwUUTsCz0V0fLuXjs_JRZWRSMCWkUEd8co4</v>
      </c>
      <c r="C62" s="5" t="str">
        <f>IFERROR(__xludf.DUMMYFUNCTION("""COMPUTED_VALUE"""),"1HaBdPkxZx1GRiw5WlqxQhbxPWuW-mZVFEoUho7tsLDY")</f>
        <v>1HaBdPkxZx1GRiw5WlqxQhbxPWuW-mZVFEoUho7tsLDY</v>
      </c>
      <c r="D62" s="5"/>
      <c r="E62" s="5"/>
    </row>
    <row r="63" ht="15.75" customHeight="1">
      <c r="A63" s="5" t="str">
        <f>IFERROR(__xludf.DUMMYFUNCTION("""COMPUTED_VALUE"""),"798 - Seminario de Sistemas 2")</f>
        <v>798 - Seminario de Sistemas 2</v>
      </c>
      <c r="B63" s="5" t="str">
        <f>IFERROR(__xludf.DUMMYFUNCTION("""COMPUTED_VALUE"""),"1v6hbJdWzxkj7s5D7oM894pu3kMAvhEZGXUMfRFv7yKQ")</f>
        <v>1v6hbJdWzxkj7s5D7oM894pu3kMAvhEZGXUMfRFv7yKQ</v>
      </c>
      <c r="C63" s="5" t="str">
        <f>IFERROR(__xludf.DUMMYFUNCTION("""COMPUTED_VALUE"""),"1LxPO_wuZRiAXrS1EicVG-gQWzjILKll8Nqvs3MS7G_k")</f>
        <v>1LxPO_wuZRiAXrS1EicVG-gQWzjILKll8Nqvs3MS7G_k</v>
      </c>
      <c r="D63" s="5" t="str">
        <f>IFERROR(__xludf.DUMMYFUNCTION("""COMPUTED_VALUE"""),"1BWLmO3asfl7g244aKrskvOVVUItkuDglmE1c2bmkR30")</f>
        <v>1BWLmO3asfl7g244aKrskvOVVUItkuDglmE1c2bmkR30</v>
      </c>
      <c r="E63" s="5" t="str">
        <f>IFERROR(__xludf.DUMMYFUNCTION("""COMPUTED_VALUE"""),"1Aq8boJeyyodIKEdkrfe9fWB5RIGSLDb5")</f>
        <v>1Aq8boJeyyodIKEdkrfe9fWB5RIGSLDb5</v>
      </c>
    </row>
    <row r="64" ht="15.75" customHeight="1">
      <c r="A64" s="5" t="str">
        <f>IFERROR(__xludf.DUMMYFUNCTION("""COMPUTED_VALUE"""),"788 - Sistemas Aplicados 1")</f>
        <v>788 - Sistemas Aplicados 1</v>
      </c>
      <c r="B64" s="5"/>
      <c r="C64" s="5"/>
      <c r="D64" s="5"/>
      <c r="E64" s="5"/>
    </row>
    <row r="65" ht="15.75" customHeight="1">
      <c r="A65" s="5" t="str">
        <f>IFERROR(__xludf.DUMMYFUNCTION("""COMPUTED_VALUE"""),"776 - Bases de Datos Avanzadas")</f>
        <v>776 - Bases de Datos Avanzadas</v>
      </c>
      <c r="B65" s="5" t="str">
        <f>IFERROR(__xludf.DUMMYFUNCTION("""COMPUTED_VALUE"""),"1SZ2dJz29IsruB5vMYQ514xwGe6wyVx6cjMu_iwnHpFo")</f>
        <v>1SZ2dJz29IsruB5vMYQ514xwGe6wyVx6cjMu_iwnHpFo</v>
      </c>
      <c r="C65" s="5"/>
      <c r="D65" s="5"/>
      <c r="E65" s="5"/>
    </row>
    <row r="66" ht="15.75" customHeight="1">
      <c r="A66" s="5" t="str">
        <f>IFERROR(__xludf.DUMMYFUNCTION("""COMPUTED_VALUE"""),"2009 - Prácticas Finales Ingeniería Ciencias y Sistemas")</f>
        <v>2009 - Prácticas Finales Ingeniería Ciencias y Sistemas</v>
      </c>
      <c r="B66" s="5"/>
      <c r="C66" s="5"/>
      <c r="D66" s="5"/>
      <c r="E66" s="5"/>
    </row>
    <row r="67" ht="15.75" customHeight="1">
      <c r="A67" s="5" t="str">
        <f>IFERROR(__xludf.DUMMYFUNCTION("""COMPUTED_VALUE"""),"720 - Modelación y Simulación 2")</f>
        <v>720 - Modelación y Simulación 2</v>
      </c>
      <c r="B67" s="5" t="str">
        <f>IFERROR(__xludf.DUMMYFUNCTION("""COMPUTED_VALUE"""),"1ebc3-I4AbsLDHtzhtolQz7pqZDPvmSE0yZJu1xY6lLY")</f>
        <v>1ebc3-I4AbsLDHtzhtolQz7pqZDPvmSE0yZJu1xY6lLY</v>
      </c>
      <c r="C67" s="5" t="str">
        <f>IFERROR(__xludf.DUMMYFUNCTION("""COMPUTED_VALUE"""),"1VnSdYE6hCH1oAG4XdaAltDp-IuIjLZzv9KdrOGh2-0Y")</f>
        <v>1VnSdYE6hCH1oAG4XdaAltDp-IuIjLZzv9KdrOGh2-0Y</v>
      </c>
      <c r="D67" s="5" t="str">
        <f>IFERROR(__xludf.DUMMYFUNCTION("""COMPUTED_VALUE"""),"1LLT4wjh6eEkdi7y6_yd99pbR2Q8NPBHYmsciMZpRqUE")</f>
        <v>1LLT4wjh6eEkdi7y6_yd99pbR2Q8NPBHYmsciMZpRqUE</v>
      </c>
      <c r="E67" s="5" t="str">
        <f>IFERROR(__xludf.DUMMYFUNCTION("""COMPUTED_VALUE"""),"11D7BpB1NYAQLsl-xomWKo7ibetJ_b2JE")</f>
        <v>11D7BpB1NYAQLsl-xomWKo7ibetJ_b2JE</v>
      </c>
    </row>
    <row r="68" ht="15.75" customHeight="1">
      <c r="A68" s="5" t="str">
        <f>IFERROR(__xludf.DUMMYFUNCTION("""COMPUTED_VALUE"""),"787 - Sistemas Organizacionales y Gerenciales 2")</f>
        <v>787 - Sistemas Organizacionales y Gerenciales 2</v>
      </c>
      <c r="B68" s="5" t="str">
        <f>IFERROR(__xludf.DUMMYFUNCTION("""COMPUTED_VALUE"""),"1KpYHYX_EAJ-h4GLtSoCT8Rqz-xU4Qh5pUnEiPyxmEZA")</f>
        <v>1KpYHYX_EAJ-h4GLtSoCT8Rqz-xU4Qh5pUnEiPyxmEZA</v>
      </c>
      <c r="C68" s="5" t="str">
        <f>IFERROR(__xludf.DUMMYFUNCTION("""COMPUTED_VALUE"""),"106SYnPHxQ47_qT62NOXndjd6mPwE7LV7AXR9D4-euB8")</f>
        <v>106SYnPHxQ47_qT62NOXndjd6mPwE7LV7AXR9D4-euB8</v>
      </c>
      <c r="D68" s="5" t="str">
        <f>IFERROR(__xludf.DUMMYFUNCTION("""COMPUTED_VALUE"""),"1uo3-u0rbLWUGIyMydUz-lOWpj7xdx2oKwNH9T1cU12A")</f>
        <v>1uo3-u0rbLWUGIyMydUz-lOWpj7xdx2oKwNH9T1cU12A</v>
      </c>
      <c r="E68" s="5" t="str">
        <f>IFERROR(__xludf.DUMMYFUNCTION("""COMPUTED_VALUE"""),"1wmyYrKnHpQJd0Iebc9cCHZwq93Te5Iq8")</f>
        <v>1wmyYrKnHpQJd0Iebc9cCHZwq93Te5Iq8</v>
      </c>
    </row>
    <row r="69" ht="15.75" customHeight="1">
      <c r="A69" s="5" t="str">
        <f>IFERROR(__xludf.DUMMYFUNCTION("""COMPUTED_VALUE"""),"790 - Emprendedores de Negocios Informáticos")</f>
        <v>790 - Emprendedores de Negocios Informáticos</v>
      </c>
      <c r="B69" s="5"/>
      <c r="C69" s="5"/>
      <c r="D69" s="5"/>
      <c r="E69" s="5"/>
    </row>
    <row r="70" ht="15.75" customHeight="1">
      <c r="A70" s="5" t="str">
        <f>IFERROR(__xludf.DUMMYFUNCTION("""COMPUTED_VALUE"""),"968 - Inteligencia Artificial 2")</f>
        <v>968 - Inteligencia Artificial 2</v>
      </c>
      <c r="B70" s="5"/>
      <c r="C70" s="5"/>
      <c r="D70" s="5"/>
      <c r="E70" s="5"/>
    </row>
    <row r="71" ht="15.75" customHeight="1">
      <c r="A71" s="5" t="str">
        <f>IFERROR(__xludf.DUMMYFUNCTION("""COMPUTED_VALUE"""),"974 - Redes de Nueva Generación")</f>
        <v>974 - Redes de Nueva Generación</v>
      </c>
      <c r="B71" s="5"/>
      <c r="C71" s="5"/>
      <c r="D71" s="5"/>
      <c r="E71" s="5"/>
    </row>
    <row r="72" ht="15.75" customHeight="1">
      <c r="A72" s="5" t="str">
        <f>IFERROR(__xludf.DUMMYFUNCTION("""COMPUTED_VALUE"""),"780 - Software Avanzado")</f>
        <v>780 - Software Avanzado</v>
      </c>
      <c r="B72" s="5" t="str">
        <f>IFERROR(__xludf.DUMMYFUNCTION("""COMPUTED_VALUE"""),"1SZ2dJz29IsruB5vMYQ514xwGe6wyVx6cjMu_iwnHpFo")</f>
        <v>1SZ2dJz29IsruB5vMYQ514xwGe6wyVx6cjMu_iwnHpFo</v>
      </c>
      <c r="C72" s="5" t="str">
        <f>IFERROR(__xludf.DUMMYFUNCTION("""COMPUTED_VALUE"""),"13JrqVT0c3I6SzCOF1sKpi1qJKOryNTT4TsCaNwuV-24")</f>
        <v>13JrqVT0c3I6SzCOF1sKpi1qJKOryNTT4TsCaNwuV-24</v>
      </c>
      <c r="D72" s="5" t="str">
        <f>IFERROR(__xludf.DUMMYFUNCTION("""COMPUTED_VALUE"""),"1QVpX8zi83Rr6KfcUvSEKp9NqRCfEFmL1eZ88Oeeolto")</f>
        <v>1QVpX8zi83Rr6KfcUvSEKp9NqRCfEFmL1eZ88Oeeolto</v>
      </c>
      <c r="E72" s="5" t="str">
        <f>IFERROR(__xludf.DUMMYFUNCTION("""COMPUTED_VALUE"""),"1j6tUIPNPfK0lVrpQxNZKyB23LcXzn5Ge")</f>
        <v>1j6tUIPNPfK0lVrpQxNZKyB23LcXzn5Ge</v>
      </c>
    </row>
    <row r="73" ht="15.75" customHeight="1">
      <c r="A73" s="5" t="str">
        <f>IFERROR(__xludf.DUMMYFUNCTION("""COMPUTED_VALUE"""),"789 - Sistemas Aplicados 2")</f>
        <v>789 - Sistemas Aplicados 2</v>
      </c>
      <c r="B73" s="5"/>
      <c r="C73" s="5"/>
      <c r="D73" s="5"/>
      <c r="E73" s="5"/>
    </row>
    <row r="74" ht="15.75" customHeight="1">
      <c r="A74" s="5" t="str">
        <f>IFERROR(__xludf.DUMMYFUNCTION("""COMPUTED_VALUE"""),"735 - Auditoría de Proyectos de Software")</f>
        <v>735 - Auditoría de Proyectos de Software</v>
      </c>
      <c r="B74" s="5"/>
      <c r="C74" s="5"/>
      <c r="D74" s="5"/>
      <c r="E74" s="5"/>
    </row>
    <row r="75" ht="15.75" customHeight="1">
      <c r="A75" s="5" t="str">
        <f>IFERROR(__xludf.DUMMYFUNCTION("""COMPUTED_VALUE"""),"7999 - Seminario de Investigación EPS Sistemas")</f>
        <v>7999 - Seminario de Investigación EPS Sistemas</v>
      </c>
      <c r="B75" s="5"/>
      <c r="C75" s="5"/>
      <c r="D75" s="5"/>
      <c r="E75" s="5"/>
    </row>
    <row r="76" ht="15.75" customHeight="1">
      <c r="A76" s="5" t="str">
        <f>IFERROR(__xludf.DUMMYFUNCTION("""COMPUTED_VALUE"""),"799 - Seminario de Investigación")</f>
        <v>799 - Seminario de Investigación</v>
      </c>
      <c r="B76" s="5"/>
      <c r="C76" s="5"/>
      <c r="D76" s="5"/>
      <c r="E76" s="5"/>
    </row>
    <row r="77" ht="15.75" customHeight="1">
      <c r="A77" s="5" t="str">
        <f>IFERROR(__xludf.DUMMYFUNCTION("""COMPUTED_VALUE"""),"90 - Programacion de Computadoras 1")</f>
        <v>90 - Programacion de Computadoras 1</v>
      </c>
      <c r="B77" s="5" t="str">
        <f>IFERROR(__xludf.DUMMYFUNCTION("""COMPUTED_VALUE"""),"1qvDDGj5yCc7f5CzNszeAsW2HPXfptQjvWIcbjskCMYM")</f>
        <v>1qvDDGj5yCc7f5CzNszeAsW2HPXfptQjvWIcbjskCMYM</v>
      </c>
      <c r="C77" s="5" t="str">
        <f>IFERROR(__xludf.DUMMYFUNCTION("""COMPUTED_VALUE"""),"1YPGQg3r0TE0ZsibgKarHMDVR2FLaHLC0G5O84_GpNhw")</f>
        <v>1YPGQg3r0TE0ZsibgKarHMDVR2FLaHLC0G5O84_GpNhw</v>
      </c>
      <c r="D77" s="5" t="str">
        <f>IFERROR(__xludf.DUMMYFUNCTION("""COMPUTED_VALUE"""),"1A_jprbCHQlF7SUg-tly0Ak7hJtMh8U9qL3lUg0S2T4U")</f>
        <v>1A_jprbCHQlF7SUg-tly0Ak7hJtMh8U9qL3lUg0S2T4U</v>
      </c>
      <c r="E77" s="5" t="str">
        <f>IFERROR(__xludf.DUMMYFUNCTION("""COMPUTED_VALUE"""),"1QT0XgtJhS0WdXvrmJ9l5fhkQxyPS7eMI")</f>
        <v>1QT0XgtJhS0WdXvrmJ9l5fhkQxyPS7eMI</v>
      </c>
    </row>
    <row r="78" ht="15.75" customHeight="1">
      <c r="A78" s="5" t="str">
        <f>IFERROR(__xludf.DUMMYFUNCTION("""COMPUTED_VALUE"""),"92 - Programacion de Computadoras 2")</f>
        <v>92 - Programacion de Computadoras 2</v>
      </c>
      <c r="B78" s="5" t="str">
        <f>IFERROR(__xludf.DUMMYFUNCTION("""COMPUTED_VALUE"""),"1SCiXODhHsEGBVGnnYk9ZrO_gSOSvcGwu7lDEJBfLaEw")</f>
        <v>1SCiXODhHsEGBVGnnYk9ZrO_gSOSvcGwu7lDEJBfLaEw</v>
      </c>
      <c r="C78" s="5" t="str">
        <f>IFERROR(__xludf.DUMMYFUNCTION("""COMPUTED_VALUE"""),"1Bf3nWt47xcnM3VU3BvJaD4AcWQd-1GK4pJm4b69PzDk")</f>
        <v>1Bf3nWt47xcnM3VU3BvJaD4AcWQd-1GK4pJm4b69PzDk</v>
      </c>
      <c r="D78" s="5" t="str">
        <f>IFERROR(__xludf.DUMMYFUNCTION("""COMPUTED_VALUE"""),"1DHgSe2VDZ9KBUhl4_7NdyzagI7iar5NJSgD9rUtytdY")</f>
        <v>1DHgSe2VDZ9KBUhl4_7NdyzagI7iar5NJSgD9rUtytdY</v>
      </c>
      <c r="E78" s="5" t="str">
        <f>IFERROR(__xludf.DUMMYFUNCTION("""COMPUTED_VALUE"""),"1FHqe10A7z4kQFMWfvfI8tkxBkAgiF7u2e1XlqT1-63E")</f>
        <v>1FHqe10A7z4kQFMWfvfI8tkxBkAgiF7u2e1XlqT1-63E</v>
      </c>
    </row>
    <row r="79" ht="15.75" customHeight="1">
      <c r="A79" s="5" t="str">
        <f>IFERROR(__xludf.DUMMYFUNCTION("""COMPUTED_VALUE"""),"667 - Programacion Comercial 1")</f>
        <v>667 - Programacion Comercial 1</v>
      </c>
      <c r="B79" s="5" t="str">
        <f>IFERROR(__xludf.DUMMYFUNCTION("""COMPUTED_VALUE"""),"1q-0CM7N_hXOxknvTAL7P8U9-t9hqpm1-3l5E6r3G-qg")</f>
        <v>1q-0CM7N_hXOxknvTAL7P8U9-t9hqpm1-3l5E6r3G-qg</v>
      </c>
      <c r="C79" s="5" t="str">
        <f>IFERROR(__xludf.DUMMYFUNCTION("""COMPUTED_VALUE"""),"1R41rwbBQZrh9qjZ3XYjH5mTM9rwh34s58Htn787_YnY")</f>
        <v>1R41rwbBQZrh9qjZ3XYjH5mTM9rwh34s58Htn787_YnY</v>
      </c>
      <c r="D79" s="5" t="str">
        <f>IFERROR(__xludf.DUMMYFUNCTION("""COMPUTED_VALUE"""),"1s3J2CHGyPGSPwPm7T7m5o_7sQCrWwpQ5xqzAk04bgVA")</f>
        <v>1s3J2CHGyPGSPwPm7T7m5o_7sQCrWwpQ5xqzAk04bgVA</v>
      </c>
      <c r="E79" s="5" t="str">
        <f>IFERROR(__xludf.DUMMYFUNCTION("""COMPUTED_VALUE"""),"1VSynsMtKbK1ktIqRzKf6QEpnepidsJka")</f>
        <v>1VSynsMtKbK1ktIqRzKf6QEpnepidsJka</v>
      </c>
    </row>
    <row r="80" ht="15.75" customHeight="1">
      <c r="A80" s="5" t="str">
        <f>IFERROR(__xludf.DUMMYFUNCTION("""COMPUTED_VALUE"""),"768 - Algoritmos")</f>
        <v>768 - Algoritmos</v>
      </c>
      <c r="B80" s="5" t="str">
        <f>IFERROR(__xludf.DUMMYFUNCTION("""COMPUTED_VALUE"""),"1SjAd6zUsLAnVyCAYH7AjoRBdaM836qJGVSbcpa5npcA")</f>
        <v>1SjAd6zUsLAnVyCAYH7AjoRBdaM836qJGVSbcpa5npcA</v>
      </c>
      <c r="C80" s="5" t="str">
        <f>IFERROR(__xludf.DUMMYFUNCTION("""COMPUTED_VALUE"""),"1afm0IKlaJOgHVN4bCH6AUAoNUqhq0_44_T5aENeyCWo")</f>
        <v>1afm0IKlaJOgHVN4bCH6AUAoNUqhq0_44_T5aENeyCWo</v>
      </c>
      <c r="D80" s="5" t="str">
        <f>IFERROR(__xludf.DUMMYFUNCTION("""COMPUTED_VALUE"""),"1G1fW33CrLmmI1Pxdgw_cAdUJKRHg8LpG4-p2vnoWUqw")</f>
        <v>1G1fW33CrLmmI1Pxdgw_cAdUJKRHg8LpG4-p2vnoWUqw</v>
      </c>
      <c r="E80" s="5" t="str">
        <f>IFERROR(__xludf.DUMMYFUNCTION("""COMPUTED_VALUE"""),"1ySU7wJA5-EonRSWzEsgL03LPoX0Yz7rw")</f>
        <v>1ySU7wJA5-EonRSWzEsgL03LPoX0Yz7rw</v>
      </c>
    </row>
    <row r="81" ht="15.75" customHeight="1">
      <c r="A81" s="5" t="str">
        <f>IFERROR(__xludf.DUMMYFUNCTION("""COMPUTED_VALUE"""),"0089 - Comunicación Asertiva")</f>
        <v>0089 - Comunicación Asertiva</v>
      </c>
      <c r="B81" s="5"/>
      <c r="C81" s="5"/>
      <c r="D81" s="5" t="str">
        <f>IFERROR(__xludf.DUMMYFUNCTION("""COMPUTED_VALUE"""),"1_Ei-qZBLFjKXYNiETo-SLQ_i6LLtwBqz0DelGIPi31I")</f>
        <v>1_Ei-qZBLFjKXYNiETo-SLQ_i6LLtwBqz0DelGIPi31I</v>
      </c>
      <c r="E81" s="5" t="str">
        <f>IFERROR(__xludf.DUMMYFUNCTION("""COMPUTED_VALUE"""),"10NGlQjOf6PbS47vS9QrPsz0UIEnfLTPH")</f>
        <v>10NGlQjOf6PbS47vS9QrPsz0UIEnfLTPH</v>
      </c>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