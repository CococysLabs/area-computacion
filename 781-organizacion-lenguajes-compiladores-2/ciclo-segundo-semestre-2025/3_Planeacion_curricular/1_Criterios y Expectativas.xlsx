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BAYRON_WOSVELY_LOPEZ_LO" sheetId="1" r:id="rId5"/>
    <sheet state="visible" name="Docente_EDGAR_RUBEN_SABAN_RAXON" sheetId="2" r:id="rId6"/>
    <sheet state="visible" name="Docente_LUIS_FERNANDO_ESPINO_BA" sheetId="3" r:id="rId7"/>
    <sheet state="visible" name="CONSOLIDADO" sheetId="4" r:id="rId8"/>
  </sheets>
  <definedNames/>
  <calcPr/>
</workbook>
</file>

<file path=xl/sharedStrings.xml><?xml version="1.0" encoding="utf-8"?>
<sst xmlns="http://schemas.openxmlformats.org/spreadsheetml/2006/main" count="151" uniqueCount="50">
  <si>
    <t>Criterios y Expectativas para el Primer Semestre 2026</t>
  </si>
  <si>
    <t>Nombre del Curso</t>
  </si>
  <si>
    <t>Organización de Lenguajes y Compiladores 2</t>
  </si>
  <si>
    <t>Codigo del Curso</t>
  </si>
  <si>
    <t>Docente</t>
  </si>
  <si>
    <t>1. Criterios Técnicos y Metodológicos</t>
  </si>
  <si>
    <t>En esta sección se busca recopilar información clave sobre los elementos técnicos y metodológicos que el laboratorio debe incluir.</t>
  </si>
  <si>
    <t>1.1 Tecnologias y Herramientas</t>
  </si>
  <si>
    <t xml:space="preserve">¿Qué tecnologías, lenguajes de programación, plataformas, hardware o software considera indispensable incluir en el laboratorio? </t>
  </si>
  <si>
    <t>En el laboratorio del curso de compiladores es indispensable contar con un conjunto de tecnologías que cubran todas las fases del proceso de construcción de un compilador. Lenguajes de programación: C/C++ (bajo nivel y compiladores reales), Java (integración con generadores de analizadores de sintaxis), Python, y Rust entre otros. Herramientas: Flex/JFlex para análisis léxico, Bison/CUP/ANTLR para análisis sintáctico, y LLVM o GCC para generación de código.</t>
  </si>
  <si>
    <t>Mencione alguna herramienta o simulador que recomendaría incluir. ¿En qué parte del curso se aplicaría y por qué sería útil para el estudiante?</t>
  </si>
  <si>
    <t>Se recomienda incluir la herramienta ANTLR en el curso, específicamente en la unidad de Análisis Sintáctico. ANTLR permite generar analizadores léxicos y sintácticos a partir de gramáticas y cuenta con un entorno visual  para observar árboles de sintaxis. Su utilidad radica en que facilita la comprensión práctica de las gramáticas, reduce la complejidad de implementar analizadores de sintaxis  manualmente, conecta con aplicaciones reales en la industria y fomenta la experimentación. Además, es válido señalar que ANTLR puede emplearse para desarrollar esquemas de traducción e implementar distintas fases de un compilador, más allá del análisis sintáctico.</t>
  </si>
  <si>
    <t>1.2 Actividades de Autoaprendizaje</t>
  </si>
  <si>
    <t>Indique la distribución que se debe aplicar del punteo en el laboratorio, recurde que una apropiada distribución de la ponderacion los proyectos deben abarcar entre el 60% y 70% de la nota no un 100% ya que el aprendizaje es continuo durante todo el semestre.</t>
  </si>
  <si>
    <t>Tipo de Actividad</t>
  </si>
  <si>
    <t>Ponderación</t>
  </si>
  <si>
    <t>Cantidad de Activididas</t>
  </si>
  <si>
    <t>Aspectos clave que debe abordar</t>
  </si>
  <si>
    <t>Actividades durante el peridodo de laboratorio</t>
  </si>
  <si>
    <t>Poner en práctica los conceptos explicados en la clase magistral</t>
  </si>
  <si>
    <t>Proyectos</t>
  </si>
  <si>
    <t>Primer proyecto: Construcción de un intérprete y Segundo proyecto: Construcción de un compilador</t>
  </si>
  <si>
    <t>Prácticas</t>
  </si>
  <si>
    <t>Por lo menos una en cada sesión</t>
  </si>
  <si>
    <t>Tareas</t>
  </si>
  <si>
    <t>Total de Punteo Asignado</t>
  </si>
  <si>
    <t>2. Expectativa</t>
  </si>
  <si>
    <t>Comparta su visión sobre el propósito del laboratorio dentro del curso y lo que espera del tutor para asegurar una experiencia formativa efectiva.</t>
  </si>
  <si>
    <t>Desde su perspectiva, ¿de qué manera el laboratorio puede complementar los contenidos que desarrolla en clase y reforzar las competencias clave del curso?</t>
  </si>
  <si>
    <t>El laboratorio debe funcionar como un puente entre teoría y práctica. Mientras la clase magistral proporciona los fundamentos, el laboratorio asegura que los estudiantes experimenten, construyan y validen compiladores, reforzando competencias como el diseño de lenguajes, la implementación de traductores y el uso de herramientas disponibles para la construcción de intérpretes y compiladores.</t>
  </si>
  <si>
    <t>¿Qué funciones, actitudes o conocimientos espera que tenga el tutor para contribuir a una experiencia formativa efectiva en el laboratorio?</t>
  </si>
  <si>
    <r>
      <rPr>
        <rFont val="Arial"/>
        <b/>
        <color theme="1"/>
      </rPr>
      <t>Funciones</t>
    </r>
    <r>
      <rPr>
        <rFont val="Arial"/>
        <color theme="1"/>
      </rPr>
      <t>: guiar la aplicación práctica de contenidos, acompañar el desarrollo de proyectos, supervisar y retroalimentar avances, fomentar la experimentación, evaluar competencias prácticas, coordinar con el catedrático del curso, preparar contenidos y materiales del laboratorio, y administrar efectivamente el tiempo de las sesiones.</t>
    </r>
  </si>
  <si>
    <r>
      <rPr>
        <rFont val="Arial"/>
        <b/>
        <color theme="1"/>
      </rPr>
      <t>Actitudes</t>
    </r>
    <r>
      <rPr>
        <rFont val="Arial"/>
        <color theme="1"/>
      </rPr>
      <t>: paciencia y disposición para la guía individualizada cuando sea necesario, proactividad, actitud motivadora, colaboración, flexibilidad, comunicación efectiva y capacidad para trabajar en equipo con otros tutores.</t>
    </r>
  </si>
  <si>
    <r>
      <rPr>
        <rFont val="Arial"/>
        <b/>
        <color theme="1"/>
      </rPr>
      <t>Conocimientos</t>
    </r>
    <r>
      <rPr>
        <rFont val="Arial"/>
        <color theme="1"/>
      </rPr>
      <t>: teoría de compiladores y lenguajes formales, dominio de lenguajes de programación clave como C/C++, Java y Python , manejo de herramientas y entornos como Flex, Bison, ANTLR, LLVM, Git y Linux, , habilidades pedagógicas para explicar conceptos complejos y capacidad para organizar y estructurar los contenidos del laboratorio. Capacidad para escribir documentos , elaborar rúbricas y presentaciones efectivas.</t>
    </r>
  </si>
  <si>
    <t>En su opinion, ¿qué competencia específica debería desarrollar el estudiante a través del laboratorio para contribuir a su formación profesional?</t>
  </si>
  <si>
    <t>El estudiante diseña e implementa traductores de lenguajes de programación, incluyendo intérpretes y compiladores, utilizando herramientas y entornos de desarrollo especializados, aplicando los conceptos de análisis léxico, sintáctico y semántico, así como las fases de generación de código intermedio, optimización y generación de código, bajo condiciones de laboratorio que simulan proyectos reales de desarrollo de software.</t>
  </si>
  <si>
    <t>Verbo en Presente</t>
  </si>
  <si>
    <t>Objeto de la acción</t>
  </si>
  <si>
    <t>[Palabras conectoreas] ,  Herramientas, Frameworks o metodología</t>
  </si>
  <si>
    <t>[Palabras conectoreas] Condiciones específicas</t>
  </si>
  <si>
    <t>....</t>
  </si>
  <si>
    <t>Ejemplos. https://drive.google.com/drive/folders/1szLcpzkwozPD6nD4uuaiZQ3mmDRuVKVy?usp=sharing</t>
  </si>
  <si>
    <t>1. Criterios Tecnicos y Metodologicos</t>
  </si>
  <si>
    <t>Ponderacion</t>
  </si>
  <si>
    <t>En su opinion, ¿qué competencia especifica debería desarrollar el estudiante a través del laboratorio para contribuir a su formación profesional?</t>
  </si>
  <si>
    <t>Escribe libremente la competencia o puedes usar la estructura de la parte inferior para guiarte</t>
  </si>
  <si>
    <t>CONSOLIDADO</t>
  </si>
  <si>
    <r>
      <rPr>
        <rFont val="Arial"/>
        <b/>
        <color theme="1"/>
      </rPr>
      <t>Funciones</t>
    </r>
    <r>
      <rPr>
        <rFont val="Arial"/>
        <color theme="1"/>
      </rPr>
      <t>: guiar la aplicación práctica de contenidos, acompañar el desarrollo de proyectos, supervisar y retroalimentar avances, fomentar la experimentación, evaluar competencias prácticas, coordinar con el catedrático del curso, preparar contenidos y materiales del laboratorio, y administrar efectivamente el tiempo de las sesiones.</t>
    </r>
  </si>
  <si>
    <r>
      <rPr>
        <rFont val="Arial"/>
        <b/>
        <color theme="1"/>
      </rPr>
      <t>Actitudes</t>
    </r>
    <r>
      <rPr>
        <rFont val="Arial"/>
        <color theme="1"/>
      </rPr>
      <t>: paciencia y disposición para la guía individualizada cuando sea necesario, proactividad, actitud motivadora, colaboración, flexibilidad, comunicación efectiva y capacidad para trabajar en equipo con otros tutores.</t>
    </r>
  </si>
  <si>
    <r>
      <rPr>
        <rFont val="Arial"/>
        <b/>
        <color theme="1"/>
      </rPr>
      <t>Conocimientos</t>
    </r>
    <r>
      <rPr>
        <rFont val="Arial"/>
        <color theme="1"/>
      </rPr>
      <t>: teoría de compiladores y lenguajes formales, dominio de lenguajes de programación clave como C/C++, Java y Python , manejo de herramientas y entornos como Flex, Bison, ANTLR, LLVM, Git y Linux, , habilidades pedagógicas para explicar conceptos complejos y capacidad para organizar y estructurar los contenidos del laboratorio. Capacidad para escribir documentos , elaborar rúbricas y presentaciones efectivas.</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</si>
</sst>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theme="8"/>
      <name val="Arial"/>
      <scheme val="minor"/>
    </font>
    <font>
      <b/>
      <sz val="12.0"/>
      <color theme="1"/>
      <name val="Arial"/>
      <scheme val="minor"/>
    </font>
    <font>
      <color theme="1"/>
      <name val="Arial"/>
      <scheme val="minor"/>
    </font>
    <font>
      <b/>
      <sz val="12.0"/>
      <color rgb="FF4285F4"/>
      <name val="Arial"/>
      <scheme val="minor"/>
    </font>
    <font>
      <color rgb="FF666666"/>
      <name val="Arial"/>
      <scheme val="minor"/>
    </font>
    <font>
      <b/>
      <color theme="4"/>
      <name val="Arial"/>
      <scheme val="minor"/>
    </font>
    <font/>
    <font>
      <sz val="12.0"/>
      <color rgb="FF000000"/>
      <name val="Arial"/>
    </font>
    <font>
      <b/>
      <sz val="12.0"/>
      <color theme="4"/>
      <name val="Arial"/>
      <scheme val="minor"/>
    </font>
    <font>
      <b/>
      <sz val="11.0"/>
      <color rgb="FFCCCCCC"/>
      <name val="Arial"/>
    </font>
    <font>
      <sz val="11.0"/>
      <color theme="1"/>
      <name val="Arial"/>
    </font>
    <font>
      <b/>
      <sz val="11.0"/>
      <color theme="1"/>
      <name val="Arial"/>
    </font>
    <font>
      <color theme="1"/>
      <name val="Arial"/>
    </font>
    <font>
      <color rgb="FFB7B7B7"/>
      <name val="Arial"/>
      <scheme val="minor"/>
    </font>
  </fonts>
  <fills count="10">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D9D9D9"/>
        <bgColor rgb="FFD9D9D9"/>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s>
  <borders count="24">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right style="double">
        <color rgb="FF434343"/>
      </right>
    </border>
    <border>
      <left style="double">
        <color rgb="FF434343"/>
      </left>
      <bottom style="double">
        <color rgb="FF434343"/>
      </bottom>
    </border>
    <border>
      <bottom style="double">
        <color rgb="FF434343"/>
      </bottom>
    </border>
    <border>
      <right style="double">
        <color rgb="FF434343"/>
      </right>
      <bottom style="double">
        <color rgb="FF434343"/>
      </bottom>
    </border>
    <border>
      <left style="double">
        <color rgb="FF434343"/>
      </left>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double">
        <color rgb="FF434343"/>
      </left>
      <top style="double">
        <color rgb="FF434343"/>
      </top>
    </border>
    <border>
      <top style="double">
        <color rgb="FF434343"/>
      </top>
    </border>
    <border>
      <right style="double">
        <color rgb="FF434343"/>
      </right>
      <top style="double">
        <color rgb="FF434343"/>
      </top>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shrinkToFit="0" wrapText="1"/>
    </xf>
    <xf borderId="0" fillId="0" fontId="6" numFmtId="0" xfId="0" applyAlignment="1" applyFont="1">
      <alignment readingOrder="0"/>
    </xf>
    <xf borderId="1" fillId="2" fontId="3" numFmtId="0" xfId="0" applyAlignment="1" applyBorder="1" applyFill="1" applyFont="1">
      <alignment readingOrder="0" shrinkToFit="0" wrapText="1"/>
    </xf>
    <xf borderId="2" fillId="0" fontId="7" numFmtId="0" xfId="0" applyBorder="1" applyFont="1"/>
    <xf borderId="3" fillId="0" fontId="7" numFmtId="0" xfId="0" applyBorder="1" applyFont="1"/>
    <xf borderId="0" fillId="0" fontId="3" numFmtId="0" xfId="0" applyAlignment="1" applyFont="1">
      <alignment readingOrder="0" shrinkToFit="0" wrapText="1"/>
    </xf>
    <xf borderId="4" fillId="0" fontId="7" numFmtId="0" xfId="0" applyBorder="1" applyFont="1"/>
    <xf borderId="5" fillId="0" fontId="3" numFmtId="0" xfId="0" applyAlignment="1" applyBorder="1" applyFont="1">
      <alignment readingOrder="0"/>
    </xf>
    <xf borderId="6" fillId="0" fontId="3" numFmtId="0" xfId="0" applyAlignment="1" applyBorder="1" applyFont="1">
      <alignment readingOrder="0"/>
    </xf>
    <xf borderId="7" fillId="0" fontId="3" numFmtId="0" xfId="0" applyAlignment="1" applyBorder="1" applyFont="1">
      <alignment readingOrder="0"/>
    </xf>
    <xf borderId="5" fillId="0" fontId="3" numFmtId="0" xfId="0" applyBorder="1" applyFont="1"/>
    <xf borderId="6" fillId="0" fontId="3" numFmtId="0" xfId="0" applyBorder="1" applyFont="1"/>
    <xf borderId="7" fillId="0" fontId="3" numFmtId="0" xfId="0" applyBorder="1" applyFont="1"/>
    <xf borderId="0" fillId="0" fontId="3" numFmtId="0" xfId="0" applyAlignment="1" applyFont="1">
      <alignment shrinkToFit="0" wrapText="1"/>
    </xf>
    <xf borderId="0" fillId="0" fontId="2" numFmtId="0" xfId="0" applyAlignment="1" applyFont="1">
      <alignment readingOrder="0" shrinkToFit="0" wrapText="1"/>
    </xf>
    <xf borderId="8" fillId="3" fontId="2" numFmtId="0" xfId="0" applyAlignment="1" applyBorder="1" applyFill="1" applyFont="1">
      <alignment readingOrder="0" shrinkToFit="0" wrapText="1"/>
    </xf>
    <xf borderId="1" fillId="3" fontId="2" numFmtId="0" xfId="0" applyAlignment="1" applyBorder="1" applyFont="1">
      <alignment readingOrder="0" shrinkToFit="0" wrapText="1"/>
    </xf>
    <xf borderId="8" fillId="0" fontId="8" numFmtId="0" xfId="0" applyAlignment="1" applyBorder="1" applyFont="1">
      <alignment readingOrder="0" shrinkToFit="0" wrapText="1"/>
    </xf>
    <xf borderId="8" fillId="0" fontId="3" numFmtId="0" xfId="0" applyAlignment="1" applyBorder="1" applyFont="1">
      <alignment readingOrder="0"/>
    </xf>
    <xf borderId="1" fillId="0" fontId="3" numFmtId="0" xfId="0" applyAlignment="1" applyBorder="1" applyFont="1">
      <alignment readingOrder="0" shrinkToFit="0" wrapText="1"/>
    </xf>
    <xf borderId="8" fillId="0" fontId="8" numFmtId="0" xfId="0" applyAlignment="1" applyBorder="1" applyFont="1">
      <alignment readingOrder="0"/>
    </xf>
    <xf borderId="6" fillId="0" fontId="3" numFmtId="0" xfId="0" applyAlignment="1" applyBorder="1" applyFont="1">
      <alignment readingOrder="0" shrinkToFit="0" wrapText="1"/>
    </xf>
    <xf borderId="6" fillId="0" fontId="7" numFmtId="0" xfId="0" applyBorder="1" applyFont="1"/>
    <xf borderId="7" fillId="0" fontId="7" numFmtId="0" xfId="0" applyBorder="1" applyFont="1"/>
    <xf borderId="8" fillId="0" fontId="3" numFmtId="0" xfId="0" applyBorder="1" applyFont="1"/>
    <xf borderId="9" fillId="0" fontId="8" numFmtId="0" xfId="0" applyAlignment="1" applyBorder="1" applyFont="1">
      <alignment readingOrder="0"/>
    </xf>
    <xf borderId="9" fillId="0" fontId="3" numFmtId="0" xfId="0" applyAlignment="1" applyBorder="1" applyFont="1">
      <alignment readingOrder="0"/>
    </xf>
    <xf borderId="1" fillId="0" fontId="3" numFmtId="0" xfId="0" applyAlignment="1" applyBorder="1" applyFont="1">
      <alignment shrinkToFit="0" wrapText="1"/>
    </xf>
    <xf borderId="10" fillId="4" fontId="2" numFmtId="0" xfId="0" applyAlignment="1" applyBorder="1" applyFill="1" applyFont="1">
      <alignment readingOrder="0" shrinkToFit="0" wrapText="1"/>
    </xf>
    <xf borderId="10" fillId="4" fontId="3" numFmtId="0" xfId="0" applyBorder="1" applyFont="1"/>
    <xf borderId="0" fillId="0" fontId="9" numFmtId="0" xfId="0" applyAlignment="1" applyFont="1">
      <alignment readingOrder="0"/>
    </xf>
    <xf borderId="11" fillId="2" fontId="3" numFmtId="0" xfId="0" applyAlignment="1" applyBorder="1" applyFont="1">
      <alignment readingOrder="0" shrinkToFit="0" wrapText="1"/>
    </xf>
    <xf borderId="12" fillId="0" fontId="7" numFmtId="0" xfId="0" applyBorder="1" applyFont="1"/>
    <xf borderId="13" fillId="0" fontId="7" numFmtId="0" xfId="0" applyBorder="1" applyFont="1"/>
    <xf borderId="14" fillId="0" fontId="7" numFmtId="0" xfId="0" applyBorder="1" applyFont="1"/>
    <xf borderId="15" fillId="0" fontId="10" numFmtId="0" xfId="0" applyAlignment="1" applyBorder="1" applyFont="1">
      <alignment horizontal="center" readingOrder="0" vertical="bottom"/>
    </xf>
    <xf borderId="16" fillId="0" fontId="10" numFmtId="0" xfId="0" applyAlignment="1" applyBorder="1" applyFont="1">
      <alignment horizontal="center" readingOrder="0" vertical="bottom"/>
    </xf>
    <xf borderId="17" fillId="0" fontId="10" numFmtId="0" xfId="0" applyAlignment="1" applyBorder="1" applyFont="1">
      <alignment horizontal="center" readingOrder="0" vertical="bottom"/>
    </xf>
    <xf borderId="18" fillId="2" fontId="11" numFmtId="0" xfId="0" applyAlignment="1" applyBorder="1" applyFont="1">
      <alignment horizontal="left" vertical="bottom"/>
    </xf>
    <xf borderId="19" fillId="0" fontId="7" numFmtId="0" xfId="0" applyBorder="1" applyFont="1"/>
    <xf borderId="20" fillId="0" fontId="7" numFmtId="0" xfId="0" applyBorder="1" applyFont="1"/>
    <xf borderId="10" fillId="5" fontId="12" numFmtId="0" xfId="0" applyAlignment="1" applyBorder="1" applyFill="1" applyFont="1">
      <alignment horizontal="center" vertical="bottom"/>
    </xf>
    <xf borderId="18" fillId="5" fontId="12" numFmtId="0" xfId="0" applyAlignment="1" applyBorder="1" applyFont="1">
      <alignment horizontal="center" vertical="bottom"/>
    </xf>
    <xf borderId="10" fillId="5" fontId="12" numFmtId="0" xfId="0" applyAlignment="1" applyBorder="1" applyFont="1">
      <alignment horizontal="center" readingOrder="0" shrinkToFit="0" vertical="bottom" wrapText="1"/>
    </xf>
    <xf borderId="18" fillId="5" fontId="12" numFmtId="0" xfId="0" applyAlignment="1" applyBorder="1" applyFont="1">
      <alignment horizontal="center" shrinkToFit="0" vertical="bottom" wrapText="1"/>
    </xf>
    <xf borderId="10" fillId="6" fontId="13" numFmtId="0" xfId="0" applyAlignment="1" applyBorder="1" applyFill="1" applyFont="1">
      <alignment readingOrder="0" shrinkToFit="0" vertical="bottom" wrapText="1"/>
    </xf>
    <xf borderId="18" fillId="7" fontId="13" numFmtId="0" xfId="0" applyAlignment="1" applyBorder="1" applyFill="1" applyFont="1">
      <alignment shrinkToFit="0" vertical="bottom" wrapText="1"/>
    </xf>
    <xf borderId="10" fillId="8" fontId="13" numFmtId="0" xfId="0" applyAlignment="1" applyBorder="1" applyFill="1" applyFont="1">
      <alignment shrinkToFit="0" vertical="bottom" wrapText="1"/>
    </xf>
    <xf borderId="18" fillId="9" fontId="13" numFmtId="0" xfId="0" applyAlignment="1" applyBorder="1" applyFill="1" applyFont="1">
      <alignment shrinkToFit="0" vertical="bottom" wrapText="1"/>
    </xf>
    <xf borderId="0" fillId="0" fontId="14" numFmtId="0" xfId="0" applyAlignment="1" applyFont="1">
      <alignment readingOrder="0"/>
    </xf>
    <xf borderId="11" fillId="0" fontId="3" numFmtId="0" xfId="0" applyAlignment="1" applyBorder="1" applyFont="1">
      <alignment readingOrder="0"/>
    </xf>
    <xf borderId="5" fillId="0" fontId="7" numFmtId="0" xfId="0" applyBorder="1" applyFont="1"/>
    <xf borderId="11" fillId="0" fontId="3" numFmtId="0" xfId="0" applyBorder="1" applyFont="1"/>
    <xf borderId="9" fillId="0" fontId="3" numFmtId="0" xfId="0" applyBorder="1" applyFont="1"/>
    <xf borderId="21" fillId="0" fontId="10" numFmtId="0" xfId="0" applyAlignment="1" applyBorder="1" applyFont="1">
      <alignment horizontal="center" readingOrder="0" vertical="bottom"/>
    </xf>
    <xf borderId="22" fillId="0" fontId="7" numFmtId="0" xfId="0" applyBorder="1" applyFont="1"/>
    <xf borderId="23" fillId="0" fontId="7" numFmtId="0" xfId="0" applyBorder="1" applyFont="1"/>
    <xf borderId="15" fillId="0" fontId="7" numFmtId="0" xfId="0" applyBorder="1" applyFont="1"/>
    <xf borderId="16" fillId="0" fontId="7" numFmtId="0" xfId="0" applyBorder="1" applyFont="1"/>
    <xf borderId="17"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361950</xdr:colOff>
      <xdr:row>0</xdr:row>
      <xdr:rowOff>0</xdr:rowOff>
    </xdr:from>
    <xdr:ext cx="895350" cy="1219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"),781.0)</f>
        <v>781</v>
      </c>
    </row>
    <row r="5">
      <c r="B5" s="2" t="s">
        <v>4</v>
      </c>
      <c r="C5" s="4" t="str">
        <f>IFERROR(__xludf.DUMMYFUNCTION("INDEX(
  QUERY(
    IMPORTRANGE(
      ""https://docs.google.com/spreadsheets/d/1rNNjJXEbbFk-tp1oCnmvsGUasYrK05YsXLDjblwpnKw/edit?gid=0#gid=0"",
      ""BD!A:J""
    ),
    ""select Col5 where Col8 = 'Docente' and Col3 = '"" &amp; C3 &amp; ""'"",
    0
  ),
  1
)"&amp;"
"),"BAYRON WOSVELY LOPEZ LOPEZ")</f>
        <v>BAYRON WOSVELY LOPEZ LOPEZ</v>
      </c>
    </row>
    <row r="7">
      <c r="B7" s="5" t="s">
        <v>5</v>
      </c>
    </row>
    <row r="8">
      <c r="B8" s="6" t="s">
        <v>6</v>
      </c>
    </row>
    <row r="10">
      <c r="B10" s="7" t="s">
        <v>7</v>
      </c>
    </row>
    <row r="12">
      <c r="B12" s="8" t="s">
        <v>8</v>
      </c>
      <c r="C12" s="9"/>
      <c r="D12" s="9"/>
      <c r="E12" s="9"/>
      <c r="F12" s="9"/>
      <c r="G12" s="10"/>
    </row>
    <row r="13">
      <c r="B13" s="11" t="s">
        <v>9</v>
      </c>
      <c r="G13" s="12"/>
    </row>
    <row r="14" ht="29.25" customHeight="1">
      <c r="B14" s="13"/>
      <c r="C14" s="14"/>
      <c r="D14" s="14"/>
      <c r="E14" s="14"/>
      <c r="F14" s="14"/>
      <c r="G14" s="15"/>
    </row>
    <row r="16" ht="33.0" customHeight="1">
      <c r="B16" s="8" t="s">
        <v>10</v>
      </c>
      <c r="C16" s="9"/>
      <c r="D16" s="9"/>
      <c r="E16" s="9"/>
      <c r="F16" s="9"/>
      <c r="G16" s="10"/>
    </row>
    <row r="17">
      <c r="B17" s="11" t="s">
        <v>11</v>
      </c>
      <c r="G17" s="12"/>
    </row>
    <row r="18">
      <c r="B18" s="16"/>
      <c r="C18" s="17"/>
      <c r="D18" s="17"/>
      <c r="E18" s="17"/>
      <c r="F18" s="17"/>
      <c r="G18" s="18"/>
    </row>
    <row r="20">
      <c r="B20" s="7" t="s">
        <v>12</v>
      </c>
    </row>
    <row r="21">
      <c r="B21" s="6" t="s">
        <v>13</v>
      </c>
    </row>
    <row r="22">
      <c r="A22" s="19"/>
      <c r="B22" s="20"/>
      <c r="C22" s="20"/>
      <c r="D22" s="20"/>
      <c r="E22" s="20"/>
      <c r="F22" s="20"/>
      <c r="G22" s="20"/>
      <c r="H22" s="19"/>
      <c r="I22" s="19"/>
      <c r="J22" s="19"/>
      <c r="K22" s="19"/>
      <c r="L22" s="19"/>
      <c r="M22" s="19"/>
      <c r="N22" s="19"/>
      <c r="O22" s="19"/>
      <c r="P22" s="19"/>
      <c r="Q22" s="19"/>
      <c r="R22" s="19"/>
      <c r="S22" s="19"/>
      <c r="T22" s="19"/>
      <c r="U22" s="19"/>
      <c r="V22" s="19"/>
      <c r="W22" s="19"/>
    </row>
    <row r="23">
      <c r="A23" s="19"/>
      <c r="B23" s="21" t="s">
        <v>14</v>
      </c>
      <c r="C23" s="21" t="s">
        <v>15</v>
      </c>
      <c r="D23" s="21" t="s">
        <v>16</v>
      </c>
      <c r="E23" s="22" t="s">
        <v>17</v>
      </c>
      <c r="F23" s="9"/>
      <c r="G23" s="10"/>
      <c r="H23" s="19"/>
      <c r="I23" s="19"/>
      <c r="J23" s="19"/>
      <c r="K23" s="19"/>
      <c r="L23" s="19"/>
      <c r="M23" s="19"/>
      <c r="N23" s="19"/>
      <c r="O23" s="19"/>
      <c r="P23" s="19"/>
      <c r="Q23" s="19"/>
      <c r="R23" s="19"/>
      <c r="S23" s="19"/>
      <c r="T23" s="19"/>
      <c r="U23" s="19"/>
      <c r="V23" s="19"/>
      <c r="W23" s="19"/>
    </row>
    <row r="24">
      <c r="B24" s="23" t="s">
        <v>18</v>
      </c>
      <c r="C24" s="24">
        <v>10.0</v>
      </c>
      <c r="D24" s="24">
        <v>5.0</v>
      </c>
      <c r="E24" s="25" t="s">
        <v>19</v>
      </c>
      <c r="F24" s="9"/>
      <c r="G24" s="10"/>
    </row>
    <row r="25" ht="45.0" customHeight="1">
      <c r="B25" s="26" t="s">
        <v>20</v>
      </c>
      <c r="C25" s="24">
        <v>90.0</v>
      </c>
      <c r="D25" s="24">
        <v>2.0</v>
      </c>
      <c r="E25" s="27" t="s">
        <v>21</v>
      </c>
      <c r="F25" s="28"/>
      <c r="G25" s="29"/>
    </row>
    <row r="26" ht="36.75" customHeight="1">
      <c r="B26" s="26" t="s">
        <v>22</v>
      </c>
      <c r="C26" s="24">
        <v>0.0</v>
      </c>
      <c r="D26" s="30"/>
      <c r="E26" s="25" t="s">
        <v>23</v>
      </c>
      <c r="F26" s="9"/>
      <c r="G26" s="10"/>
    </row>
    <row r="27" ht="36.0" customHeight="1">
      <c r="B27" s="31" t="s">
        <v>24</v>
      </c>
      <c r="C27" s="32">
        <v>0.0</v>
      </c>
      <c r="D27" s="30"/>
      <c r="E27" s="33"/>
      <c r="F27" s="9"/>
      <c r="G27" s="10"/>
    </row>
    <row r="28">
      <c r="B28" s="34" t="s">
        <v>25</v>
      </c>
      <c r="C28" s="35">
        <f>SUM(C24:C27)</f>
        <v>100</v>
      </c>
    </row>
    <row r="29">
      <c r="B29" s="2"/>
    </row>
    <row r="30">
      <c r="B30" s="36" t="s">
        <v>26</v>
      </c>
    </row>
    <row r="31">
      <c r="B31" s="6" t="s">
        <v>27</v>
      </c>
    </row>
    <row r="33">
      <c r="B33" s="8" t="s">
        <v>28</v>
      </c>
      <c r="C33" s="9"/>
      <c r="D33" s="9"/>
      <c r="E33" s="9"/>
      <c r="F33" s="9"/>
      <c r="G33" s="10"/>
    </row>
    <row r="34">
      <c r="B34" s="11" t="s">
        <v>29</v>
      </c>
      <c r="G34" s="12"/>
    </row>
    <row r="35">
      <c r="B35" s="16"/>
      <c r="C35" s="17"/>
      <c r="D35" s="17"/>
      <c r="E35" s="17"/>
      <c r="F35" s="17"/>
      <c r="G35" s="18"/>
    </row>
    <row r="37">
      <c r="B37" s="8" t="s">
        <v>30</v>
      </c>
      <c r="C37" s="9"/>
      <c r="D37" s="9"/>
      <c r="E37" s="9"/>
      <c r="F37" s="9"/>
      <c r="G37" s="10"/>
    </row>
    <row r="38">
      <c r="B38" s="11" t="s">
        <v>31</v>
      </c>
      <c r="G38" s="12"/>
    </row>
    <row r="39">
      <c r="B39" s="27" t="s">
        <v>32</v>
      </c>
      <c r="C39" s="28"/>
      <c r="D39" s="28"/>
      <c r="E39" s="28"/>
      <c r="F39" s="28"/>
      <c r="G39" s="29"/>
    </row>
    <row r="40">
      <c r="B40" s="11" t="s">
        <v>33</v>
      </c>
    </row>
    <row r="43">
      <c r="B43" s="37" t="s">
        <v>34</v>
      </c>
      <c r="C43" s="38"/>
      <c r="D43" s="38"/>
      <c r="E43" s="38"/>
      <c r="F43" s="38"/>
      <c r="G43" s="39"/>
    </row>
    <row r="44">
      <c r="B44" s="11" t="s">
        <v>35</v>
      </c>
      <c r="G44" s="40"/>
    </row>
    <row r="45">
      <c r="B45" s="41"/>
      <c r="C45" s="42"/>
      <c r="D45" s="42"/>
      <c r="E45" s="42"/>
      <c r="F45" s="42"/>
      <c r="G45" s="43"/>
    </row>
    <row r="46">
      <c r="B46" s="44"/>
      <c r="C46" s="45"/>
      <c r="D46" s="45"/>
      <c r="E46" s="45"/>
      <c r="F46" s="45"/>
      <c r="G46" s="46"/>
    </row>
    <row r="47">
      <c r="B47" s="47" t="s">
        <v>36</v>
      </c>
      <c r="C47" s="48" t="s">
        <v>37</v>
      </c>
      <c r="D47" s="46"/>
      <c r="E47" s="49" t="s">
        <v>38</v>
      </c>
      <c r="F47" s="50" t="s">
        <v>39</v>
      </c>
      <c r="G47" s="46"/>
    </row>
    <row r="48" ht="54.75" customHeight="1">
      <c r="A48" s="19"/>
      <c r="B48" s="51" t="s">
        <v>40</v>
      </c>
      <c r="C48" s="52"/>
      <c r="D48" s="46"/>
      <c r="E48" s="53"/>
      <c r="F48" s="54"/>
      <c r="G48" s="46"/>
      <c r="H48" s="19"/>
      <c r="I48" s="19"/>
      <c r="J48" s="19"/>
      <c r="K48" s="19"/>
      <c r="L48" s="19"/>
      <c r="M48" s="19"/>
      <c r="N48" s="19"/>
      <c r="O48" s="19"/>
      <c r="P48" s="19"/>
      <c r="Q48" s="19"/>
      <c r="R48" s="19"/>
      <c r="S48" s="19"/>
      <c r="T48" s="19"/>
      <c r="U48" s="19"/>
      <c r="V48" s="19"/>
      <c r="W48" s="19"/>
    </row>
    <row r="49">
      <c r="B49" s="55" t="s">
        <v>41</v>
      </c>
    </row>
  </sheetData>
  <mergeCells count="29">
    <mergeCell ref="B1:G1"/>
    <mergeCell ref="C3:G3"/>
    <mergeCell ref="C4:G4"/>
    <mergeCell ref="C5:G5"/>
    <mergeCell ref="B8:G8"/>
    <mergeCell ref="B12:G12"/>
    <mergeCell ref="B13:G13"/>
    <mergeCell ref="B16:G16"/>
    <mergeCell ref="B17:G17"/>
    <mergeCell ref="B21:G21"/>
    <mergeCell ref="E23:G23"/>
    <mergeCell ref="E24:G24"/>
    <mergeCell ref="E25:G25"/>
    <mergeCell ref="E26:G26"/>
    <mergeCell ref="B40:G40"/>
    <mergeCell ref="B43:G43"/>
    <mergeCell ref="B44:G44"/>
    <mergeCell ref="B46:G46"/>
    <mergeCell ref="C47:D47"/>
    <mergeCell ref="F47:G47"/>
    <mergeCell ref="C48:D48"/>
    <mergeCell ref="F48:G48"/>
    <mergeCell ref="E27:G27"/>
    <mergeCell ref="B31:G31"/>
    <mergeCell ref="B33:G33"/>
    <mergeCell ref="B34:G34"/>
    <mergeCell ref="B37:G37"/>
    <mergeCell ref="B38:G38"/>
    <mergeCell ref="B39:G39"/>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"),781.0)</f>
        <v>781</v>
      </c>
    </row>
    <row r="5">
      <c r="B5" s="2" t="s">
        <v>4</v>
      </c>
      <c r="C5" s="4" t="str">
        <f>IFERROR(__xludf.DUMMYFUNCTION("INDEX(
  QUERY(
    IMPORTRANGE(
      ""https://docs.google.com/spreadsheets/d/1rNNjJXEbbFk-tp1oCnmvsGUasYrK05YsXLDjblwpnKw/edit?gid=0#gid=0"",
      ""BD!A:J""
    ),
    ""select Col5 where Col8 = 'Docente' and Col3 = '"" &amp; C3 &amp; ""'"",
    0
  ),
  2
)"&amp;"
"),"EDGAR RUBEN SABAN RAXON")</f>
        <v>EDGAR RUBEN SABAN RAXON</v>
      </c>
    </row>
    <row r="7">
      <c r="B7" s="36" t="s">
        <v>42</v>
      </c>
    </row>
    <row r="8">
      <c r="B8" s="6" t="s">
        <v>6</v>
      </c>
    </row>
    <row r="10">
      <c r="B10" s="7" t="s">
        <v>7</v>
      </c>
    </row>
    <row r="12">
      <c r="B12" s="8" t="s">
        <v>8</v>
      </c>
      <c r="C12" s="9"/>
      <c r="D12" s="9"/>
      <c r="E12" s="9"/>
      <c r="F12" s="9"/>
      <c r="G12" s="10"/>
    </row>
    <row r="13">
      <c r="B13" s="56"/>
      <c r="C13" s="38"/>
      <c r="D13" s="38"/>
      <c r="E13" s="38"/>
      <c r="F13" s="38"/>
      <c r="G13" s="39"/>
    </row>
    <row r="14" ht="29.25" customHeight="1">
      <c r="B14" s="57"/>
      <c r="C14" s="28"/>
      <c r="D14" s="28"/>
      <c r="E14" s="28"/>
      <c r="F14" s="28"/>
      <c r="G14" s="29"/>
    </row>
    <row r="16" ht="33.0" customHeight="1">
      <c r="B16" s="8" t="s">
        <v>10</v>
      </c>
      <c r="C16" s="9"/>
      <c r="D16" s="9"/>
      <c r="E16" s="9"/>
      <c r="F16" s="9"/>
      <c r="G16" s="10"/>
    </row>
    <row r="17">
      <c r="B17" s="58"/>
      <c r="C17" s="38"/>
      <c r="D17" s="38"/>
      <c r="E17" s="38"/>
      <c r="F17" s="38"/>
      <c r="G17" s="39"/>
    </row>
    <row r="18">
      <c r="B18" s="57"/>
      <c r="C18" s="28"/>
      <c r="D18" s="28"/>
      <c r="E18" s="28"/>
      <c r="F18" s="28"/>
      <c r="G18" s="29"/>
    </row>
    <row r="20">
      <c r="B20" s="7" t="s">
        <v>12</v>
      </c>
    </row>
    <row r="21">
      <c r="B21" s="6" t="s">
        <v>13</v>
      </c>
    </row>
    <row r="22">
      <c r="A22" s="19"/>
      <c r="B22" s="20"/>
      <c r="C22" s="20"/>
      <c r="D22" s="20"/>
      <c r="E22" s="20"/>
      <c r="F22" s="20"/>
      <c r="G22" s="20"/>
      <c r="H22" s="19"/>
      <c r="I22" s="19"/>
      <c r="J22" s="19"/>
      <c r="K22" s="19"/>
      <c r="L22" s="19"/>
      <c r="M22" s="19"/>
      <c r="N22" s="19"/>
      <c r="O22" s="19"/>
      <c r="P22" s="19"/>
      <c r="Q22" s="19"/>
      <c r="R22" s="19"/>
      <c r="S22" s="19"/>
      <c r="T22" s="19"/>
      <c r="U22" s="19"/>
      <c r="V22" s="19"/>
      <c r="W22" s="19"/>
    </row>
    <row r="23">
      <c r="A23" s="19"/>
      <c r="B23" s="21" t="s">
        <v>14</v>
      </c>
      <c r="C23" s="21" t="s">
        <v>43</v>
      </c>
      <c r="D23" s="21" t="s">
        <v>16</v>
      </c>
      <c r="E23" s="22" t="s">
        <v>17</v>
      </c>
      <c r="F23" s="9"/>
      <c r="G23" s="10"/>
      <c r="H23" s="19"/>
      <c r="I23" s="19"/>
      <c r="J23" s="19"/>
      <c r="K23" s="19"/>
      <c r="L23" s="19"/>
      <c r="M23" s="19"/>
      <c r="N23" s="19"/>
      <c r="O23" s="19"/>
      <c r="P23" s="19"/>
      <c r="Q23" s="19"/>
      <c r="R23" s="19"/>
      <c r="S23" s="19"/>
      <c r="T23" s="19"/>
      <c r="U23" s="19"/>
      <c r="V23" s="19"/>
      <c r="W23" s="19"/>
    </row>
    <row r="24">
      <c r="B24" s="23" t="s">
        <v>18</v>
      </c>
      <c r="C24" s="30"/>
      <c r="D24" s="30"/>
      <c r="E24" s="25"/>
      <c r="F24" s="9"/>
      <c r="G24" s="10"/>
    </row>
    <row r="25" ht="45.0" customHeight="1">
      <c r="B25" s="26" t="s">
        <v>20</v>
      </c>
      <c r="C25" s="30"/>
      <c r="D25" s="30"/>
      <c r="E25" s="33"/>
      <c r="F25" s="9"/>
      <c r="G25" s="10"/>
    </row>
    <row r="26" ht="36.75" customHeight="1">
      <c r="B26" s="26" t="s">
        <v>22</v>
      </c>
      <c r="C26" s="30"/>
      <c r="D26" s="30"/>
      <c r="E26" s="33"/>
      <c r="F26" s="9"/>
      <c r="G26" s="10"/>
    </row>
    <row r="27" ht="36.0" customHeight="1">
      <c r="B27" s="31" t="s">
        <v>24</v>
      </c>
      <c r="C27" s="59"/>
      <c r="D27" s="30"/>
      <c r="E27" s="33"/>
      <c r="F27" s="9"/>
      <c r="G27" s="10"/>
    </row>
    <row r="28">
      <c r="B28" s="34" t="s">
        <v>25</v>
      </c>
      <c r="C28" s="35">
        <f>SUM(C24:C27)</f>
        <v>0</v>
      </c>
    </row>
    <row r="29">
      <c r="B29" s="2"/>
    </row>
    <row r="30">
      <c r="B30" s="36" t="s">
        <v>26</v>
      </c>
    </row>
    <row r="31">
      <c r="B31" s="6" t="s">
        <v>27</v>
      </c>
    </row>
    <row r="33">
      <c r="B33" s="8" t="s">
        <v>28</v>
      </c>
      <c r="C33" s="9"/>
      <c r="D33" s="9"/>
      <c r="E33" s="9"/>
      <c r="F33" s="9"/>
      <c r="G33" s="10"/>
    </row>
    <row r="34">
      <c r="B34" s="58"/>
      <c r="C34" s="38"/>
      <c r="D34" s="38"/>
      <c r="E34" s="38"/>
      <c r="F34" s="38"/>
      <c r="G34" s="39"/>
    </row>
    <row r="35">
      <c r="B35" s="57"/>
      <c r="C35" s="28"/>
      <c r="D35" s="28"/>
      <c r="E35" s="28"/>
      <c r="F35" s="28"/>
      <c r="G35" s="29"/>
    </row>
    <row r="37">
      <c r="B37" s="8" t="s">
        <v>30</v>
      </c>
      <c r="C37" s="9"/>
      <c r="D37" s="9"/>
      <c r="E37" s="9"/>
      <c r="F37" s="9"/>
      <c r="G37" s="10"/>
    </row>
    <row r="38">
      <c r="B38" s="58"/>
      <c r="C38" s="38"/>
      <c r="D38" s="38"/>
      <c r="E38" s="38"/>
      <c r="F38" s="38"/>
      <c r="G38" s="39"/>
    </row>
    <row r="39">
      <c r="B39" s="57"/>
      <c r="C39" s="28"/>
      <c r="D39" s="28"/>
      <c r="E39" s="28"/>
      <c r="F39" s="28"/>
      <c r="G39" s="29"/>
    </row>
    <row r="41">
      <c r="B41" s="37" t="s">
        <v>44</v>
      </c>
      <c r="C41" s="38"/>
      <c r="D41" s="38"/>
      <c r="E41" s="38"/>
      <c r="F41" s="38"/>
      <c r="G41" s="39"/>
    </row>
    <row r="42">
      <c r="B42" s="60" t="s">
        <v>45</v>
      </c>
      <c r="C42" s="61"/>
      <c r="D42" s="61"/>
      <c r="E42" s="61"/>
      <c r="F42" s="61"/>
      <c r="G42" s="62"/>
    </row>
    <row r="43">
      <c r="B43" s="63"/>
      <c r="C43" s="64"/>
      <c r="D43" s="64"/>
      <c r="E43" s="64"/>
      <c r="F43" s="64"/>
      <c r="G43" s="65"/>
    </row>
    <row r="44">
      <c r="B44" s="44" t="str">
        <f>CONCATENATE("El Estudiante",B46,C46,E46,F46)</f>
        <v>El Estudiante....</v>
      </c>
      <c r="C44" s="45"/>
      <c r="D44" s="45"/>
      <c r="E44" s="45"/>
      <c r="F44" s="45"/>
      <c r="G44" s="46"/>
    </row>
    <row r="45">
      <c r="B45" s="47" t="s">
        <v>36</v>
      </c>
      <c r="C45" s="48" t="s">
        <v>37</v>
      </c>
      <c r="D45" s="46"/>
      <c r="E45" s="49" t="s">
        <v>38</v>
      </c>
      <c r="F45" s="50" t="s">
        <v>39</v>
      </c>
      <c r="G45" s="46"/>
    </row>
    <row r="46" ht="54.75" customHeight="1">
      <c r="A46" s="19"/>
      <c r="B46" s="51" t="s">
        <v>40</v>
      </c>
      <c r="C46" s="52"/>
      <c r="D46" s="46"/>
      <c r="E46" s="53"/>
      <c r="F46" s="54"/>
      <c r="G46" s="46"/>
      <c r="H46" s="19"/>
      <c r="I46" s="19"/>
      <c r="J46" s="19"/>
      <c r="K46" s="19"/>
      <c r="L46" s="19"/>
      <c r="M46" s="19"/>
      <c r="N46" s="19"/>
      <c r="O46" s="19"/>
      <c r="P46" s="19"/>
      <c r="Q46" s="19"/>
      <c r="R46" s="19"/>
      <c r="S46" s="19"/>
      <c r="T46" s="19"/>
      <c r="U46" s="19"/>
      <c r="V46" s="19"/>
      <c r="W46" s="19"/>
    </row>
    <row r="47">
      <c r="B47" s="55" t="s">
        <v>41</v>
      </c>
    </row>
  </sheetData>
  <mergeCells count="27">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"),781.0)</f>
        <v>781</v>
      </c>
    </row>
    <row r="5">
      <c r="B5" s="2" t="s">
        <v>4</v>
      </c>
      <c r="C5" s="4" t="str">
        <f>IFERROR(__xludf.DUMMYFUNCTION("INDEX(
  QUERY(
    IMPORTRANGE(
      ""https://docs.google.com/spreadsheets/d/1rNNjJXEbbFk-tp1oCnmvsGUasYrK05YsXLDjblwpnKw/edit?gid=0#gid=0"",
      ""BD!A:J""
    ),
    ""select Col5 where Col8 = 'Docente' and Col3 = '"" &amp; C3 &amp; ""'"",
    0
  ),
  3
)"&amp;"
"),"LUIS FERNANDO ESPINO BARRIOS")</f>
        <v>LUIS FERNANDO ESPINO BARRIOS</v>
      </c>
    </row>
    <row r="7">
      <c r="B7" s="36" t="s">
        <v>42</v>
      </c>
    </row>
    <row r="8">
      <c r="B8" s="6" t="s">
        <v>6</v>
      </c>
    </row>
    <row r="10">
      <c r="B10" s="7" t="s">
        <v>7</v>
      </c>
    </row>
    <row r="12">
      <c r="B12" s="8" t="s">
        <v>8</v>
      </c>
      <c r="C12" s="9"/>
      <c r="D12" s="9"/>
      <c r="E12" s="9"/>
      <c r="F12" s="9"/>
      <c r="G12" s="10"/>
    </row>
    <row r="13">
      <c r="B13" s="56"/>
      <c r="C13" s="38"/>
      <c r="D13" s="38"/>
      <c r="E13" s="38"/>
      <c r="F13" s="38"/>
      <c r="G13" s="39"/>
    </row>
    <row r="14" ht="29.25" customHeight="1">
      <c r="B14" s="57"/>
      <c r="C14" s="28"/>
      <c r="D14" s="28"/>
      <c r="E14" s="28"/>
      <c r="F14" s="28"/>
      <c r="G14" s="29"/>
    </row>
    <row r="16" ht="33.0" customHeight="1">
      <c r="B16" s="8" t="s">
        <v>10</v>
      </c>
      <c r="C16" s="9"/>
      <c r="D16" s="9"/>
      <c r="E16" s="9"/>
      <c r="F16" s="9"/>
      <c r="G16" s="10"/>
    </row>
    <row r="17">
      <c r="B17" s="58"/>
      <c r="C17" s="38"/>
      <c r="D17" s="38"/>
      <c r="E17" s="38"/>
      <c r="F17" s="38"/>
      <c r="G17" s="39"/>
    </row>
    <row r="18">
      <c r="B18" s="57"/>
      <c r="C18" s="28"/>
      <c r="D18" s="28"/>
      <c r="E18" s="28"/>
      <c r="F18" s="28"/>
      <c r="G18" s="29"/>
    </row>
    <row r="20">
      <c r="B20" s="7" t="s">
        <v>12</v>
      </c>
    </row>
    <row r="21">
      <c r="B21" s="6" t="s">
        <v>13</v>
      </c>
    </row>
    <row r="22">
      <c r="A22" s="19"/>
      <c r="B22" s="20"/>
      <c r="C22" s="20"/>
      <c r="D22" s="20"/>
      <c r="E22" s="20"/>
      <c r="F22" s="20"/>
      <c r="G22" s="20"/>
      <c r="H22" s="19"/>
      <c r="I22" s="19"/>
      <c r="J22" s="19"/>
      <c r="K22" s="19"/>
      <c r="L22" s="19"/>
      <c r="M22" s="19"/>
      <c r="N22" s="19"/>
      <c r="O22" s="19"/>
      <c r="P22" s="19"/>
      <c r="Q22" s="19"/>
      <c r="R22" s="19"/>
      <c r="S22" s="19"/>
      <c r="T22" s="19"/>
      <c r="U22" s="19"/>
      <c r="V22" s="19"/>
      <c r="W22" s="19"/>
    </row>
    <row r="23">
      <c r="A23" s="19"/>
      <c r="B23" s="21" t="s">
        <v>14</v>
      </c>
      <c r="C23" s="21" t="s">
        <v>43</v>
      </c>
      <c r="D23" s="21" t="s">
        <v>16</v>
      </c>
      <c r="E23" s="22" t="s">
        <v>17</v>
      </c>
      <c r="F23" s="9"/>
      <c r="G23" s="10"/>
      <c r="H23" s="19"/>
      <c r="I23" s="19"/>
      <c r="J23" s="19"/>
      <c r="K23" s="19"/>
      <c r="L23" s="19"/>
      <c r="M23" s="19"/>
      <c r="N23" s="19"/>
      <c r="O23" s="19"/>
      <c r="P23" s="19"/>
      <c r="Q23" s="19"/>
      <c r="R23" s="19"/>
      <c r="S23" s="19"/>
      <c r="T23" s="19"/>
      <c r="U23" s="19"/>
      <c r="V23" s="19"/>
      <c r="W23" s="19"/>
    </row>
    <row r="24">
      <c r="B24" s="23" t="s">
        <v>18</v>
      </c>
      <c r="C24" s="30"/>
      <c r="D24" s="30"/>
      <c r="E24" s="25"/>
      <c r="F24" s="9"/>
      <c r="G24" s="10"/>
    </row>
    <row r="25" ht="45.0" customHeight="1">
      <c r="B25" s="26" t="s">
        <v>20</v>
      </c>
      <c r="C25" s="30"/>
      <c r="D25" s="30"/>
      <c r="E25" s="33"/>
      <c r="F25" s="9"/>
      <c r="G25" s="10"/>
    </row>
    <row r="26" ht="36.75" customHeight="1">
      <c r="B26" s="26" t="s">
        <v>22</v>
      </c>
      <c r="C26" s="30"/>
      <c r="D26" s="30"/>
      <c r="E26" s="33"/>
      <c r="F26" s="9"/>
      <c r="G26" s="10"/>
    </row>
    <row r="27" ht="36.0" customHeight="1">
      <c r="B27" s="31" t="s">
        <v>24</v>
      </c>
      <c r="C27" s="59"/>
      <c r="D27" s="30"/>
      <c r="E27" s="33"/>
      <c r="F27" s="9"/>
      <c r="G27" s="10"/>
    </row>
    <row r="28">
      <c r="B28" s="34" t="s">
        <v>25</v>
      </c>
      <c r="C28" s="35">
        <f>SUM(C24:C27)</f>
        <v>0</v>
      </c>
    </row>
    <row r="29">
      <c r="B29" s="2"/>
    </row>
    <row r="30">
      <c r="B30" s="36" t="s">
        <v>26</v>
      </c>
    </row>
    <row r="31">
      <c r="B31" s="6" t="s">
        <v>27</v>
      </c>
    </row>
    <row r="33">
      <c r="B33" s="8" t="s">
        <v>28</v>
      </c>
      <c r="C33" s="9"/>
      <c r="D33" s="9"/>
      <c r="E33" s="9"/>
      <c r="F33" s="9"/>
      <c r="G33" s="10"/>
    </row>
    <row r="34">
      <c r="B34" s="58"/>
      <c r="C34" s="38"/>
      <c r="D34" s="38"/>
      <c r="E34" s="38"/>
      <c r="F34" s="38"/>
      <c r="G34" s="39"/>
    </row>
    <row r="35">
      <c r="B35" s="57"/>
      <c r="C35" s="28"/>
      <c r="D35" s="28"/>
      <c r="E35" s="28"/>
      <c r="F35" s="28"/>
      <c r="G35" s="29"/>
    </row>
    <row r="37">
      <c r="B37" s="8" t="s">
        <v>30</v>
      </c>
      <c r="C37" s="9"/>
      <c r="D37" s="9"/>
      <c r="E37" s="9"/>
      <c r="F37" s="9"/>
      <c r="G37" s="10"/>
    </row>
    <row r="38">
      <c r="B38" s="58"/>
      <c r="C38" s="38"/>
      <c r="D38" s="38"/>
      <c r="E38" s="38"/>
      <c r="F38" s="38"/>
      <c r="G38" s="39"/>
    </row>
    <row r="39">
      <c r="B39" s="57"/>
      <c r="C39" s="28"/>
      <c r="D39" s="28"/>
      <c r="E39" s="28"/>
      <c r="F39" s="28"/>
      <c r="G39" s="29"/>
    </row>
    <row r="41">
      <c r="B41" s="37" t="s">
        <v>44</v>
      </c>
      <c r="C41" s="38"/>
      <c r="D41" s="38"/>
      <c r="E41" s="38"/>
      <c r="F41" s="38"/>
      <c r="G41" s="39"/>
    </row>
    <row r="42">
      <c r="B42" s="60" t="s">
        <v>45</v>
      </c>
      <c r="C42" s="61"/>
      <c r="D42" s="61"/>
      <c r="E42" s="61"/>
      <c r="F42" s="61"/>
      <c r="G42" s="62"/>
    </row>
    <row r="43">
      <c r="B43" s="63"/>
      <c r="C43" s="64"/>
      <c r="D43" s="64"/>
      <c r="E43" s="64"/>
      <c r="F43" s="64"/>
      <c r="G43" s="65"/>
    </row>
    <row r="44">
      <c r="B44" s="44" t="str">
        <f>CONCATENATE("El Estudiante",B46,C46,E46,F46)</f>
        <v>El Estudiante....</v>
      </c>
      <c r="C44" s="45"/>
      <c r="D44" s="45"/>
      <c r="E44" s="45"/>
      <c r="F44" s="45"/>
      <c r="G44" s="46"/>
    </row>
    <row r="45">
      <c r="B45" s="47" t="s">
        <v>36</v>
      </c>
      <c r="C45" s="48" t="s">
        <v>37</v>
      </c>
      <c r="D45" s="46"/>
      <c r="E45" s="49" t="s">
        <v>38</v>
      </c>
      <c r="F45" s="50" t="s">
        <v>39</v>
      </c>
      <c r="G45" s="46"/>
    </row>
    <row r="46" ht="54.75" customHeight="1">
      <c r="A46" s="19"/>
      <c r="B46" s="51" t="s">
        <v>40</v>
      </c>
      <c r="C46" s="52"/>
      <c r="D46" s="46"/>
      <c r="E46" s="53"/>
      <c r="F46" s="54"/>
      <c r="G46" s="46"/>
      <c r="H46" s="19"/>
      <c r="I46" s="19"/>
      <c r="J46" s="19"/>
      <c r="K46" s="19"/>
      <c r="L46" s="19"/>
      <c r="M46" s="19"/>
      <c r="N46" s="19"/>
      <c r="O46" s="19"/>
      <c r="P46" s="19"/>
      <c r="Q46" s="19"/>
      <c r="R46" s="19"/>
      <c r="S46" s="19"/>
      <c r="T46" s="19"/>
      <c r="U46" s="19"/>
      <c r="V46" s="19"/>
      <c r="W46" s="19"/>
    </row>
    <row r="47">
      <c r="B47" s="55" t="s">
        <v>41</v>
      </c>
    </row>
  </sheetData>
  <mergeCells count="27">
    <mergeCell ref="B1:G1"/>
    <mergeCell ref="C3:G3"/>
    <mergeCell ref="C4:G4"/>
    <mergeCell ref="C5:G5"/>
    <mergeCell ref="B8:G8"/>
    <mergeCell ref="B12:G12"/>
    <mergeCell ref="B13:G14"/>
    <mergeCell ref="B16:G16"/>
    <mergeCell ref="B17:G18"/>
    <mergeCell ref="B21:G21"/>
    <mergeCell ref="E23:G23"/>
    <mergeCell ref="E24:G24"/>
    <mergeCell ref="E25:G25"/>
    <mergeCell ref="E26:G26"/>
    <mergeCell ref="B42:G43"/>
    <mergeCell ref="B44:G44"/>
    <mergeCell ref="C45:D45"/>
    <mergeCell ref="F45:G45"/>
    <mergeCell ref="C46:D46"/>
    <mergeCell ref="F46:G46"/>
    <mergeCell ref="E27:G27"/>
    <mergeCell ref="B31:G31"/>
    <mergeCell ref="B33:G33"/>
    <mergeCell ref="B34:G35"/>
    <mergeCell ref="B37:G37"/>
    <mergeCell ref="B38:G39"/>
    <mergeCell ref="B41:G41"/>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25"/>
    <col customWidth="1" min="2" max="2" width="21.5"/>
    <col customWidth="1" min="3" max="3" width="13.38"/>
    <col customWidth="1" min="7" max="7" width="16.88"/>
  </cols>
  <sheetData>
    <row r="1">
      <c r="B1" s="1" t="s">
        <v>0</v>
      </c>
    </row>
    <row r="2">
      <c r="B2" s="2"/>
    </row>
    <row r="3">
      <c r="B3" s="2" t="s">
        <v>1</v>
      </c>
      <c r="C3" s="3" t="s">
        <v>2</v>
      </c>
    </row>
    <row r="4">
      <c r="B4" s="2" t="s">
        <v>3</v>
      </c>
      <c r="C4" s="4">
        <f>IFERROR(__xludf.DUMMYFUNCTION("INDEX(
  QUERY(
    IMPORTRANGE(
      ""https://docs.google.com/spreadsheets/d/1rNNjJXEbbFk-tp1oCnmvsGUasYrK05YsXLDjblwpnKw/edit?gid=0#gid=0"",
      ""BD!A:J""
    ),
    ""select Col2 where Col3 = '"" &amp; C3 &amp; ""' limit 1"",
    1
  ),
  2
)
"),781.0)</f>
        <v>781</v>
      </c>
    </row>
    <row r="5">
      <c r="B5" s="2" t="s">
        <v>4</v>
      </c>
      <c r="C5" s="3" t="s">
        <v>46</v>
      </c>
    </row>
    <row r="7">
      <c r="B7" s="5" t="s">
        <v>5</v>
      </c>
    </row>
    <row r="8">
      <c r="B8" s="6" t="s">
        <v>6</v>
      </c>
    </row>
    <row r="10">
      <c r="B10" s="7" t="s">
        <v>7</v>
      </c>
    </row>
    <row r="12">
      <c r="B12" s="8" t="s">
        <v>8</v>
      </c>
      <c r="C12" s="9"/>
      <c r="D12" s="9"/>
      <c r="E12" s="9"/>
      <c r="F12" s="9"/>
      <c r="G12" s="10"/>
    </row>
    <row r="13">
      <c r="B13" s="11" t="s">
        <v>9</v>
      </c>
      <c r="G13" s="12"/>
    </row>
    <row r="14" ht="29.25" customHeight="1">
      <c r="B14" s="13"/>
      <c r="C14" s="14"/>
      <c r="D14" s="14"/>
      <c r="E14" s="14"/>
      <c r="F14" s="14"/>
      <c r="G14" s="15"/>
    </row>
    <row r="16" ht="33.0" customHeight="1">
      <c r="B16" s="8" t="s">
        <v>10</v>
      </c>
      <c r="C16" s="9"/>
      <c r="D16" s="9"/>
      <c r="E16" s="9"/>
      <c r="F16" s="9"/>
      <c r="G16" s="10"/>
    </row>
    <row r="17">
      <c r="B17" s="11" t="s">
        <v>11</v>
      </c>
      <c r="G17" s="12"/>
    </row>
    <row r="18">
      <c r="B18" s="16"/>
      <c r="C18" s="17"/>
      <c r="D18" s="17"/>
      <c r="E18" s="17"/>
      <c r="F18" s="17"/>
      <c r="G18" s="18"/>
    </row>
    <row r="20">
      <c r="B20" s="7" t="s">
        <v>12</v>
      </c>
    </row>
    <row r="21">
      <c r="B21" s="6" t="s">
        <v>13</v>
      </c>
    </row>
    <row r="22">
      <c r="A22" s="19"/>
      <c r="B22" s="20"/>
      <c r="C22" s="20"/>
      <c r="D22" s="20"/>
      <c r="E22" s="20"/>
      <c r="F22" s="20"/>
      <c r="G22" s="20"/>
      <c r="H22" s="19"/>
      <c r="I22" s="19"/>
      <c r="J22" s="19"/>
      <c r="K22" s="19"/>
      <c r="L22" s="19"/>
      <c r="M22" s="19"/>
      <c r="N22" s="19"/>
      <c r="O22" s="19"/>
      <c r="P22" s="19"/>
      <c r="Q22" s="19"/>
      <c r="R22" s="19"/>
      <c r="S22" s="19"/>
      <c r="T22" s="19"/>
      <c r="U22" s="19"/>
      <c r="V22" s="19"/>
      <c r="W22" s="19"/>
    </row>
    <row r="23">
      <c r="A23" s="19"/>
      <c r="B23" s="21" t="s">
        <v>14</v>
      </c>
      <c r="C23" s="21" t="s">
        <v>15</v>
      </c>
      <c r="D23" s="21" t="s">
        <v>16</v>
      </c>
      <c r="E23" s="22" t="s">
        <v>17</v>
      </c>
      <c r="F23" s="9"/>
      <c r="G23" s="10"/>
      <c r="H23" s="19"/>
      <c r="I23" s="19"/>
      <c r="J23" s="19"/>
      <c r="K23" s="19"/>
      <c r="L23" s="19"/>
      <c r="M23" s="19"/>
      <c r="N23" s="19"/>
      <c r="O23" s="19"/>
      <c r="P23" s="19"/>
      <c r="Q23" s="19"/>
      <c r="R23" s="19"/>
      <c r="S23" s="19"/>
      <c r="T23" s="19"/>
      <c r="U23" s="19"/>
      <c r="V23" s="19"/>
      <c r="W23" s="19"/>
    </row>
    <row r="24">
      <c r="B24" s="23" t="s">
        <v>18</v>
      </c>
      <c r="C24" s="24">
        <v>10.0</v>
      </c>
      <c r="D24" s="24">
        <v>5.0</v>
      </c>
      <c r="E24" s="25" t="s">
        <v>19</v>
      </c>
      <c r="F24" s="9"/>
      <c r="G24" s="10"/>
    </row>
    <row r="25" ht="45.0" customHeight="1">
      <c r="B25" s="26" t="s">
        <v>20</v>
      </c>
      <c r="C25" s="24">
        <v>90.0</v>
      </c>
      <c r="D25" s="24">
        <v>2.0</v>
      </c>
      <c r="E25" s="27" t="s">
        <v>21</v>
      </c>
      <c r="F25" s="28"/>
      <c r="G25" s="29"/>
    </row>
    <row r="26" ht="36.75" customHeight="1">
      <c r="B26" s="26" t="s">
        <v>22</v>
      </c>
      <c r="C26" s="24">
        <v>0.0</v>
      </c>
      <c r="D26" s="30"/>
      <c r="E26" s="25" t="s">
        <v>23</v>
      </c>
      <c r="F26" s="9"/>
      <c r="G26" s="10"/>
    </row>
    <row r="27" ht="36.0" customHeight="1">
      <c r="B27" s="31" t="s">
        <v>24</v>
      </c>
      <c r="C27" s="32">
        <v>0.0</v>
      </c>
      <c r="D27" s="30"/>
      <c r="E27" s="33"/>
      <c r="F27" s="9"/>
      <c r="G27" s="10"/>
    </row>
    <row r="28">
      <c r="B28" s="34" t="s">
        <v>25</v>
      </c>
      <c r="C28" s="35">
        <f>SUM(C24:C27)</f>
        <v>100</v>
      </c>
    </row>
    <row r="29">
      <c r="B29" s="2"/>
    </row>
    <row r="30">
      <c r="B30" s="36" t="s">
        <v>26</v>
      </c>
    </row>
    <row r="31">
      <c r="B31" s="6" t="s">
        <v>27</v>
      </c>
    </row>
    <row r="33">
      <c r="B33" s="8" t="s">
        <v>28</v>
      </c>
      <c r="C33" s="9"/>
      <c r="D33" s="9"/>
      <c r="E33" s="9"/>
      <c r="F33" s="9"/>
      <c r="G33" s="10"/>
    </row>
    <row r="34">
      <c r="B34" s="11" t="s">
        <v>29</v>
      </c>
      <c r="G34" s="12"/>
    </row>
    <row r="35">
      <c r="B35" s="16"/>
      <c r="C35" s="17"/>
      <c r="D35" s="17"/>
      <c r="E35" s="17"/>
      <c r="F35" s="17"/>
      <c r="G35" s="18"/>
    </row>
    <row r="37">
      <c r="B37" s="8" t="s">
        <v>30</v>
      </c>
      <c r="C37" s="9"/>
      <c r="D37" s="9"/>
      <c r="E37" s="9"/>
      <c r="F37" s="9"/>
      <c r="G37" s="10"/>
    </row>
    <row r="38">
      <c r="B38" s="11" t="s">
        <v>47</v>
      </c>
      <c r="G38" s="12"/>
    </row>
    <row r="39">
      <c r="B39" s="27" t="s">
        <v>48</v>
      </c>
      <c r="C39" s="28"/>
      <c r="D39" s="28"/>
      <c r="E39" s="28"/>
      <c r="F39" s="28"/>
      <c r="G39" s="29"/>
    </row>
    <row r="40">
      <c r="B40" s="11" t="s">
        <v>49</v>
      </c>
    </row>
    <row r="43">
      <c r="B43" s="37" t="s">
        <v>34</v>
      </c>
      <c r="C43" s="38"/>
      <c r="D43" s="38"/>
      <c r="E43" s="38"/>
      <c r="F43" s="38"/>
      <c r="G43" s="39"/>
    </row>
    <row r="44">
      <c r="B44" s="11" t="s">
        <v>35</v>
      </c>
      <c r="G44" s="40"/>
    </row>
    <row r="45">
      <c r="B45" s="41"/>
      <c r="C45" s="42"/>
      <c r="D45" s="42"/>
      <c r="E45" s="42"/>
      <c r="F45" s="42"/>
      <c r="G45" s="43"/>
    </row>
    <row r="46">
      <c r="B46" s="44"/>
      <c r="C46" s="45"/>
      <c r="D46" s="45"/>
      <c r="E46" s="45"/>
      <c r="F46" s="45"/>
      <c r="G46" s="46"/>
    </row>
    <row r="47">
      <c r="B47" s="47" t="s">
        <v>36</v>
      </c>
      <c r="C47" s="48" t="s">
        <v>37</v>
      </c>
      <c r="D47" s="46"/>
      <c r="E47" s="49" t="s">
        <v>38</v>
      </c>
      <c r="F47" s="50" t="s">
        <v>39</v>
      </c>
      <c r="G47" s="46"/>
    </row>
    <row r="48" ht="54.75" customHeight="1">
      <c r="A48" s="19"/>
      <c r="B48" s="51" t="s">
        <v>40</v>
      </c>
      <c r="C48" s="52"/>
      <c r="D48" s="46"/>
      <c r="E48" s="53"/>
      <c r="F48" s="54"/>
      <c r="G48" s="46"/>
      <c r="H48" s="19"/>
      <c r="I48" s="19"/>
      <c r="J48" s="19"/>
      <c r="K48" s="19"/>
      <c r="L48" s="19"/>
      <c r="M48" s="19"/>
      <c r="N48" s="19"/>
      <c r="O48" s="19"/>
      <c r="P48" s="19"/>
      <c r="Q48" s="19"/>
      <c r="R48" s="19"/>
      <c r="S48" s="19"/>
      <c r="T48" s="19"/>
      <c r="U48" s="19"/>
      <c r="V48" s="19"/>
      <c r="W48" s="19"/>
    </row>
    <row r="49">
      <c r="B49" s="55" t="s">
        <v>41</v>
      </c>
    </row>
  </sheetData>
  <mergeCells count="29">
    <mergeCell ref="B1:G1"/>
    <mergeCell ref="C3:G3"/>
    <mergeCell ref="C4:G4"/>
    <mergeCell ref="C5:G5"/>
    <mergeCell ref="B8:G8"/>
    <mergeCell ref="B12:G12"/>
    <mergeCell ref="B13:G13"/>
    <mergeCell ref="B16:G16"/>
    <mergeCell ref="B17:G17"/>
    <mergeCell ref="B21:G21"/>
    <mergeCell ref="E23:G23"/>
    <mergeCell ref="E24:G24"/>
    <mergeCell ref="E25:G25"/>
    <mergeCell ref="E26:G26"/>
    <mergeCell ref="B40:G40"/>
    <mergeCell ref="B43:G43"/>
    <mergeCell ref="B44:G44"/>
    <mergeCell ref="B46:G46"/>
    <mergeCell ref="C47:D47"/>
    <mergeCell ref="F47:G47"/>
    <mergeCell ref="C48:D48"/>
    <mergeCell ref="F48:G48"/>
    <mergeCell ref="E27:G27"/>
    <mergeCell ref="B31:G31"/>
    <mergeCell ref="B33:G33"/>
    <mergeCell ref="B34:G34"/>
    <mergeCell ref="B37:G37"/>
    <mergeCell ref="B38:G38"/>
    <mergeCell ref="B39:G39"/>
  </mergeCells>
  <printOptions gridLines="1" horizontalCentered="1"/>
  <pageMargins bottom="0.75" footer="0.0" header="0.0" left="0.7" right="0.7" top="0.75"/>
  <pageSetup fitToHeight="0" paperSize="9" cellComments="atEnd" orientation="portrait" pageOrder="overThenDown"/>
  <drawing r:id="rId1"/>
</worksheet>
</file>