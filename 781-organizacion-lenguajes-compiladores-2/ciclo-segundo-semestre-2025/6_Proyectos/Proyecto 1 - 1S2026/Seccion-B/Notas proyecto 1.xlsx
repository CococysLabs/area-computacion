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 BASE" sheetId="1" r:id="rId5"/>
    <sheet state="visible" name="200819244" sheetId="2" r:id="rId6"/>
    <sheet state="visible" name="201610975" sheetId="3" r:id="rId7"/>
    <sheet state="visible" name="201708357" sheetId="4" r:id="rId8"/>
    <sheet state="visible" name="201708993" sheetId="5" r:id="rId9"/>
    <sheet state="visible" name="201801650" sheetId="6" r:id="rId10"/>
    <sheet state="visible" name="201901385" sheetId="7" r:id="rId11"/>
    <sheet state="visible" name="201901803" sheetId="8" r:id="rId12"/>
    <sheet state="visible" name="202000576" sheetId="9" r:id="rId13"/>
    <sheet state="visible" name="202000812" sheetId="10" r:id="rId14"/>
    <sheet state="visible" name="202006681" sheetId="11" r:id="rId15"/>
    <sheet state="visible" name="202010367" sheetId="12" r:id="rId16"/>
    <sheet state="visible" name="202100054" sheetId="13" r:id="rId17"/>
    <sheet state="visible" name="202100147" sheetId="14" r:id="rId18"/>
    <sheet state="visible" name="202100167" sheetId="15" r:id="rId19"/>
    <sheet state="visible" name="202100171" sheetId="16" r:id="rId20"/>
    <sheet state="visible" name="202100305" sheetId="17" r:id="rId21"/>
    <sheet state="visible" name="202103198" sheetId="18" r:id="rId22"/>
    <sheet state="visible" name="202105095" sheetId="19" r:id="rId23"/>
    <sheet state="visible" name="202105668" sheetId="20" r:id="rId24"/>
    <sheet state="visible" name="202106208" sheetId="21" r:id="rId25"/>
    <sheet state="visible" name="202110378" sheetId="22" r:id="rId26"/>
    <sheet state="visible" name="202111530" sheetId="23" r:id="rId27"/>
    <sheet state="visible" name="202112109" sheetId="24" r:id="rId28"/>
    <sheet state="visible" name="202112674" sheetId="25" r:id="rId29"/>
    <sheet state="visible" name="202200044" sheetId="26" r:id="rId30"/>
    <sheet state="visible" name="202200141" sheetId="27" r:id="rId31"/>
    <sheet state="visible" name="202200198" sheetId="28" r:id="rId32"/>
    <sheet state="visible" name="202200236" sheetId="29" r:id="rId33"/>
    <sheet state="visible" name="202200338" sheetId="30" r:id="rId34"/>
    <sheet state="visible" name="202200341" sheetId="31" r:id="rId35"/>
    <sheet state="visible" name="202200363" sheetId="32" r:id="rId36"/>
    <sheet state="visible" name="202200382" sheetId="33" r:id="rId37"/>
    <sheet state="visible" name="202201185" sheetId="34" r:id="rId38"/>
    <sheet state="visible" name="202201889" sheetId="35" r:id="rId39"/>
    <sheet state="visible" name="202202331" sheetId="36" r:id="rId40"/>
    <sheet state="visible" name="202202728" sheetId="37" r:id="rId41"/>
    <sheet state="visible" name="202210483" sheetId="38" r:id="rId42"/>
    <sheet state="visible" name="202211058" sheetId="39" r:id="rId43"/>
    <sheet state="visible" name="202212426" sheetId="40" r:id="rId44"/>
    <sheet state="visible" name="202240677" sheetId="41" r:id="rId45"/>
    <sheet state="visible" name="202300378" sheetId="42" r:id="rId46"/>
    <sheet state="visible" name="202300383" sheetId="43" r:id="rId47"/>
    <sheet state="visible" name="202300465" sheetId="44" r:id="rId48"/>
    <sheet state="visible" name="202300484" sheetId="45" r:id="rId49"/>
    <sheet state="visible" name="202300500" sheetId="46" r:id="rId50"/>
    <sheet state="visible" name="202300540" sheetId="47" r:id="rId51"/>
    <sheet state="visible" name="202300559" sheetId="48" r:id="rId52"/>
    <sheet state="visible" name="202300580" sheetId="49" r:id="rId53"/>
    <sheet state="visible" name="202300611" sheetId="50" r:id="rId54"/>
    <sheet state="visible" name="202300659" sheetId="51" r:id="rId55"/>
    <sheet state="visible" name="202300669" sheetId="52" r:id="rId56"/>
    <sheet state="visible" name="202300687" sheetId="53" r:id="rId57"/>
    <sheet state="visible" name="202300694" sheetId="54" r:id="rId58"/>
    <sheet state="visible" name="202300733" sheetId="55" r:id="rId59"/>
    <sheet state="visible" name="202300756" sheetId="56" r:id="rId60"/>
    <sheet state="visible" name="202300807" sheetId="57" r:id="rId61"/>
    <sheet state="visible" name="202302035" sheetId="58" r:id="rId62"/>
    <sheet state="visible" name="202302232" sheetId="59" r:id="rId63"/>
    <sheet state="visible" name="202302855" sheetId="60" r:id="rId64"/>
    <sheet state="visible" name="202303204" sheetId="61" r:id="rId65"/>
    <sheet state="visible" name="202305456" sheetId="62" r:id="rId66"/>
    <sheet state="visible" name="202307378" sheetId="63" r:id="rId67"/>
    <sheet state="visible" name="202307499" sheetId="64" r:id="rId68"/>
    <sheet state="visible" name="202307506" sheetId="65" r:id="rId69"/>
    <sheet state="visible" name="202307727" sheetId="66" r:id="rId70"/>
    <sheet state="visible" name="202307775" sheetId="67" r:id="rId71"/>
    <sheet state="visible" name="202308204" sheetId="68" r:id="rId72"/>
    <sheet state="visible" name="202308940" sheetId="69" r:id="rId73"/>
    <sheet state="visible" name="202400388" sheetId="70" r:id="rId74"/>
  </sheets>
  <definedNames/>
  <calcPr/>
</workbook>
</file>

<file path=xl/sharedStrings.xml><?xml version="1.0" encoding="utf-8"?>
<sst xmlns="http://schemas.openxmlformats.org/spreadsheetml/2006/main" count="8071" uniqueCount="716">
  <si>
    <t>FACULTAD DE INGENIERÍA</t>
  </si>
  <si>
    <t>ESCUELA DE CIENCIAS Y SISTEMAS</t>
  </si>
  <si>
    <t>ORGANIZACIÓN DE LENGUAJES Y COMPILADORES 2</t>
  </si>
  <si>
    <t>SEGUNDO SEMESTRE 2025</t>
  </si>
  <si>
    <t>Ing. Bayron López, Ing. Luis Espino e Ing. Edgar Saban</t>
  </si>
  <si>
    <t>Tutores: Diego Cali, Rubén Ralda y Omar Vides</t>
  </si>
  <si>
    <t>CALIFICACIÓN PRESENCIAL</t>
  </si>
  <si>
    <t xml:space="preserve">Fecha de calificación: </t>
  </si>
  <si>
    <t xml:space="preserve">          /           /          </t>
  </si>
  <si>
    <t>Carnet:</t>
  </si>
  <si>
    <t xml:space="preserve">                                     </t>
  </si>
  <si>
    <t>Consideraciones para derecho a calificación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</si>
  <si>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</si>
  <si>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</si>
  <si>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</si>
  <si>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</si>
  <si>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</si>
  <si>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</si>
  <si>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</si>
  <si>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</si>
  <si>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Lista de cotejo modificación proyecto 1</t>
  </si>
  <si>
    <t>El estudiante debe realizar una modificación en su código previamente desarrollado. Esta modificación tiene como objetivo verificar su capacidad de adaptar y extender funcionalidades, aplicando los conceptos vistos en clase.
Para garantizar la autoría individual, cada estudiante contará con:
- 2 oportunidades para realizar la modificación.
- Un tiempo límite de 15 minutos por cada oportunidad.
- Se usarán un máximo de dos modificaciones diferentes para el grupo a evaluar, distribuidas de la siguiente manera:
    - Primer Intento: Se aplica la misma modificación a todos los estudiantes.
    - Segundo Intento: Si un estudiante requiere la segunda oportunidad, se le asigna una nueva modificación, que será la misma para todos los estudiantes que necesiten este segundo intento.</t>
  </si>
  <si>
    <t>Oportunidad 1</t>
  </si>
  <si>
    <t>Criterio</t>
  </si>
  <si>
    <t>Estado/Resultado</t>
  </si>
  <si>
    <t>1. El estudiante completo el cambio en el tiempo estipulado</t>
  </si>
  <si>
    <t>2. Tiempo en que se llevo a cabo la modificación</t>
  </si>
  <si>
    <t>3.  Número de modificación</t>
  </si>
  <si>
    <t>4. El resultado es el esperado</t>
  </si>
  <si>
    <t>5. El estudiante subió los cambios a su rama</t>
  </si>
  <si>
    <t>Oportunidad 2</t>
  </si>
  <si>
    <t>_____________________                                                      ________________________</t>
  </si>
  <si>
    <t>Firma del Alumno                                                                   Firma del tutor académico</t>
  </si>
  <si>
    <t>Hoja de Calificación Proyecto 1</t>
  </si>
  <si>
    <t>Puntos Máximos</t>
  </si>
  <si>
    <t>Puntuación Obtenida</t>
  </si>
  <si>
    <t>Realizado (estudiante)</t>
  </si>
  <si>
    <t>Observaciones</t>
  </si>
  <si>
    <t>1 Funcionalidades Básicas</t>
  </si>
  <si>
    <t>1.1 Declaración larga de variables (int32, float32, bool, rune, string) 0.2 puntos c/u</t>
  </si>
  <si>
    <t>1.2 Asignación de variables (int32, float32, bool, rune, string) 0.2 puntos c/u</t>
  </si>
  <si>
    <t>1.3 Formato de identificadores (no iniciar con caracteres especiales, case sensitive y palabras reservadas) 0.1 puntos c/u</t>
  </si>
  <si>
    <t>1.4 Declaración corta de variables (int32, float32, bool, rune, string) 0.4 puntos c/u</t>
  </si>
  <si>
    <t>1.5 Declaración larga sin inicializar (int32, float32, bool, rune, string) 0.2 puntos c/u</t>
  </si>
  <si>
    <t>1.6 Declaración múltiple de variables (larga y corta)</t>
  </si>
  <si>
    <t xml:space="preserve">1.7 Declaración de constantes </t>
  </si>
  <si>
    <t>1.8 Manejo de nil</t>
  </si>
  <si>
    <t>1.9 Comentarios de una línea</t>
  </si>
  <si>
    <t>1.10 Comentarios multilínea</t>
  </si>
  <si>
    <t>1.11 Operaciones Aritméticas (0.4pts c/u)</t>
  </si>
  <si>
    <t>1.12 Operaciones relacionales (0.4pts c/u)</t>
  </si>
  <si>
    <t>1.13 Operaciones lógicas (1pt c/u)</t>
  </si>
  <si>
    <t>1.14 Restricción de corto circuito</t>
  </si>
  <si>
    <t>1.15 Operadores de asignación (0.4pts c/u)</t>
  </si>
  <si>
    <t>2 Funcionalidades
Intermedias</t>
  </si>
  <si>
    <t>2.2 if</t>
  </si>
  <si>
    <t>2.3 if else</t>
  </si>
  <si>
    <t>2.4 switch/case/default</t>
  </si>
  <si>
    <t>2.5 for clásico</t>
  </si>
  <si>
    <t>2.6 for condicional</t>
  </si>
  <si>
    <t>2.7 for infinito</t>
  </si>
  <si>
    <t>2.8 break</t>
  </si>
  <si>
    <t>2.9 continue</t>
  </si>
  <si>
    <t>3 Funciones</t>
  </si>
  <si>
    <t>3.1 Función no recursiva
sin parámetros (imprimirArbol)</t>
  </si>
  <si>
    <t>3.2 Función con parámetros no recursiva (calcularVolumenPiramide)</t>
  </si>
  <si>
    <t>3.3 funciones por referencia (ordenamientoSeleccion e intercambioValores - 1.5 pts c/u)</t>
  </si>
  <si>
    <t>3.4 función no recursiva múltiple retorno (division)</t>
  </si>
  <si>
    <t>3.4 función recursiva con un retorno (potencia)</t>
  </si>
  <si>
    <t>3.5 función recursiva con múltiple retorno (Función Algorítmo de Euclides)</t>
  </si>
  <si>
    <t>3.6 función main()</t>
  </si>
  <si>
    <t>3.7 hoisting</t>
  </si>
  <si>
    <t>4 Funciones embebidas</t>
  </si>
  <si>
    <t>4.1 fmt.Println()</t>
  </si>
  <si>
    <t>4.2 len()</t>
  </si>
  <si>
    <t>4.3 now()</t>
  </si>
  <si>
    <t>4.4 substr()</t>
  </si>
  <si>
    <t>4.5 typeOf()</t>
  </si>
  <si>
    <t>5 Arreglos</t>
  </si>
  <si>
    <t>5.1 Declaración no inicializada e inicializada (0.5pts c/u)</t>
  </si>
  <si>
    <t>5.2 Arreglos de tipos estáticos (0.2pts c/u)</t>
  </si>
  <si>
    <t>5.3 Acceso y Modificación de elementos (0.5pts c/u)</t>
  </si>
  <si>
    <t>5.4 Declaración multidimensional inicializada y no inicializada (0.5pts c/u)</t>
  </si>
  <si>
    <t>5.5 Acceso y Modificación de elementos en arreglo multidimensional (0.5pts c/u)</t>
  </si>
  <si>
    <t>5.6 Función de Ídice de inestabilidad por fila (Matriz)</t>
  </si>
  <si>
    <t>5.7 Función de regla de Cramer (Matriz + Arreglo)</t>
  </si>
  <si>
    <t>5.8 Función Promedio de Capas (Cubo)</t>
  </si>
  <si>
    <t>5.9 Función Softmax (Retorno de Matriz)</t>
  </si>
  <si>
    <t>6 GUI</t>
  </si>
  <si>
    <t>6.1 Barra de acciones</t>
  </si>
  <si>
    <t>6.2 Panel de edición de código</t>
  </si>
  <si>
    <t>6.3 Consola de salida</t>
  </si>
  <si>
    <t>6.4 Panel de reportes</t>
  </si>
  <si>
    <t>7. Reportes</t>
  </si>
  <si>
    <t>7.1 Tabla de símbolos</t>
  </si>
  <si>
    <t>7.2 Reporte de Errores (0.2pts por cada tipo de error)</t>
  </si>
  <si>
    <t>8 Documentación</t>
  </si>
  <si>
    <t>8.1 Manual de Usuario</t>
  </si>
  <si>
    <t>8.2 Manual Técnico</t>
  </si>
  <si>
    <t>Total</t>
  </si>
  <si>
    <t>Estoy conforme con la nota obtenida (Sí/No):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</si>
  <si>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</si>
  <si>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</si>
  <si>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</si>
  <si>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</si>
  <si>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</si>
  <si>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</si>
  <si>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</si>
  <si>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</si>
  <si>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</si>
  <si>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</si>
  <si>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</si>
  <si>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</si>
  <si>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</si>
  <si>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</si>
  <si>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</si>
  <si>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</si>
  <si>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No</t>
  </si>
  <si>
    <t>-</t>
  </si>
  <si>
    <t>Mod 12</t>
  </si>
  <si>
    <t>Sí</t>
  </si>
  <si>
    <t>24 mins 56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</si>
  <si>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</si>
  <si>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</si>
  <si>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</si>
  <si>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</si>
  <si>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</si>
  <si>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</si>
  <si>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</si>
  <si>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</si>
  <si>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20 mins 31 segundos</t>
  </si>
  <si>
    <t>Mod 06</t>
  </si>
  <si>
    <t>25 mins</t>
  </si>
  <si>
    <t>Mod 16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</si>
  <si>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</si>
  <si>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</si>
  <si>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</si>
  <si>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</si>
  <si>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</si>
  <si>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</si>
  <si>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</si>
  <si>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</si>
  <si>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16 mins 6 segundos</t>
  </si>
  <si>
    <t>Mod 04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</si>
  <si>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</si>
  <si>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</si>
  <si>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</si>
  <si>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</si>
  <si>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</si>
  <si>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</si>
  <si>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</si>
  <si>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</si>
  <si>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Mod 01</t>
  </si>
  <si>
    <t>Mod 14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</si>
  <si>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</si>
  <si>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</si>
  <si>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</si>
  <si>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</si>
  <si>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</si>
  <si>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</si>
  <si>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</si>
  <si>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</si>
  <si>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22 mins 13 segundos</t>
  </si>
  <si>
    <t>Mod 02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</si>
  <si>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</si>
  <si>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</si>
  <si>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</si>
  <si>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</si>
  <si>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</si>
  <si>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</si>
  <si>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</si>
  <si>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</si>
  <si>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</si>
  <si>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</si>
  <si>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</si>
  <si>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</si>
  <si>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</si>
  <si>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</si>
  <si>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</si>
  <si>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</si>
  <si>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Mod 09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</si>
  <si>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</si>
  <si>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</si>
  <si>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</si>
  <si>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</si>
  <si>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</si>
  <si>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</si>
  <si>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</si>
  <si>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</si>
  <si>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26 mins 52 segundos</t>
  </si>
  <si>
    <t>Mod 05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</si>
  <si>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</si>
  <si>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</si>
  <si>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</si>
  <si>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</si>
  <si>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</si>
  <si>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</si>
  <si>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</si>
  <si>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</si>
  <si>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6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</si>
  <si>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</si>
  <si>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</si>
  <si>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</si>
  <si>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</si>
  <si>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</si>
  <si>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</si>
  <si>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</si>
  <si>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</si>
  <si>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16 mins 12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</si>
  <si>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</si>
  <si>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</si>
  <si>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</si>
  <si>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</si>
  <si>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</si>
  <si>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</si>
  <si>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</si>
  <si>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</si>
  <si>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</si>
  <si>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</si>
  <si>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</si>
  <si>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</si>
  <si>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</si>
  <si>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</si>
  <si>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</si>
  <si>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</si>
  <si>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23 mins 10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</si>
  <si>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</si>
  <si>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</si>
  <si>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</si>
  <si>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</si>
  <si>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</si>
  <si>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</si>
  <si>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</si>
  <si>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</si>
  <si>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</si>
  <si>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</si>
  <si>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</si>
  <si>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</si>
  <si>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</si>
  <si>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</si>
  <si>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</si>
  <si>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</si>
  <si>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52 segundos</t>
  </si>
  <si>
    <t>Mod 11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</si>
  <si>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</si>
  <si>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</si>
  <si>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</si>
  <si>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</si>
  <si>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</si>
  <si>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</si>
  <si>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</si>
  <si>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</si>
  <si>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</si>
  <si>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</si>
  <si>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</si>
  <si>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</si>
  <si>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</si>
  <si>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</si>
  <si>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</si>
  <si>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</si>
  <si>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56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</si>
  <si>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</si>
  <si>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</si>
  <si>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</si>
  <si>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</si>
  <si>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</si>
  <si>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</si>
  <si>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</si>
  <si>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</si>
  <si>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25 mins 2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</si>
  <si>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</si>
  <si>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</si>
  <si>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</si>
  <si>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</si>
  <si>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</si>
  <si>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</si>
  <si>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</si>
  <si>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</si>
  <si>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24 mins 43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</si>
  <si>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</si>
  <si>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</si>
  <si>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</si>
  <si>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</si>
  <si>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</si>
  <si>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</si>
  <si>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</si>
  <si>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</si>
  <si>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16 mins 57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</si>
  <si>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</si>
  <si>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</si>
  <si>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</si>
  <si>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</si>
  <si>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</si>
  <si>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</si>
  <si>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</si>
  <si>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</si>
  <si>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</si>
  <si>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</si>
  <si>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</si>
  <si>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</si>
  <si>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</si>
  <si>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</si>
  <si>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</si>
  <si>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</si>
  <si>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24 mins 20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</si>
  <si>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</si>
  <si>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</si>
  <si>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</si>
  <si>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</si>
  <si>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</si>
  <si>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</si>
  <si>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</si>
  <si>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</si>
  <si>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24 mins 30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</si>
  <si>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</si>
  <si>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</si>
  <si>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</si>
  <si>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</si>
  <si>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</si>
  <si>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</si>
  <si>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</si>
  <si>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</si>
  <si>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</si>
  <si>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</si>
  <si>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</si>
  <si>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</si>
  <si>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</si>
  <si>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</si>
  <si>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</si>
  <si>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</si>
  <si>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17 mins 29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</si>
  <si>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</si>
  <si>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</si>
  <si>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</si>
  <si>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</si>
  <si>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</si>
  <si>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</si>
  <si>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</si>
  <si>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</si>
  <si>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59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</si>
  <si>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</si>
  <si>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</si>
  <si>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</si>
  <si>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</si>
  <si>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</si>
  <si>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</si>
  <si>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</si>
  <si>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</si>
  <si>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</si>
  <si>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</si>
  <si>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</si>
  <si>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</si>
  <si>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</si>
  <si>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</si>
  <si>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</si>
  <si>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</si>
  <si>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18 mins 9 segundos</t>
  </si>
  <si>
    <t>Mod 07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</si>
  <si>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</si>
  <si>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</si>
  <si>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</si>
  <si>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</si>
  <si>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</si>
  <si>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</si>
  <si>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</si>
  <si>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</si>
  <si>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18 mins 21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</si>
  <si>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</si>
  <si>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</si>
  <si>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</si>
  <si>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</si>
  <si>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</si>
  <si>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</si>
  <si>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</si>
  <si>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</si>
  <si>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12 mins 59 segundos</t>
  </si>
  <si>
    <t>Mod 10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</si>
  <si>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</si>
  <si>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</si>
  <si>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</si>
  <si>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</si>
  <si>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</si>
  <si>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</si>
  <si>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</si>
  <si>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</si>
  <si>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18 mins 37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</si>
  <si>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</si>
  <si>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</si>
  <si>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</si>
  <si>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</si>
  <si>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</si>
  <si>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</si>
  <si>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</si>
  <si>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</si>
  <si>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</si>
  <si>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</si>
  <si>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</si>
  <si>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</si>
  <si>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</si>
  <si>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</si>
  <si>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</si>
  <si>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</si>
  <si>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15 mins 20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</si>
  <si>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</si>
  <si>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</si>
  <si>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</si>
  <si>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</si>
  <si>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</si>
  <si>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</si>
  <si>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</si>
  <si>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</si>
  <si>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</si>
  <si>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</si>
  <si>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</si>
  <si>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</si>
  <si>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</si>
  <si>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</si>
  <si>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</si>
  <si>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</si>
  <si>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</si>
  <si>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</si>
  <si>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</si>
  <si>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</si>
  <si>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</si>
  <si>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</si>
  <si>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</si>
  <si>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</si>
  <si>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22 mins 54 segundos</t>
  </si>
  <si>
    <t>Mod 13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</si>
  <si>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</si>
  <si>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</si>
  <si>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</si>
  <si>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</si>
  <si>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</si>
  <si>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</si>
  <si>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</si>
  <si>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</si>
  <si>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23 mins 16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</si>
  <si>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</si>
  <si>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</si>
  <si>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</si>
  <si>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</si>
  <si>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</si>
  <si>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</si>
  <si>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</si>
  <si>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</si>
  <si>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12 mins 32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</si>
  <si>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</si>
  <si>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</si>
  <si>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</si>
  <si>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</si>
  <si>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</si>
  <si>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</si>
  <si>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</si>
  <si>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</si>
  <si>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</si>
  <si>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</si>
  <si>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</si>
  <si>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</si>
  <si>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</si>
  <si>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</si>
  <si>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</si>
  <si>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</si>
  <si>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20 mins 25 segundos</t>
  </si>
  <si>
    <t>18 mins 26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</si>
  <si>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</si>
  <si>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</si>
  <si>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</si>
  <si>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</si>
  <si>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</si>
  <si>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</si>
  <si>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</si>
  <si>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</si>
  <si>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</si>
  <si>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</si>
  <si>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</si>
  <si>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</si>
  <si>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</si>
  <si>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</si>
  <si>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</si>
  <si>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</si>
  <si>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50 segundos</t>
  </si>
  <si>
    <t>25 mins 27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</si>
  <si>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</si>
  <si>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</si>
  <si>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</si>
  <si>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</si>
  <si>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</si>
  <si>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</si>
  <si>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</si>
  <si>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</si>
  <si>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</si>
  <si>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</si>
  <si>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</si>
  <si>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</si>
  <si>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</si>
  <si>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</si>
  <si>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</si>
  <si>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</si>
  <si>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</si>
  <si>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</si>
  <si>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</si>
  <si>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</si>
  <si>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</si>
  <si>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</si>
  <si>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</si>
  <si>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</si>
  <si>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23 mins 35 segundos</t>
  </si>
  <si>
    <t>15 mins 15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</si>
  <si>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</si>
  <si>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</si>
  <si>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</si>
  <si>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</si>
  <si>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</si>
  <si>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</si>
  <si>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</si>
  <si>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</si>
  <si>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16 mins 56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</si>
  <si>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</si>
  <si>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</si>
  <si>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</si>
  <si>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</si>
  <si>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</si>
  <si>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</si>
  <si>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</si>
  <si>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</si>
  <si>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17 mins 47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</si>
  <si>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</si>
  <si>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</si>
  <si>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</si>
  <si>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</si>
  <si>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</si>
  <si>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</si>
  <si>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</si>
  <si>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</si>
  <si>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</si>
  <si>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</si>
  <si>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</si>
  <si>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</si>
  <si>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</si>
  <si>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</si>
  <si>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</si>
  <si>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</si>
  <si>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</si>
  <si>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</si>
  <si>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</si>
  <si>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</si>
  <si>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</si>
  <si>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</si>
  <si>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</si>
  <si>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</si>
  <si>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24 mins 47 segundos</t>
  </si>
  <si>
    <t>20 mins 17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</si>
  <si>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</si>
  <si>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</si>
  <si>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</si>
  <si>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</si>
  <si>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</si>
  <si>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</si>
  <si>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</si>
  <si>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</si>
  <si>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20 mins 14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</si>
  <si>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</si>
  <si>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</si>
  <si>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</si>
  <si>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</si>
  <si>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</si>
  <si>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</si>
  <si>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</si>
  <si>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</si>
  <si>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26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</si>
  <si>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</si>
  <si>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</si>
  <si>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</si>
  <si>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</si>
  <si>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</si>
  <si>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</si>
  <si>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</si>
  <si>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</si>
  <si>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33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</si>
  <si>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</si>
  <si>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</si>
  <si>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</si>
  <si>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</si>
  <si>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</si>
  <si>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</si>
  <si>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</si>
  <si>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</si>
  <si>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</si>
  <si>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</si>
  <si>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</si>
  <si>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</si>
  <si>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</si>
  <si>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</si>
  <si>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</si>
  <si>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</si>
  <si>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</si>
  <si>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</si>
  <si>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</si>
  <si>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</si>
  <si>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</si>
  <si>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</si>
  <si>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</si>
  <si>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</si>
  <si>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</si>
  <si>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</si>
  <si>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</si>
  <si>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</si>
  <si>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</si>
  <si>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</si>
  <si>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</si>
  <si>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</si>
  <si>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</si>
  <si>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</si>
  <si>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</si>
  <si>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</si>
  <si>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</si>
  <si>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</si>
  <si>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</si>
  <si>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</si>
  <si>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</si>
  <si>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</si>
  <si>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</si>
  <si>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</si>
  <si>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</si>
  <si>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</si>
  <si>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</si>
  <si>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</si>
  <si>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</si>
  <si>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</si>
  <si>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</si>
  <si>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</si>
  <si>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</si>
  <si>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</si>
  <si>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</si>
  <si>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</si>
  <si>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15 mins 3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</si>
  <si>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</si>
  <si>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</si>
  <si>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</si>
  <si>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</si>
  <si>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</si>
  <si>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</si>
  <si>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</si>
  <si>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</si>
  <si>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20 mins 52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</si>
  <si>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</si>
  <si>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</si>
  <si>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</si>
  <si>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</si>
  <si>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</si>
  <si>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</si>
  <si>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</si>
  <si>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</si>
  <si>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38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</si>
  <si>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</si>
  <si>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</si>
  <si>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</si>
  <si>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</si>
  <si>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</si>
  <si>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</si>
  <si>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</si>
  <si>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</si>
  <si>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</si>
  <si>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</si>
  <si>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</si>
  <si>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</si>
  <si>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</si>
  <si>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</si>
  <si>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</si>
  <si>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</si>
  <si>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12 mins 2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</si>
  <si>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</si>
  <si>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</si>
  <si>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</si>
  <si>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</si>
  <si>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</si>
  <si>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</si>
  <si>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</si>
  <si>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</si>
  <si>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20 mins 13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</si>
  <si>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</si>
  <si>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</si>
  <si>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</si>
  <si>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</si>
  <si>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</si>
  <si>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</si>
  <si>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</si>
  <si>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</si>
  <si>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</si>
  <si>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</si>
  <si>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</si>
  <si>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</si>
  <si>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</si>
  <si>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</si>
  <si>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</si>
  <si>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</si>
  <si>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 mins 11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</si>
  <si>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</si>
  <si>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</si>
  <si>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</si>
  <si>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</si>
  <si>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</si>
  <si>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</si>
  <si>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</si>
  <si>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</si>
  <si>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19 mins 55 segundos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</si>
  <si>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</si>
  <si>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</si>
  <si>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</si>
  <si>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</si>
  <si>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</si>
  <si>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</si>
  <si>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</si>
  <si>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</si>
  <si>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20 mins 5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</si>
</sst>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/>
    </xf>
    <xf borderId="3" fillId="0" fontId="10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/>
    </xf>
    <xf borderId="3" fillId="2" fontId="13" numFmtId="0" xfId="0" applyAlignment="1" applyBorder="1" applyFill="1" applyFont="1">
      <alignment horizontal="left" readingOrder="0" shrinkToFit="0" wrapText="1"/>
    </xf>
    <xf borderId="3" fillId="2" fontId="4" numFmtId="0" xfId="0" applyAlignment="1" applyBorder="1" applyFont="1">
      <alignment horizontal="center" readingOrder="0" shrinkToFit="0" vertical="center" wrapText="1"/>
    </xf>
    <xf borderId="3" fillId="2" fontId="2" numFmtId="0" xfId="0" applyBorder="1" applyFont="1"/>
    <xf borderId="3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3" fillId="2" fontId="13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left" shrinkToFit="0" wrapText="1"/>
    </xf>
    <xf borderId="3" fillId="0" fontId="15" numFmtId="0" xfId="0" applyAlignment="1" applyBorder="1" applyFont="1">
      <alignment horizontal="left" shrinkToFit="0" vertical="top" wrapText="1"/>
    </xf>
    <xf borderId="3" fillId="0" fontId="13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left" shrinkToFit="0" wrapText="1"/>
    </xf>
    <xf borderId="3" fillId="0" fontId="1" numFmtId="0" xfId="0" applyBorder="1" applyFont="1"/>
    <xf borderId="3" fillId="3" fontId="13" numFmtId="0" xfId="0" applyAlignment="1" applyBorder="1" applyFill="1" applyFont="1">
      <alignment horizontal="left" readingOrder="0" shrinkToFit="0" wrapText="1"/>
    </xf>
    <xf borderId="3" fillId="3" fontId="13" numFmtId="3" xfId="0" applyAlignment="1" applyBorder="1" applyFont="1" applyNumberFormat="1">
      <alignment horizontal="center" readingOrder="0" shrinkToFit="0" vertical="center" wrapText="1"/>
    </xf>
    <xf borderId="3" fillId="3" fontId="13" numFmtId="0" xfId="0" applyAlignment="1" applyBorder="1" applyFont="1">
      <alignment horizontal="center" readingOrder="0" shrinkToFit="0" vertical="center" wrapText="1"/>
    </xf>
    <xf borderId="3" fillId="3" fontId="6" numFmtId="0" xfId="0" applyBorder="1" applyFont="1"/>
    <xf borderId="3" fillId="0" fontId="14" numFmtId="3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ill="1" applyFont="1">
      <alignment horizontal="left" readingOrder="0" shrinkToFit="0" wrapText="1"/>
    </xf>
    <xf borderId="3" fillId="4" fontId="13" numFmtId="0" xfId="0" applyAlignment="1" applyBorder="1" applyFont="1">
      <alignment horizontal="center" readingOrder="0" shrinkToFit="0" vertical="center" wrapText="1"/>
    </xf>
    <xf borderId="3" fillId="4" fontId="2" numFmtId="0" xfId="0" applyBorder="1" applyFont="1"/>
    <xf borderId="3" fillId="0" fontId="13" numFmtId="0" xfId="0" applyAlignment="1" applyBorder="1" applyFont="1">
      <alignment horizontal="left" readingOrder="0" shrinkToFit="0" wrapText="1"/>
    </xf>
    <xf borderId="3" fillId="0" fontId="13" numFmtId="3" xfId="0" applyAlignment="1" applyBorder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 shrinkToFit="0" vertical="top" wrapText="1"/>
    </xf>
    <xf borderId="3" fillId="0" fontId="15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 t="s">
        <v>10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12</v>
      </c>
    </row>
    <row r="23">
      <c r="A23" s="11" t="s">
        <v>13</v>
      </c>
    </row>
    <row r="24">
      <c r="A24" s="11" t="s">
        <v>14</v>
      </c>
    </row>
    <row r="25">
      <c r="A25" s="11" t="s">
        <v>15</v>
      </c>
    </row>
    <row r="26">
      <c r="A26" s="11" t="s">
        <v>16</v>
      </c>
    </row>
    <row r="27">
      <c r="A27" s="11" t="s">
        <v>17</v>
      </c>
    </row>
    <row r="28">
      <c r="A28" s="11" t="s">
        <v>18</v>
      </c>
    </row>
    <row r="29">
      <c r="A29" s="11" t="s">
        <v>19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2.00819244E8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101</v>
      </c>
    </row>
    <row r="23">
      <c r="A23" s="11" t="s">
        <v>102</v>
      </c>
    </row>
    <row r="24">
      <c r="A24" s="11" t="s">
        <v>103</v>
      </c>
    </row>
    <row r="25">
      <c r="A25" s="11" t="s">
        <v>104</v>
      </c>
    </row>
    <row r="26">
      <c r="A26" s="11" t="s">
        <v>105</v>
      </c>
    </row>
    <row r="27">
      <c r="A27" s="11" t="s">
        <v>106</v>
      </c>
    </row>
    <row r="28">
      <c r="A28" s="11" t="s">
        <v>107</v>
      </c>
    </row>
    <row r="29">
      <c r="A29" s="11" t="s">
        <v>108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2.01610975E8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109</v>
      </c>
    </row>
    <row r="23">
      <c r="A23" s="11" t="s">
        <v>110</v>
      </c>
    </row>
    <row r="24">
      <c r="A24" s="11" t="s">
        <v>111</v>
      </c>
    </row>
    <row r="25">
      <c r="A25" s="11" t="s">
        <v>112</v>
      </c>
    </row>
    <row r="26">
      <c r="A26" s="11" t="s">
        <v>113</v>
      </c>
    </row>
    <row r="27">
      <c r="A27" s="11" t="s">
        <v>114</v>
      </c>
    </row>
    <row r="28">
      <c r="A28" s="11" t="s">
        <v>115</v>
      </c>
    </row>
    <row r="29">
      <c r="A29" s="11" t="s">
        <v>116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119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121</v>
      </c>
      <c r="D48" s="15"/>
    </row>
    <row r="49">
      <c r="A49" s="19" t="s">
        <v>27</v>
      </c>
      <c r="B49" s="15"/>
      <c r="C49" s="62" t="s">
        <v>119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1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0.0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96.5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2.01708357E8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122</v>
      </c>
    </row>
    <row r="23">
      <c r="A23" s="11" t="s">
        <v>123</v>
      </c>
    </row>
    <row r="24">
      <c r="A24" s="11" t="s">
        <v>124</v>
      </c>
    </row>
    <row r="25">
      <c r="A25" s="11" t="s">
        <v>125</v>
      </c>
    </row>
    <row r="26">
      <c r="A26" s="11" t="s">
        <v>126</v>
      </c>
    </row>
    <row r="27">
      <c r="A27" s="11" t="s">
        <v>127</v>
      </c>
    </row>
    <row r="28">
      <c r="A28" s="11" t="s">
        <v>128</v>
      </c>
    </row>
    <row r="29">
      <c r="A29" s="11" t="s">
        <v>129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130</v>
      </c>
      <c r="D40" s="61"/>
    </row>
    <row r="41">
      <c r="A41" s="19" t="s">
        <v>27</v>
      </c>
      <c r="B41" s="15"/>
      <c r="C41" s="60" t="s">
        <v>131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132</v>
      </c>
      <c r="D48" s="15"/>
    </row>
    <row r="49">
      <c r="A49" s="19" t="s">
        <v>27</v>
      </c>
      <c r="B49" s="15"/>
      <c r="C49" s="62" t="s">
        <v>133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1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0.0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96.5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2.01708993E8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134</v>
      </c>
    </row>
    <row r="23">
      <c r="A23" s="11" t="s">
        <v>135</v>
      </c>
    </row>
    <row r="24">
      <c r="A24" s="11" t="s">
        <v>136</v>
      </c>
    </row>
    <row r="25">
      <c r="A25" s="11" t="s">
        <v>137</v>
      </c>
    </row>
    <row r="26">
      <c r="A26" s="11" t="s">
        <v>138</v>
      </c>
    </row>
    <row r="27">
      <c r="A27" s="11" t="s">
        <v>139</v>
      </c>
    </row>
    <row r="28">
      <c r="A28" s="11" t="s">
        <v>140</v>
      </c>
    </row>
    <row r="29">
      <c r="A29" s="11" t="s">
        <v>141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142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13.73333333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35">
        <f t="shared" ref="C75:C76" si="2">0.2+0.2+0.2</f>
        <v>0.6</v>
      </c>
      <c r="D75" s="36"/>
      <c r="E75" s="36"/>
    </row>
    <row r="76">
      <c r="A76" s="33" t="s">
        <v>43</v>
      </c>
      <c r="B76" s="34">
        <v>1.0</v>
      </c>
      <c r="C76" s="35">
        <f t="shared" si="2"/>
        <v>0.6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0.0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40">
        <f>0.1+0.1</f>
        <v>0.2</v>
      </c>
      <c r="D83" s="40"/>
      <c r="E83" s="40"/>
    </row>
    <row r="84">
      <c r="A84" s="38" t="s">
        <v>51</v>
      </c>
      <c r="B84" s="41">
        <v>2.0</v>
      </c>
      <c r="C84" s="65">
        <f>2/3+2/3</f>
        <v>1.333333333</v>
      </c>
      <c r="D84" s="40"/>
      <c r="E84" s="40"/>
    </row>
    <row r="85">
      <c r="A85" s="38" t="s">
        <v>52</v>
      </c>
      <c r="B85" s="41">
        <v>2.0</v>
      </c>
      <c r="C85" s="65">
        <v>1.0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3">SUM(B88:B95)</f>
        <v>18</v>
      </c>
      <c r="C87" s="43">
        <f t="shared" si="3"/>
        <v>15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0.0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4">SUM(B97:B104)</f>
        <v>23</v>
      </c>
      <c r="C96" s="43">
        <f t="shared" si="4"/>
        <v>11.5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1.0</v>
      </c>
      <c r="D98" s="36"/>
      <c r="E98" s="36"/>
    </row>
    <row r="99">
      <c r="A99" s="33" t="s">
        <v>66</v>
      </c>
      <c r="B99" s="34">
        <v>3.0</v>
      </c>
      <c r="C99" s="66">
        <v>1.0</v>
      </c>
      <c r="D99" s="36"/>
      <c r="E99" s="36"/>
    </row>
    <row r="100">
      <c r="A100" s="33" t="s">
        <v>67</v>
      </c>
      <c r="B100" s="34">
        <v>4.0</v>
      </c>
      <c r="C100" s="66">
        <v>0.0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2.5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0.0</v>
      </c>
      <c r="D104" s="36"/>
      <c r="E104" s="36"/>
    </row>
    <row r="105">
      <c r="A105" s="30" t="s">
        <v>72</v>
      </c>
      <c r="B105" s="43">
        <f t="shared" ref="B105:C105" si="5">SUM(B106:B110)</f>
        <v>5</v>
      </c>
      <c r="C105" s="43">
        <f t="shared" si="5"/>
        <v>1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0.0</v>
      </c>
      <c r="D107" s="36"/>
      <c r="E107" s="36"/>
    </row>
    <row r="108">
      <c r="A108" s="33" t="s">
        <v>75</v>
      </c>
      <c r="B108" s="34">
        <v>1.0</v>
      </c>
      <c r="C108" s="66">
        <v>0.0</v>
      </c>
      <c r="D108" s="36"/>
      <c r="E108" s="36"/>
    </row>
    <row r="109">
      <c r="A109" s="33" t="s">
        <v>76</v>
      </c>
      <c r="B109" s="34">
        <v>1.0</v>
      </c>
      <c r="C109" s="66">
        <v>0.0</v>
      </c>
      <c r="D109" s="36"/>
      <c r="E109" s="36"/>
    </row>
    <row r="110">
      <c r="A110" s="33" t="s">
        <v>77</v>
      </c>
      <c r="B110" s="34">
        <v>1.0</v>
      </c>
      <c r="C110" s="66">
        <v>0.0</v>
      </c>
      <c r="D110" s="36"/>
      <c r="E110" s="36"/>
    </row>
    <row r="111">
      <c r="A111" s="30" t="s">
        <v>78</v>
      </c>
      <c r="B111" s="43">
        <f t="shared" ref="B111:C111" si="6">SUM(B112:B120)</f>
        <v>22</v>
      </c>
      <c r="C111" s="43">
        <f t="shared" si="6"/>
        <v>1.9</v>
      </c>
      <c r="D111" s="32"/>
      <c r="E111" s="32"/>
    </row>
    <row r="112">
      <c r="A112" s="33" t="s">
        <v>79</v>
      </c>
      <c r="B112" s="34">
        <v>1.0</v>
      </c>
      <c r="C112" s="66">
        <v>0.25</v>
      </c>
      <c r="D112" s="36"/>
      <c r="E112" s="36"/>
    </row>
    <row r="113">
      <c r="A113" s="33" t="s">
        <v>80</v>
      </c>
      <c r="B113" s="34">
        <v>1.0</v>
      </c>
      <c r="C113" s="46">
        <f>0.2+0.2</f>
        <v>0.4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0.25</v>
      </c>
      <c r="D115" s="36"/>
      <c r="E115" s="36"/>
    </row>
    <row r="116">
      <c r="A116" s="33" t="s">
        <v>83</v>
      </c>
      <c r="B116" s="34">
        <v>1.0</v>
      </c>
      <c r="C116" s="46">
        <v>0.0</v>
      </c>
      <c r="D116" s="36"/>
      <c r="E116" s="36"/>
    </row>
    <row r="117">
      <c r="A117" s="33" t="s">
        <v>84</v>
      </c>
      <c r="B117" s="34">
        <v>4.0</v>
      </c>
      <c r="C117" s="46">
        <v>0.0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7">SUM(B122:B125)</f>
        <v>5</v>
      </c>
      <c r="C121" s="43">
        <f t="shared" si="7"/>
        <v>3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0.0</v>
      </c>
      <c r="D125" s="37"/>
      <c r="E125" s="37"/>
    </row>
    <row r="126">
      <c r="A126" s="49" t="s">
        <v>93</v>
      </c>
      <c r="B126" s="50">
        <f t="shared" ref="B126:C126" si="8">SUM(B127:B128)</f>
        <v>4</v>
      </c>
      <c r="C126" s="51">
        <f t="shared" si="8"/>
        <v>2</v>
      </c>
      <c r="D126" s="52"/>
      <c r="E126" s="52"/>
    </row>
    <row r="127">
      <c r="A127" s="44" t="s">
        <v>94</v>
      </c>
      <c r="B127" s="53">
        <v>2.0</v>
      </c>
      <c r="C127" s="66">
        <v>0.0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9">SUM(B130:B131)</f>
        <v>2</v>
      </c>
      <c r="C129" s="55">
        <f t="shared" si="9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10">SUM(B126,B111,B96,B87,B71,B121, B129, B105)</f>
        <v>100</v>
      </c>
      <c r="C132" s="59">
        <f t="shared" si="10"/>
        <v>50.13333333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2.0180165E8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144</v>
      </c>
    </row>
    <row r="23">
      <c r="A23" s="11" t="s">
        <v>145</v>
      </c>
    </row>
    <row r="24">
      <c r="A24" s="11" t="s">
        <v>146</v>
      </c>
    </row>
    <row r="25">
      <c r="A25" s="11" t="s">
        <v>147</v>
      </c>
    </row>
    <row r="26">
      <c r="A26" s="11" t="s">
        <v>148</v>
      </c>
    </row>
    <row r="27">
      <c r="A27" s="11" t="s">
        <v>149</v>
      </c>
    </row>
    <row r="28">
      <c r="A28" s="11" t="s">
        <v>150</v>
      </c>
    </row>
    <row r="29">
      <c r="A29" s="11" t="s">
        <v>151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152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117</v>
      </c>
      <c r="D47" s="15"/>
    </row>
    <row r="48">
      <c r="A48" s="17" t="s">
        <v>26</v>
      </c>
      <c r="B48" s="15"/>
      <c r="C48" s="62" t="s">
        <v>132</v>
      </c>
      <c r="D48" s="15"/>
    </row>
    <row r="49">
      <c r="A49" s="19" t="s">
        <v>27</v>
      </c>
      <c r="B49" s="15"/>
      <c r="C49" s="62" t="s">
        <v>153</v>
      </c>
      <c r="D49" s="15"/>
    </row>
    <row r="50">
      <c r="A50" s="19" t="s">
        <v>28</v>
      </c>
      <c r="B50" s="15"/>
      <c r="C50" s="62" t="s">
        <v>117</v>
      </c>
      <c r="D50" s="15"/>
    </row>
    <row r="51">
      <c r="A51" s="17" t="s">
        <v>29</v>
      </c>
      <c r="B51" s="15"/>
      <c r="C51" s="62" t="s">
        <v>117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2.01901385E8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154</v>
      </c>
    </row>
    <row r="23">
      <c r="A23" s="11" t="s">
        <v>155</v>
      </c>
    </row>
    <row r="24">
      <c r="A24" s="11" t="s">
        <v>156</v>
      </c>
    </row>
    <row r="25">
      <c r="A25" s="11" t="s">
        <v>157</v>
      </c>
    </row>
    <row r="26">
      <c r="A26" s="11" t="s">
        <v>158</v>
      </c>
    </row>
    <row r="27">
      <c r="A27" s="11" t="s">
        <v>159</v>
      </c>
    </row>
    <row r="28">
      <c r="A28" s="11" t="s">
        <v>160</v>
      </c>
    </row>
    <row r="29">
      <c r="A29" s="11" t="s">
        <v>161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162</v>
      </c>
      <c r="D40" s="61"/>
    </row>
    <row r="41">
      <c r="A41" s="19" t="s">
        <v>27</v>
      </c>
      <c r="B41" s="15"/>
      <c r="C41" s="60" t="s">
        <v>163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2.01901803E8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164</v>
      </c>
    </row>
    <row r="23">
      <c r="A23" s="11" t="s">
        <v>165</v>
      </c>
    </row>
    <row r="24">
      <c r="A24" s="11" t="s">
        <v>166</v>
      </c>
    </row>
    <row r="25">
      <c r="A25" s="11" t="s">
        <v>167</v>
      </c>
    </row>
    <row r="26">
      <c r="A26" s="11" t="s">
        <v>168</v>
      </c>
    </row>
    <row r="27">
      <c r="A27" s="11" t="s">
        <v>169</v>
      </c>
    </row>
    <row r="28">
      <c r="A28" s="11" t="s">
        <v>170</v>
      </c>
    </row>
    <row r="29">
      <c r="A29" s="11" t="s">
        <v>171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2.02000576E8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172</v>
      </c>
    </row>
    <row r="23">
      <c r="A23" s="11" t="s">
        <v>173</v>
      </c>
    </row>
    <row r="24">
      <c r="A24" s="11" t="s">
        <v>174</v>
      </c>
    </row>
    <row r="25">
      <c r="A25" s="11" t="s">
        <v>175</v>
      </c>
    </row>
    <row r="26">
      <c r="A26" s="11" t="s">
        <v>176</v>
      </c>
    </row>
    <row r="27">
      <c r="A27" s="11" t="s">
        <v>177</v>
      </c>
    </row>
    <row r="28">
      <c r="A28" s="11" t="s">
        <v>178</v>
      </c>
    </row>
    <row r="29">
      <c r="A29" s="11" t="s">
        <v>179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180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2.02000812E8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181</v>
      </c>
    </row>
    <row r="23">
      <c r="A23" s="11" t="s">
        <v>182</v>
      </c>
    </row>
    <row r="24">
      <c r="A24" s="11" t="s">
        <v>183</v>
      </c>
    </row>
    <row r="25">
      <c r="A25" s="11" t="s">
        <v>184</v>
      </c>
    </row>
    <row r="26">
      <c r="A26" s="11" t="s">
        <v>185</v>
      </c>
    </row>
    <row r="27">
      <c r="A27" s="11" t="s">
        <v>186</v>
      </c>
    </row>
    <row r="28">
      <c r="A28" s="11" t="s">
        <v>187</v>
      </c>
    </row>
    <row r="29">
      <c r="A29" s="11" t="s">
        <v>188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119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189</v>
      </c>
      <c r="D48" s="15"/>
    </row>
    <row r="49">
      <c r="A49" s="19" t="s">
        <v>27</v>
      </c>
      <c r="B49" s="15"/>
      <c r="C49" s="62" t="s">
        <v>190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2.02006681E8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191</v>
      </c>
    </row>
    <row r="23">
      <c r="A23" s="11" t="s">
        <v>192</v>
      </c>
    </row>
    <row r="24">
      <c r="A24" s="11" t="s">
        <v>193</v>
      </c>
    </row>
    <row r="25">
      <c r="A25" s="11" t="s">
        <v>194</v>
      </c>
    </row>
    <row r="26">
      <c r="A26" s="11" t="s">
        <v>195</v>
      </c>
    </row>
    <row r="27">
      <c r="A27" s="11" t="s">
        <v>196</v>
      </c>
    </row>
    <row r="28">
      <c r="A28" s="11" t="s">
        <v>197</v>
      </c>
    </row>
    <row r="29">
      <c r="A29" s="11" t="s">
        <v>198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199</v>
      </c>
      <c r="D40" s="61"/>
    </row>
    <row r="41">
      <c r="A41" s="19" t="s">
        <v>27</v>
      </c>
      <c r="B41" s="15"/>
      <c r="C41" s="60" t="s">
        <v>119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2.02010367E8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200</v>
      </c>
    </row>
    <row r="23">
      <c r="A23" s="11" t="s">
        <v>201</v>
      </c>
    </row>
    <row r="24">
      <c r="A24" s="11" t="s">
        <v>202</v>
      </c>
    </row>
    <row r="25">
      <c r="A25" s="11" t="s">
        <v>203</v>
      </c>
    </row>
    <row r="26">
      <c r="A26" s="11" t="s">
        <v>204</v>
      </c>
    </row>
    <row r="27">
      <c r="A27" s="11" t="s">
        <v>205</v>
      </c>
    </row>
    <row r="28">
      <c r="A28" s="11" t="s">
        <v>206</v>
      </c>
    </row>
    <row r="29">
      <c r="A29" s="11" t="s">
        <v>207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208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2.02100054E8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209</v>
      </c>
    </row>
    <row r="23">
      <c r="A23" s="11" t="s">
        <v>210</v>
      </c>
    </row>
    <row r="24">
      <c r="A24" s="11" t="s">
        <v>211</v>
      </c>
    </row>
    <row r="25">
      <c r="A25" s="11" t="s">
        <v>212</v>
      </c>
    </row>
    <row r="26">
      <c r="A26" s="11" t="s">
        <v>213</v>
      </c>
    </row>
    <row r="27">
      <c r="A27" s="11" t="s">
        <v>214</v>
      </c>
    </row>
    <row r="28">
      <c r="A28" s="11" t="s">
        <v>215</v>
      </c>
    </row>
    <row r="29">
      <c r="A29" s="11" t="s">
        <v>216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2.02100147E8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217</v>
      </c>
    </row>
    <row r="23">
      <c r="A23" s="11" t="s">
        <v>218</v>
      </c>
    </row>
    <row r="24">
      <c r="A24" s="11" t="s">
        <v>219</v>
      </c>
    </row>
    <row r="25">
      <c r="A25" s="11" t="s">
        <v>220</v>
      </c>
    </row>
    <row r="26">
      <c r="A26" s="11" t="s">
        <v>221</v>
      </c>
    </row>
    <row r="27">
      <c r="A27" s="11" t="s">
        <v>222</v>
      </c>
    </row>
    <row r="28">
      <c r="A28" s="11" t="s">
        <v>223</v>
      </c>
    </row>
    <row r="29">
      <c r="A29" s="11" t="s">
        <v>224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225</v>
      </c>
      <c r="D40" s="61"/>
    </row>
    <row r="41">
      <c r="A41" s="19" t="s">
        <v>27</v>
      </c>
      <c r="B41" s="15"/>
      <c r="C41" s="60" t="s">
        <v>153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2.02100167E8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226</v>
      </c>
    </row>
    <row r="23">
      <c r="A23" s="11" t="s">
        <v>227</v>
      </c>
    </row>
    <row r="24">
      <c r="A24" s="11" t="s">
        <v>228</v>
      </c>
    </row>
    <row r="25">
      <c r="A25" s="11" t="s">
        <v>229</v>
      </c>
    </row>
    <row r="26">
      <c r="A26" s="11" t="s">
        <v>230</v>
      </c>
    </row>
    <row r="27">
      <c r="A27" s="11" t="s">
        <v>231</v>
      </c>
    </row>
    <row r="28">
      <c r="A28" s="11" t="s">
        <v>232</v>
      </c>
    </row>
    <row r="29">
      <c r="A29" s="11" t="s">
        <v>233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2.02100171E8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234</v>
      </c>
    </row>
    <row r="23">
      <c r="A23" s="11" t="s">
        <v>235</v>
      </c>
    </row>
    <row r="24">
      <c r="A24" s="11" t="s">
        <v>236</v>
      </c>
    </row>
    <row r="25">
      <c r="A25" s="11" t="s">
        <v>237</v>
      </c>
    </row>
    <row r="26">
      <c r="A26" s="11" t="s">
        <v>238</v>
      </c>
    </row>
    <row r="27">
      <c r="A27" s="11" t="s">
        <v>239</v>
      </c>
    </row>
    <row r="28">
      <c r="A28" s="11" t="s">
        <v>240</v>
      </c>
    </row>
    <row r="29">
      <c r="A29" s="11" t="s">
        <v>241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242</v>
      </c>
      <c r="D40" s="61"/>
    </row>
    <row r="41">
      <c r="A41" s="19" t="s">
        <v>27</v>
      </c>
      <c r="B41" s="15"/>
      <c r="C41" s="60" t="s">
        <v>243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2.02100305E8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244</v>
      </c>
    </row>
    <row r="23">
      <c r="A23" s="11" t="s">
        <v>245</v>
      </c>
    </row>
    <row r="24">
      <c r="A24" s="11" t="s">
        <v>246</v>
      </c>
    </row>
    <row r="25">
      <c r="A25" s="11" t="s">
        <v>247</v>
      </c>
    </row>
    <row r="26">
      <c r="A26" s="11" t="s">
        <v>248</v>
      </c>
    </row>
    <row r="27">
      <c r="A27" s="11" t="s">
        <v>249</v>
      </c>
    </row>
    <row r="28">
      <c r="A28" s="11" t="s">
        <v>250</v>
      </c>
    </row>
    <row r="29">
      <c r="A29" s="11" t="s">
        <v>251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131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2.02103198E8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252</v>
      </c>
    </row>
    <row r="23">
      <c r="A23" s="11" t="s">
        <v>253</v>
      </c>
    </row>
    <row r="24">
      <c r="A24" s="11" t="s">
        <v>254</v>
      </c>
    </row>
    <row r="25">
      <c r="A25" s="11" t="s">
        <v>255</v>
      </c>
    </row>
    <row r="26">
      <c r="A26" s="11" t="s">
        <v>256</v>
      </c>
    </row>
    <row r="27">
      <c r="A27" s="11" t="s">
        <v>257</v>
      </c>
    </row>
    <row r="28">
      <c r="A28" s="11" t="s">
        <v>258</v>
      </c>
    </row>
    <row r="29">
      <c r="A29" s="11" t="s">
        <v>259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260</v>
      </c>
      <c r="D40" s="61"/>
    </row>
    <row r="41">
      <c r="A41" s="19" t="s">
        <v>27</v>
      </c>
      <c r="B41" s="15"/>
      <c r="C41" s="60" t="s">
        <v>243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2.02105095E8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261</v>
      </c>
    </row>
    <row r="23">
      <c r="A23" s="11" t="s">
        <v>262</v>
      </c>
    </row>
    <row r="24">
      <c r="A24" s="11" t="s">
        <v>263</v>
      </c>
    </row>
    <row r="25">
      <c r="A25" s="11" t="s">
        <v>264</v>
      </c>
    </row>
    <row r="26">
      <c r="A26" s="11" t="s">
        <v>265</v>
      </c>
    </row>
    <row r="27">
      <c r="A27" s="11" t="s">
        <v>266</v>
      </c>
    </row>
    <row r="28">
      <c r="A28" s="11" t="s">
        <v>267</v>
      </c>
    </row>
    <row r="29">
      <c r="A29" s="11" t="s">
        <v>268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119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269</v>
      </c>
      <c r="D48" s="15"/>
    </row>
    <row r="49">
      <c r="A49" s="19" t="s">
        <v>27</v>
      </c>
      <c r="B49" s="15"/>
      <c r="C49" s="62" t="s">
        <v>153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2.02105668E8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270</v>
      </c>
    </row>
    <row r="23">
      <c r="A23" s="11" t="s">
        <v>271</v>
      </c>
    </row>
    <row r="24">
      <c r="A24" s="11" t="s">
        <v>272</v>
      </c>
    </row>
    <row r="25">
      <c r="A25" s="11" t="s">
        <v>273</v>
      </c>
    </row>
    <row r="26">
      <c r="A26" s="11" t="s">
        <v>274</v>
      </c>
    </row>
    <row r="27">
      <c r="A27" s="11" t="s">
        <v>275</v>
      </c>
    </row>
    <row r="28">
      <c r="A28" s="11" t="s">
        <v>276</v>
      </c>
    </row>
    <row r="29">
      <c r="A29" s="11" t="s">
        <v>277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133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278</v>
      </c>
      <c r="D48" s="15"/>
    </row>
    <row r="49">
      <c r="A49" s="19" t="s">
        <v>27</v>
      </c>
      <c r="B49" s="15"/>
      <c r="C49" s="62" t="s">
        <v>119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2.02106208E8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279</v>
      </c>
    </row>
    <row r="23">
      <c r="A23" s="11" t="s">
        <v>280</v>
      </c>
    </row>
    <row r="24">
      <c r="A24" s="11" t="s">
        <v>281</v>
      </c>
    </row>
    <row r="25">
      <c r="A25" s="11" t="s">
        <v>282</v>
      </c>
    </row>
    <row r="26">
      <c r="A26" s="11" t="s">
        <v>283</v>
      </c>
    </row>
    <row r="27">
      <c r="A27" s="11" t="s">
        <v>284</v>
      </c>
    </row>
    <row r="28">
      <c r="A28" s="11" t="s">
        <v>285</v>
      </c>
    </row>
    <row r="29">
      <c r="A29" s="11" t="s">
        <v>286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243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287</v>
      </c>
      <c r="D48" s="15"/>
    </row>
    <row r="49">
      <c r="A49" s="19" t="s">
        <v>27</v>
      </c>
      <c r="B49" s="15"/>
      <c r="C49" s="62" t="s">
        <v>180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2.02110378E8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288</v>
      </c>
    </row>
    <row r="23">
      <c r="A23" s="11" t="s">
        <v>289</v>
      </c>
    </row>
    <row r="24">
      <c r="A24" s="11" t="s">
        <v>290</v>
      </c>
    </row>
    <row r="25">
      <c r="A25" s="11" t="s">
        <v>291</v>
      </c>
    </row>
    <row r="26">
      <c r="A26" s="11" t="s">
        <v>292</v>
      </c>
    </row>
    <row r="27">
      <c r="A27" s="11" t="s">
        <v>293</v>
      </c>
    </row>
    <row r="28">
      <c r="A28" s="11" t="s">
        <v>294</v>
      </c>
    </row>
    <row r="29">
      <c r="A29" s="11" t="s">
        <v>295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163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14</v>
      </c>
      <c r="D71" s="32"/>
      <c r="E71" s="32"/>
    </row>
    <row r="72">
      <c r="A72" s="33" t="s">
        <v>39</v>
      </c>
      <c r="B72" s="34">
        <v>1.0</v>
      </c>
      <c r="C72" s="63">
        <v>0.0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0.0</v>
      </c>
      <c r="D76" s="36"/>
      <c r="E76" s="36"/>
    </row>
    <row r="77">
      <c r="A77" s="33" t="s">
        <v>44</v>
      </c>
      <c r="B77" s="34">
        <v>2.0</v>
      </c>
      <c r="C77" s="63">
        <v>0.0</v>
      </c>
      <c r="D77" s="36"/>
      <c r="E77" s="36"/>
    </row>
    <row r="78">
      <c r="A78" s="33" t="s">
        <v>45</v>
      </c>
      <c r="B78" s="34">
        <v>1.0</v>
      </c>
      <c r="C78" s="63">
        <v>0.0</v>
      </c>
      <c r="D78" s="36"/>
      <c r="E78" s="36"/>
    </row>
    <row r="79">
      <c r="A79" s="33" t="s">
        <v>46</v>
      </c>
      <c r="B79" s="34">
        <v>2.0</v>
      </c>
      <c r="C79" s="63">
        <v>0.0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20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0.0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66">
        <v>0.0</v>
      </c>
      <c r="D112" s="36"/>
      <c r="E112" s="36"/>
    </row>
    <row r="113">
      <c r="A113" s="33" t="s">
        <v>80</v>
      </c>
      <c r="B113" s="34">
        <v>1.0</v>
      </c>
      <c r="C113" s="46">
        <v>0.0</v>
      </c>
      <c r="D113" s="36"/>
      <c r="E113" s="36"/>
    </row>
    <row r="114">
      <c r="A114" s="33" t="s">
        <v>81</v>
      </c>
      <c r="B114" s="34">
        <v>1.0</v>
      </c>
      <c r="C114" s="46">
        <v>0.0</v>
      </c>
      <c r="D114" s="36"/>
      <c r="E114" s="36"/>
    </row>
    <row r="115">
      <c r="A115" s="33" t="s">
        <v>82</v>
      </c>
      <c r="B115" s="34">
        <v>1.0</v>
      </c>
      <c r="C115" s="46">
        <v>0.0</v>
      </c>
      <c r="D115" s="36"/>
      <c r="E115" s="36"/>
    </row>
    <row r="116">
      <c r="A116" s="33" t="s">
        <v>83</v>
      </c>
      <c r="B116" s="34">
        <v>1.0</v>
      </c>
      <c r="C116" s="46">
        <v>0.0</v>
      </c>
      <c r="D116" s="36"/>
      <c r="E116" s="36"/>
    </row>
    <row r="117">
      <c r="A117" s="33" t="s">
        <v>84</v>
      </c>
      <c r="B117" s="34">
        <v>4.0</v>
      </c>
      <c r="C117" s="46">
        <v>0.0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67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2.0211153E8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296</v>
      </c>
    </row>
    <row r="23">
      <c r="A23" s="11" t="s">
        <v>297</v>
      </c>
    </row>
    <row r="24">
      <c r="A24" s="11" t="s">
        <v>298</v>
      </c>
    </row>
    <row r="25">
      <c r="A25" s="11" t="s">
        <v>299</v>
      </c>
    </row>
    <row r="26">
      <c r="A26" s="11" t="s">
        <v>300</v>
      </c>
    </row>
    <row r="27">
      <c r="A27" s="11" t="s">
        <v>301</v>
      </c>
    </row>
    <row r="28">
      <c r="A28" s="11" t="s">
        <v>302</v>
      </c>
    </row>
    <row r="29">
      <c r="A29" s="11" t="s">
        <v>303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180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304</v>
      </c>
      <c r="D48" s="15"/>
    </row>
    <row r="49">
      <c r="A49" s="19" t="s">
        <v>27</v>
      </c>
      <c r="B49" s="15"/>
      <c r="C49" s="62" t="s">
        <v>153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16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0.0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19.5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0.0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10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1.0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81.5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2.02112109E8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305</v>
      </c>
    </row>
    <row r="23">
      <c r="A23" s="11" t="s">
        <v>306</v>
      </c>
    </row>
    <row r="24">
      <c r="A24" s="11" t="s">
        <v>307</v>
      </c>
    </row>
    <row r="25">
      <c r="A25" s="11" t="s">
        <v>308</v>
      </c>
    </row>
    <row r="26">
      <c r="A26" s="11" t="s">
        <v>309</v>
      </c>
    </row>
    <row r="27">
      <c r="A27" s="11" t="s">
        <v>310</v>
      </c>
    </row>
    <row r="28">
      <c r="A28" s="11" t="s">
        <v>311</v>
      </c>
    </row>
    <row r="29">
      <c r="A29" s="11" t="s">
        <v>312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313</v>
      </c>
      <c r="D48" s="15"/>
    </row>
    <row r="49">
      <c r="A49" s="19" t="s">
        <v>27</v>
      </c>
      <c r="B49" s="15"/>
      <c r="C49" s="62" t="s">
        <v>190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18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0.0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94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2.02112674E8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314</v>
      </c>
    </row>
    <row r="23">
      <c r="A23" s="11" t="s">
        <v>315</v>
      </c>
    </row>
    <row r="24">
      <c r="A24" s="11" t="s">
        <v>316</v>
      </c>
    </row>
    <row r="25">
      <c r="A25" s="11" t="s">
        <v>317</v>
      </c>
    </row>
    <row r="26">
      <c r="A26" s="11" t="s">
        <v>318</v>
      </c>
    </row>
    <row r="27">
      <c r="A27" s="11" t="s">
        <v>319</v>
      </c>
    </row>
    <row r="28">
      <c r="A28" s="11" t="s">
        <v>320</v>
      </c>
    </row>
    <row r="29">
      <c r="A29" s="11" t="s">
        <v>321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2.02200044E8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322</v>
      </c>
    </row>
    <row r="23">
      <c r="A23" s="11" t="s">
        <v>323</v>
      </c>
    </row>
    <row r="24">
      <c r="A24" s="11" t="s">
        <v>324</v>
      </c>
    </row>
    <row r="25">
      <c r="A25" s="11" t="s">
        <v>325</v>
      </c>
    </row>
    <row r="26">
      <c r="A26" s="11" t="s">
        <v>326</v>
      </c>
    </row>
    <row r="27">
      <c r="A27" s="11" t="s">
        <v>327</v>
      </c>
    </row>
    <row r="28">
      <c r="A28" s="11" t="s">
        <v>328</v>
      </c>
    </row>
    <row r="29">
      <c r="A29" s="11" t="s">
        <v>329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330</v>
      </c>
      <c r="D40" s="61"/>
    </row>
    <row r="41">
      <c r="A41" s="19" t="s">
        <v>27</v>
      </c>
      <c r="B41" s="15"/>
      <c r="C41" s="60" t="s">
        <v>243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2.02200141E8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331</v>
      </c>
    </row>
    <row r="23">
      <c r="A23" s="11" t="s">
        <v>332</v>
      </c>
    </row>
    <row r="24">
      <c r="A24" s="11" t="s">
        <v>333</v>
      </c>
    </row>
    <row r="25">
      <c r="A25" s="11" t="s">
        <v>334</v>
      </c>
    </row>
    <row r="26">
      <c r="A26" s="11" t="s">
        <v>335</v>
      </c>
    </row>
    <row r="27">
      <c r="A27" s="11" t="s">
        <v>336</v>
      </c>
    </row>
    <row r="28">
      <c r="A28" s="11" t="s">
        <v>337</v>
      </c>
    </row>
    <row r="29">
      <c r="A29" s="11" t="s">
        <v>338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339</v>
      </c>
      <c r="D40" s="61"/>
    </row>
    <row r="41">
      <c r="A41" s="19" t="s">
        <v>27</v>
      </c>
      <c r="B41" s="15"/>
      <c r="C41" s="60" t="s">
        <v>153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97.5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2.02200198E8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340</v>
      </c>
    </row>
    <row r="23">
      <c r="A23" s="11" t="s">
        <v>341</v>
      </c>
    </row>
    <row r="24">
      <c r="A24" s="11" t="s">
        <v>342</v>
      </c>
    </row>
    <row r="25">
      <c r="A25" s="11" t="s">
        <v>343</v>
      </c>
    </row>
    <row r="26">
      <c r="A26" s="11" t="s">
        <v>344</v>
      </c>
    </row>
    <row r="27">
      <c r="A27" s="11" t="s">
        <v>345</v>
      </c>
    </row>
    <row r="28">
      <c r="A28" s="11" t="s">
        <v>346</v>
      </c>
    </row>
    <row r="29">
      <c r="A29" s="11" t="s">
        <v>347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2.02200236E8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348</v>
      </c>
    </row>
    <row r="23">
      <c r="A23" s="11" t="s">
        <v>349</v>
      </c>
    </row>
    <row r="24">
      <c r="A24" s="11" t="s">
        <v>350</v>
      </c>
    </row>
    <row r="25">
      <c r="A25" s="11" t="s">
        <v>351</v>
      </c>
    </row>
    <row r="26">
      <c r="A26" s="11" t="s">
        <v>352</v>
      </c>
    </row>
    <row r="27">
      <c r="A27" s="11" t="s">
        <v>353</v>
      </c>
    </row>
    <row r="28">
      <c r="A28" s="11" t="s">
        <v>354</v>
      </c>
    </row>
    <row r="29">
      <c r="A29" s="11" t="s">
        <v>355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356</v>
      </c>
      <c r="D40" s="61"/>
    </row>
    <row r="41">
      <c r="A41" s="19" t="s">
        <v>27</v>
      </c>
      <c r="B41" s="15"/>
      <c r="C41" s="60" t="s">
        <v>357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2.02200338E8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358</v>
      </c>
    </row>
    <row r="23">
      <c r="A23" s="11" t="s">
        <v>359</v>
      </c>
    </row>
    <row r="24">
      <c r="A24" s="11" t="s">
        <v>360</v>
      </c>
    </row>
    <row r="25">
      <c r="A25" s="11" t="s">
        <v>361</v>
      </c>
    </row>
    <row r="26">
      <c r="A26" s="11" t="s">
        <v>362</v>
      </c>
    </row>
    <row r="27">
      <c r="A27" s="11" t="s">
        <v>363</v>
      </c>
    </row>
    <row r="28">
      <c r="A28" s="11" t="s">
        <v>364</v>
      </c>
    </row>
    <row r="29">
      <c r="A29" s="11" t="s">
        <v>365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366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2.02200341E8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367</v>
      </c>
    </row>
    <row r="23">
      <c r="A23" s="11" t="s">
        <v>368</v>
      </c>
    </row>
    <row r="24">
      <c r="A24" s="11" t="s">
        <v>369</v>
      </c>
    </row>
    <row r="25">
      <c r="A25" s="11" t="s">
        <v>370</v>
      </c>
    </row>
    <row r="26">
      <c r="A26" s="11" t="s">
        <v>371</v>
      </c>
    </row>
    <row r="27">
      <c r="A27" s="11" t="s">
        <v>372</v>
      </c>
    </row>
    <row r="28">
      <c r="A28" s="11" t="s">
        <v>373</v>
      </c>
    </row>
    <row r="29">
      <c r="A29" s="11" t="s">
        <v>374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180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375</v>
      </c>
      <c r="D48" s="15"/>
    </row>
    <row r="49">
      <c r="A49" s="19" t="s">
        <v>27</v>
      </c>
      <c r="B49" s="15"/>
      <c r="C49" s="62" t="s">
        <v>376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20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0.0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14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2.5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0.5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86.5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2.02200363E8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377</v>
      </c>
    </row>
    <row r="23">
      <c r="A23" s="11" t="s">
        <v>378</v>
      </c>
    </row>
    <row r="24">
      <c r="A24" s="11" t="s">
        <v>379</v>
      </c>
    </row>
    <row r="25">
      <c r="A25" s="11" t="s">
        <v>380</v>
      </c>
    </row>
    <row r="26">
      <c r="A26" s="11" t="s">
        <v>381</v>
      </c>
    </row>
    <row r="27">
      <c r="A27" s="11" t="s">
        <v>382</v>
      </c>
    </row>
    <row r="28">
      <c r="A28" s="11" t="s">
        <v>383</v>
      </c>
    </row>
    <row r="29">
      <c r="A29" s="11" t="s">
        <v>384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385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19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0.0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2.0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1.0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6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2.0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88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2.02200382E8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386</v>
      </c>
    </row>
    <row r="23">
      <c r="A23" s="11" t="s">
        <v>387</v>
      </c>
    </row>
    <row r="24">
      <c r="A24" s="11" t="s">
        <v>388</v>
      </c>
    </row>
    <row r="25">
      <c r="A25" s="11" t="s">
        <v>389</v>
      </c>
    </row>
    <row r="26">
      <c r="A26" s="11" t="s">
        <v>390</v>
      </c>
    </row>
    <row r="27">
      <c r="A27" s="11" t="s">
        <v>391</v>
      </c>
    </row>
    <row r="28">
      <c r="A28" s="11" t="s">
        <v>392</v>
      </c>
    </row>
    <row r="29">
      <c r="A29" s="11" t="s">
        <v>393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2.02201185E8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394</v>
      </c>
    </row>
    <row r="23">
      <c r="A23" s="11" t="s">
        <v>395</v>
      </c>
    </row>
    <row r="24">
      <c r="A24" s="11" t="s">
        <v>396</v>
      </c>
    </row>
    <row r="25">
      <c r="A25" s="11" t="s">
        <v>397</v>
      </c>
    </row>
    <row r="26">
      <c r="A26" s="11" t="s">
        <v>398</v>
      </c>
    </row>
    <row r="27">
      <c r="A27" s="11" t="s">
        <v>399</v>
      </c>
    </row>
    <row r="28">
      <c r="A28" s="11" t="s">
        <v>400</v>
      </c>
    </row>
    <row r="29">
      <c r="A29" s="11" t="s">
        <v>401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402</v>
      </c>
      <c r="D40" s="61"/>
    </row>
    <row r="41">
      <c r="A41" s="19" t="s">
        <v>27</v>
      </c>
      <c r="B41" s="15"/>
      <c r="C41" s="60" t="s">
        <v>131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20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0.0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4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0.0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2.02201889E8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403</v>
      </c>
    </row>
    <row r="23">
      <c r="A23" s="11" t="s">
        <v>404</v>
      </c>
    </row>
    <row r="24">
      <c r="A24" s="11" t="s">
        <v>405</v>
      </c>
    </row>
    <row r="25">
      <c r="A25" s="11" t="s">
        <v>406</v>
      </c>
    </row>
    <row r="26">
      <c r="A26" s="11" t="s">
        <v>407</v>
      </c>
    </row>
    <row r="27">
      <c r="A27" s="11" t="s">
        <v>408</v>
      </c>
    </row>
    <row r="28">
      <c r="A28" s="11" t="s">
        <v>409</v>
      </c>
    </row>
    <row r="29">
      <c r="A29" s="11" t="s">
        <v>410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357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19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0.0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4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0.0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97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2.02202331E8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411</v>
      </c>
    </row>
    <row r="23">
      <c r="A23" s="11" t="s">
        <v>412</v>
      </c>
    </row>
    <row r="24">
      <c r="A24" s="11" t="s">
        <v>413</v>
      </c>
    </row>
    <row r="25">
      <c r="A25" s="11" t="s">
        <v>414</v>
      </c>
    </row>
    <row r="26">
      <c r="A26" s="11" t="s">
        <v>415</v>
      </c>
    </row>
    <row r="27">
      <c r="A27" s="11" t="s">
        <v>416</v>
      </c>
    </row>
    <row r="28">
      <c r="A28" s="11" t="s">
        <v>417</v>
      </c>
    </row>
    <row r="29">
      <c r="A29" s="11" t="s">
        <v>418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152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18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60">
        <v>0.0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96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2.02202728E8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419</v>
      </c>
    </row>
    <row r="23">
      <c r="A23" s="11" t="s">
        <v>420</v>
      </c>
    </row>
    <row r="24">
      <c r="A24" s="11" t="s">
        <v>421</v>
      </c>
    </row>
    <row r="25">
      <c r="A25" s="11" t="s">
        <v>422</v>
      </c>
    </row>
    <row r="26">
      <c r="A26" s="11" t="s">
        <v>423</v>
      </c>
    </row>
    <row r="27">
      <c r="A27" s="11" t="s">
        <v>424</v>
      </c>
    </row>
    <row r="28">
      <c r="A28" s="11" t="s">
        <v>425</v>
      </c>
    </row>
    <row r="29">
      <c r="A29" s="11" t="s">
        <v>426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427</v>
      </c>
      <c r="D40" s="61"/>
    </row>
    <row r="41">
      <c r="A41" s="19" t="s">
        <v>27</v>
      </c>
      <c r="B41" s="15"/>
      <c r="C41" s="60" t="s">
        <v>428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3.0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2.02210483E8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429</v>
      </c>
    </row>
    <row r="23">
      <c r="A23" s="11" t="s">
        <v>430</v>
      </c>
    </row>
    <row r="24">
      <c r="A24" s="11" t="s">
        <v>431</v>
      </c>
    </row>
    <row r="25">
      <c r="A25" s="11" t="s">
        <v>432</v>
      </c>
    </row>
    <row r="26">
      <c r="A26" s="11" t="s">
        <v>433</v>
      </c>
    </row>
    <row r="27">
      <c r="A27" s="11" t="s">
        <v>434</v>
      </c>
    </row>
    <row r="28">
      <c r="A28" s="11" t="s">
        <v>435</v>
      </c>
    </row>
    <row r="29">
      <c r="A29" s="11" t="s">
        <v>436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437</v>
      </c>
      <c r="D40" s="61"/>
    </row>
    <row r="41">
      <c r="A41" s="19" t="s">
        <v>27</v>
      </c>
      <c r="B41" s="15"/>
      <c r="C41" s="60" t="s">
        <v>428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2.02211058E8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438</v>
      </c>
    </row>
    <row r="23">
      <c r="A23" s="11" t="s">
        <v>439</v>
      </c>
    </row>
    <row r="24">
      <c r="A24" s="11" t="s">
        <v>440</v>
      </c>
    </row>
    <row r="25">
      <c r="A25" s="11" t="s">
        <v>441</v>
      </c>
    </row>
    <row r="26">
      <c r="A26" s="11" t="s">
        <v>442</v>
      </c>
    </row>
    <row r="27">
      <c r="A27" s="11" t="s">
        <v>443</v>
      </c>
    </row>
    <row r="28">
      <c r="A28" s="11" t="s">
        <v>444</v>
      </c>
    </row>
    <row r="29">
      <c r="A29" s="11" t="s">
        <v>445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446</v>
      </c>
      <c r="D40" s="61"/>
    </row>
    <row r="41">
      <c r="A41" s="19" t="s">
        <v>27</v>
      </c>
      <c r="B41" s="15"/>
      <c r="C41" s="60" t="s">
        <v>163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2.02212426E8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447</v>
      </c>
    </row>
    <row r="23">
      <c r="A23" s="11" t="s">
        <v>448</v>
      </c>
    </row>
    <row r="24">
      <c r="A24" s="11" t="s">
        <v>449</v>
      </c>
    </row>
    <row r="25">
      <c r="A25" s="11" t="s">
        <v>450</v>
      </c>
    </row>
    <row r="26">
      <c r="A26" s="11" t="s">
        <v>451</v>
      </c>
    </row>
    <row r="27">
      <c r="A27" s="11" t="s">
        <v>452</v>
      </c>
    </row>
    <row r="28">
      <c r="A28" s="11" t="s">
        <v>453</v>
      </c>
    </row>
    <row r="29">
      <c r="A29" s="11" t="s">
        <v>454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190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2.02240677E8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455</v>
      </c>
    </row>
    <row r="23">
      <c r="A23" s="11" t="s">
        <v>456</v>
      </c>
    </row>
    <row r="24">
      <c r="A24" s="11" t="s">
        <v>457</v>
      </c>
    </row>
    <row r="25">
      <c r="A25" s="11" t="s">
        <v>458</v>
      </c>
    </row>
    <row r="26">
      <c r="A26" s="11" t="s">
        <v>459</v>
      </c>
    </row>
    <row r="27">
      <c r="A27" s="11" t="s">
        <v>460</v>
      </c>
    </row>
    <row r="28">
      <c r="A28" s="11" t="s">
        <v>461</v>
      </c>
    </row>
    <row r="29">
      <c r="A29" s="11" t="s">
        <v>462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463</v>
      </c>
      <c r="D40" s="61"/>
    </row>
    <row r="41">
      <c r="A41" s="19" t="s">
        <v>27</v>
      </c>
      <c r="B41" s="15"/>
      <c r="C41" s="60" t="s">
        <v>357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464</v>
      </c>
      <c r="D48" s="15"/>
    </row>
    <row r="49">
      <c r="A49" s="19" t="s">
        <v>27</v>
      </c>
      <c r="B49" s="15"/>
      <c r="C49" s="62" t="s">
        <v>131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10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0.0</v>
      </c>
      <c r="D92" s="36"/>
      <c r="E92" s="36"/>
    </row>
    <row r="93">
      <c r="A93" s="44" t="s">
        <v>60</v>
      </c>
      <c r="B93" s="34">
        <v>3.0</v>
      </c>
      <c r="C93" s="63">
        <v>0.0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0.0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18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88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2.02300378E8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465</v>
      </c>
    </row>
    <row r="23">
      <c r="A23" s="11" t="s">
        <v>466</v>
      </c>
    </row>
    <row r="24">
      <c r="A24" s="11" t="s">
        <v>467</v>
      </c>
    </row>
    <row r="25">
      <c r="A25" s="11" t="s">
        <v>468</v>
      </c>
    </row>
    <row r="26">
      <c r="A26" s="11" t="s">
        <v>469</v>
      </c>
    </row>
    <row r="27">
      <c r="A27" s="11" t="s">
        <v>470</v>
      </c>
    </row>
    <row r="28">
      <c r="A28" s="11" t="s">
        <v>471</v>
      </c>
    </row>
    <row r="29">
      <c r="A29" s="11" t="s">
        <v>472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190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97.5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2.02300383E8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473</v>
      </c>
    </row>
    <row r="23">
      <c r="A23" s="11" t="s">
        <v>474</v>
      </c>
    </row>
    <row r="24">
      <c r="A24" s="11" t="s">
        <v>475</v>
      </c>
    </row>
    <row r="25">
      <c r="A25" s="11" t="s">
        <v>476</v>
      </c>
    </row>
    <row r="26">
      <c r="A26" s="11" t="s">
        <v>477</v>
      </c>
    </row>
    <row r="27">
      <c r="A27" s="11" t="s">
        <v>478</v>
      </c>
    </row>
    <row r="28">
      <c r="A28" s="11" t="s">
        <v>479</v>
      </c>
    </row>
    <row r="29">
      <c r="A29" s="11" t="s">
        <v>480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481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117</v>
      </c>
      <c r="D47" s="15"/>
    </row>
    <row r="48">
      <c r="A48" s="17" t="s">
        <v>26</v>
      </c>
      <c r="B48" s="15"/>
      <c r="C48" s="62" t="s">
        <v>482</v>
      </c>
      <c r="D48" s="15"/>
    </row>
    <row r="49">
      <c r="A49" s="19" t="s">
        <v>27</v>
      </c>
      <c r="B49" s="15"/>
      <c r="C49" s="62" t="s">
        <v>163</v>
      </c>
      <c r="D49" s="15"/>
    </row>
    <row r="50">
      <c r="A50" s="19" t="s">
        <v>28</v>
      </c>
      <c r="B50" s="15"/>
      <c r="C50" s="62" t="s">
        <v>117</v>
      </c>
      <c r="D50" s="15"/>
    </row>
    <row r="51">
      <c r="A51" s="17" t="s">
        <v>29</v>
      </c>
      <c r="B51" s="15"/>
      <c r="C51" s="62" t="s">
        <v>117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18.5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40">
        <f>2/4*3</f>
        <v>1.5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0.0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15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0.0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20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0.0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9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0.0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77.5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2.02300465E8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483</v>
      </c>
    </row>
    <row r="23">
      <c r="A23" s="11" t="s">
        <v>484</v>
      </c>
    </row>
    <row r="24">
      <c r="A24" s="11" t="s">
        <v>485</v>
      </c>
    </row>
    <row r="25">
      <c r="A25" s="11" t="s">
        <v>486</v>
      </c>
    </row>
    <row r="26">
      <c r="A26" s="11" t="s">
        <v>487</v>
      </c>
    </row>
    <row r="27">
      <c r="A27" s="11" t="s">
        <v>488</v>
      </c>
    </row>
    <row r="28">
      <c r="A28" s="11" t="s">
        <v>489</v>
      </c>
    </row>
    <row r="29">
      <c r="A29" s="11" t="s">
        <v>490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2.02300484E8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491</v>
      </c>
    </row>
    <row r="23">
      <c r="A23" s="11" t="s">
        <v>492</v>
      </c>
    </row>
    <row r="24">
      <c r="A24" s="11" t="s">
        <v>493</v>
      </c>
    </row>
    <row r="25">
      <c r="A25" s="11" t="s">
        <v>494</v>
      </c>
    </row>
    <row r="26">
      <c r="A26" s="11" t="s">
        <v>495</v>
      </c>
    </row>
    <row r="27">
      <c r="A27" s="11" t="s">
        <v>496</v>
      </c>
    </row>
    <row r="28">
      <c r="A28" s="11" t="s">
        <v>497</v>
      </c>
    </row>
    <row r="29">
      <c r="A29" s="11" t="s">
        <v>498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499</v>
      </c>
    </row>
    <row r="23">
      <c r="A23" s="11" t="s">
        <v>500</v>
      </c>
    </row>
    <row r="24">
      <c r="A24" s="11" t="s">
        <v>501</v>
      </c>
    </row>
    <row r="25">
      <c r="A25" s="11" t="s">
        <v>502</v>
      </c>
    </row>
    <row r="26">
      <c r="A26" s="11" t="s">
        <v>503</v>
      </c>
    </row>
    <row r="27">
      <c r="A27" s="11" t="s">
        <v>504</v>
      </c>
    </row>
    <row r="28">
      <c r="A28" s="11" t="s">
        <v>505</v>
      </c>
    </row>
    <row r="29">
      <c r="A29" s="11" t="s">
        <v>506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507</v>
      </c>
      <c r="D40" s="61"/>
    </row>
    <row r="41">
      <c r="A41" s="19" t="s">
        <v>27</v>
      </c>
      <c r="B41" s="15"/>
      <c r="C41" s="60" t="s">
        <v>190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508</v>
      </c>
      <c r="D48" s="15"/>
    </row>
    <row r="49">
      <c r="A49" s="19" t="s">
        <v>27</v>
      </c>
      <c r="B49" s="15"/>
      <c r="C49" s="62" t="s">
        <v>119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20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0.0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4.5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0.5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3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0.0</v>
      </c>
      <c r="D115" s="36"/>
      <c r="E115" s="36"/>
    </row>
    <row r="116">
      <c r="A116" s="33" t="s">
        <v>83</v>
      </c>
      <c r="B116" s="34">
        <v>1.0</v>
      </c>
      <c r="C116" s="46">
        <v>0.0</v>
      </c>
      <c r="D116" s="36"/>
      <c r="E116" s="36"/>
    </row>
    <row r="117">
      <c r="A117" s="33" t="s">
        <v>84</v>
      </c>
      <c r="B117" s="34">
        <v>4.0</v>
      </c>
      <c r="C117" s="46">
        <v>0.0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2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0.0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75.5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2.0230054E8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509</v>
      </c>
    </row>
    <row r="23">
      <c r="A23" s="11" t="s">
        <v>510</v>
      </c>
    </row>
    <row r="24">
      <c r="A24" s="11" t="s">
        <v>511</v>
      </c>
    </row>
    <row r="25">
      <c r="A25" s="11" t="s">
        <v>512</v>
      </c>
    </row>
    <row r="26">
      <c r="A26" s="11" t="s">
        <v>513</v>
      </c>
    </row>
    <row r="27">
      <c r="A27" s="11" t="s">
        <v>514</v>
      </c>
    </row>
    <row r="28">
      <c r="A28" s="11" t="s">
        <v>515</v>
      </c>
    </row>
    <row r="29">
      <c r="A29" s="11" t="s">
        <v>516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517</v>
      </c>
      <c r="D40" s="61"/>
    </row>
    <row r="41">
      <c r="A41" s="19" t="s">
        <v>27</v>
      </c>
      <c r="B41" s="15"/>
      <c r="C41" s="60" t="s">
        <v>163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18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1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92.5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2.02300559E8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518</v>
      </c>
    </row>
    <row r="23">
      <c r="A23" s="11" t="s">
        <v>519</v>
      </c>
    </row>
    <row r="24">
      <c r="A24" s="11" t="s">
        <v>520</v>
      </c>
    </row>
    <row r="25">
      <c r="A25" s="11" t="s">
        <v>521</v>
      </c>
    </row>
    <row r="26">
      <c r="A26" s="11" t="s">
        <v>522</v>
      </c>
    </row>
    <row r="27">
      <c r="A27" s="11" t="s">
        <v>523</v>
      </c>
    </row>
    <row r="28">
      <c r="A28" s="11" t="s">
        <v>524</v>
      </c>
    </row>
    <row r="29">
      <c r="A29" s="11" t="s">
        <v>525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526</v>
      </c>
      <c r="D40" s="61"/>
    </row>
    <row r="41">
      <c r="A41" s="19" t="s">
        <v>27</v>
      </c>
      <c r="B41" s="15"/>
      <c r="C41" s="60" t="s">
        <v>357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2.2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0.2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98.2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2.0230058E8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527</v>
      </c>
    </row>
    <row r="23">
      <c r="A23" s="11" t="s">
        <v>528</v>
      </c>
    </row>
    <row r="24">
      <c r="A24" s="11" t="s">
        <v>529</v>
      </c>
    </row>
    <row r="25">
      <c r="A25" s="11" t="s">
        <v>530</v>
      </c>
    </row>
    <row r="26">
      <c r="A26" s="11" t="s">
        <v>531</v>
      </c>
    </row>
    <row r="27">
      <c r="A27" s="11" t="s">
        <v>532</v>
      </c>
    </row>
    <row r="28">
      <c r="A28" s="11" t="s">
        <v>533</v>
      </c>
    </row>
    <row r="29">
      <c r="A29" s="11" t="s">
        <v>534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376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0.0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18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0.0</v>
      </c>
      <c r="D98" s="36"/>
      <c r="E98" s="36"/>
    </row>
    <row r="99">
      <c r="A99" s="33" t="s">
        <v>66</v>
      </c>
      <c r="B99" s="34">
        <v>3.0</v>
      </c>
      <c r="C99" s="66">
        <v>0.0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1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0.0</v>
      </c>
      <c r="D107" s="36"/>
      <c r="E107" s="36"/>
    </row>
    <row r="108">
      <c r="A108" s="33" t="s">
        <v>75</v>
      </c>
      <c r="B108" s="34">
        <v>1.0</v>
      </c>
      <c r="C108" s="66">
        <v>0.0</v>
      </c>
      <c r="D108" s="36"/>
      <c r="E108" s="36"/>
    </row>
    <row r="109">
      <c r="A109" s="33" t="s">
        <v>76</v>
      </c>
      <c r="B109" s="34">
        <v>1.0</v>
      </c>
      <c r="C109" s="66">
        <v>0.0</v>
      </c>
      <c r="D109" s="36"/>
      <c r="E109" s="36"/>
    </row>
    <row r="110">
      <c r="A110" s="33" t="s">
        <v>77</v>
      </c>
      <c r="B110" s="34">
        <v>1.0</v>
      </c>
      <c r="C110" s="66">
        <v>0.0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0.5</v>
      </c>
      <c r="D111" s="32"/>
      <c r="E111" s="32"/>
    </row>
    <row r="112">
      <c r="A112" s="33" t="s">
        <v>79</v>
      </c>
      <c r="B112" s="34">
        <v>1.0</v>
      </c>
      <c r="C112" s="66">
        <v>0.5</v>
      </c>
      <c r="D112" s="36"/>
      <c r="E112" s="36"/>
    </row>
    <row r="113">
      <c r="A113" s="33" t="s">
        <v>80</v>
      </c>
      <c r="B113" s="34">
        <v>1.0</v>
      </c>
      <c r="C113" s="46">
        <v>0.0</v>
      </c>
      <c r="D113" s="36"/>
      <c r="E113" s="36"/>
    </row>
    <row r="114">
      <c r="A114" s="33" t="s">
        <v>81</v>
      </c>
      <c r="B114" s="34">
        <v>1.0</v>
      </c>
      <c r="C114" s="46">
        <v>0.0</v>
      </c>
      <c r="D114" s="36"/>
      <c r="E114" s="36"/>
    </row>
    <row r="115">
      <c r="A115" s="33" t="s">
        <v>82</v>
      </c>
      <c r="B115" s="34">
        <v>1.0</v>
      </c>
      <c r="C115" s="46">
        <v>0.0</v>
      </c>
      <c r="D115" s="36"/>
      <c r="E115" s="36"/>
    </row>
    <row r="116">
      <c r="A116" s="33" t="s">
        <v>83</v>
      </c>
      <c r="B116" s="34">
        <v>1.0</v>
      </c>
      <c r="C116" s="46">
        <v>0.0</v>
      </c>
      <c r="D116" s="36"/>
      <c r="E116" s="36"/>
    </row>
    <row r="117">
      <c r="A117" s="33" t="s">
        <v>84</v>
      </c>
      <c r="B117" s="34">
        <v>4.0</v>
      </c>
      <c r="C117" s="46">
        <v>0.0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2</v>
      </c>
      <c r="D126" s="52"/>
      <c r="E126" s="52"/>
    </row>
    <row r="127">
      <c r="A127" s="44" t="s">
        <v>94</v>
      </c>
      <c r="B127" s="53">
        <v>2.0</v>
      </c>
      <c r="C127" s="66">
        <v>0.0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66.5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2.02300611E8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535</v>
      </c>
    </row>
    <row r="23">
      <c r="A23" s="11" t="s">
        <v>536</v>
      </c>
    </row>
    <row r="24">
      <c r="A24" s="11" t="s">
        <v>537</v>
      </c>
    </row>
    <row r="25">
      <c r="A25" s="11" t="s">
        <v>538</v>
      </c>
    </row>
    <row r="26">
      <c r="A26" s="11" t="s">
        <v>539</v>
      </c>
    </row>
    <row r="27">
      <c r="A27" s="11" t="s">
        <v>540</v>
      </c>
    </row>
    <row r="28">
      <c r="A28" s="11" t="s">
        <v>541</v>
      </c>
    </row>
    <row r="29">
      <c r="A29" s="11" t="s">
        <v>542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376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13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4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1.0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2.02300659E8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543</v>
      </c>
    </row>
    <row r="23">
      <c r="A23" s="11" t="s">
        <v>544</v>
      </c>
    </row>
    <row r="24">
      <c r="A24" s="11" t="s">
        <v>545</v>
      </c>
    </row>
    <row r="25">
      <c r="A25" s="11" t="s">
        <v>546</v>
      </c>
    </row>
    <row r="26">
      <c r="A26" s="11" t="s">
        <v>547</v>
      </c>
    </row>
    <row r="27">
      <c r="A27" s="11" t="s">
        <v>548</v>
      </c>
    </row>
    <row r="28">
      <c r="A28" s="11" t="s">
        <v>549</v>
      </c>
    </row>
    <row r="29">
      <c r="A29" s="11" t="s">
        <v>550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117</v>
      </c>
      <c r="D39" s="61"/>
    </row>
    <row r="40">
      <c r="A40" s="17" t="s">
        <v>26</v>
      </c>
      <c r="B40" s="15"/>
      <c r="C40" s="60" t="s">
        <v>551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117</v>
      </c>
      <c r="D42" s="61"/>
    </row>
    <row r="43">
      <c r="A43" s="17" t="s">
        <v>29</v>
      </c>
      <c r="B43" s="15"/>
      <c r="C43" s="60" t="s">
        <v>117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552</v>
      </c>
      <c r="D48" s="15"/>
    </row>
    <row r="49">
      <c r="A49" s="19" t="s">
        <v>27</v>
      </c>
      <c r="B49" s="15"/>
      <c r="C49" s="62" t="s">
        <v>243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2.02300669E8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553</v>
      </c>
    </row>
    <row r="23">
      <c r="A23" s="11" t="s">
        <v>554</v>
      </c>
    </row>
    <row r="24">
      <c r="A24" s="11" t="s">
        <v>555</v>
      </c>
    </row>
    <row r="25">
      <c r="A25" s="11" t="s">
        <v>556</v>
      </c>
    </row>
    <row r="26">
      <c r="A26" s="11" t="s">
        <v>557</v>
      </c>
    </row>
    <row r="27">
      <c r="A27" s="11" t="s">
        <v>558</v>
      </c>
    </row>
    <row r="28">
      <c r="A28" s="11" t="s">
        <v>559</v>
      </c>
    </row>
    <row r="29">
      <c r="A29" s="11" t="s">
        <v>560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561</v>
      </c>
      <c r="D40" s="61"/>
    </row>
    <row r="41">
      <c r="A41" s="19" t="s">
        <v>27</v>
      </c>
      <c r="B41" s="15"/>
      <c r="C41" s="60" t="s">
        <v>357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12.5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0.0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0.0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2.2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0.2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1</v>
      </c>
      <c r="D129" s="56"/>
      <c r="E129" s="56"/>
    </row>
    <row r="130">
      <c r="A130" s="44" t="s">
        <v>97</v>
      </c>
      <c r="B130" s="34">
        <v>1.0</v>
      </c>
      <c r="C130" s="66">
        <v>0.0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85.7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2.02300687E8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562</v>
      </c>
    </row>
    <row r="23">
      <c r="A23" s="11" t="s">
        <v>563</v>
      </c>
    </row>
    <row r="24">
      <c r="A24" s="11" t="s">
        <v>564</v>
      </c>
    </row>
    <row r="25">
      <c r="A25" s="11" t="s">
        <v>565</v>
      </c>
    </row>
    <row r="26">
      <c r="A26" s="11" t="s">
        <v>566</v>
      </c>
    </row>
    <row r="27">
      <c r="A27" s="11" t="s">
        <v>567</v>
      </c>
    </row>
    <row r="28">
      <c r="A28" s="11" t="s">
        <v>568</v>
      </c>
    </row>
    <row r="29">
      <c r="A29" s="11" t="s">
        <v>569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570</v>
      </c>
      <c r="D40" s="61"/>
    </row>
    <row r="41">
      <c r="A41" s="19" t="s">
        <v>27</v>
      </c>
      <c r="B41" s="15"/>
      <c r="C41" s="60" t="s">
        <v>119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18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92.5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2.02300694E8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571</v>
      </c>
    </row>
    <row r="23">
      <c r="A23" s="11" t="s">
        <v>572</v>
      </c>
    </row>
    <row r="24">
      <c r="A24" s="11" t="s">
        <v>573</v>
      </c>
    </row>
    <row r="25">
      <c r="A25" s="11" t="s">
        <v>574</v>
      </c>
    </row>
    <row r="26">
      <c r="A26" s="11" t="s">
        <v>575</v>
      </c>
    </row>
    <row r="27">
      <c r="A27" s="11" t="s">
        <v>576</v>
      </c>
    </row>
    <row r="28">
      <c r="A28" s="11" t="s">
        <v>577</v>
      </c>
    </row>
    <row r="29">
      <c r="A29" s="11" t="s">
        <v>578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579</v>
      </c>
      <c r="D40" s="61"/>
    </row>
    <row r="41">
      <c r="A41" s="19" t="s">
        <v>27</v>
      </c>
      <c r="B41" s="15"/>
      <c r="C41" s="60" t="s">
        <v>376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21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4.0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97.5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2.02300733E8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580</v>
      </c>
    </row>
    <row r="23">
      <c r="A23" s="11" t="s">
        <v>581</v>
      </c>
    </row>
    <row r="24">
      <c r="A24" s="11" t="s">
        <v>582</v>
      </c>
    </row>
    <row r="25">
      <c r="A25" s="11" t="s">
        <v>583</v>
      </c>
    </row>
    <row r="26">
      <c r="A26" s="11" t="s">
        <v>584</v>
      </c>
    </row>
    <row r="27">
      <c r="A27" s="11" t="s">
        <v>585</v>
      </c>
    </row>
    <row r="28">
      <c r="A28" s="11" t="s">
        <v>586</v>
      </c>
    </row>
    <row r="29">
      <c r="A29" s="11" t="s">
        <v>587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180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13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3.5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1.5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90.5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2.02300756E8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588</v>
      </c>
    </row>
    <row r="23">
      <c r="A23" s="11" t="s">
        <v>589</v>
      </c>
    </row>
    <row r="24">
      <c r="A24" s="11" t="s">
        <v>590</v>
      </c>
    </row>
    <row r="25">
      <c r="A25" s="11" t="s">
        <v>591</v>
      </c>
    </row>
    <row r="26">
      <c r="A26" s="11" t="s">
        <v>592</v>
      </c>
    </row>
    <row r="27">
      <c r="A27" s="11" t="s">
        <v>593</v>
      </c>
    </row>
    <row r="28">
      <c r="A28" s="11" t="s">
        <v>594</v>
      </c>
    </row>
    <row r="29">
      <c r="A29" s="11" t="s">
        <v>595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339</v>
      </c>
      <c r="D40" s="61"/>
    </row>
    <row r="41">
      <c r="A41" s="19" t="s">
        <v>27</v>
      </c>
      <c r="B41" s="15"/>
      <c r="C41" s="60" t="s">
        <v>131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2.02300807E8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596</v>
      </c>
    </row>
    <row r="23">
      <c r="A23" s="11" t="s">
        <v>597</v>
      </c>
    </row>
    <row r="24">
      <c r="A24" s="11" t="s">
        <v>598</v>
      </c>
    </row>
    <row r="25">
      <c r="A25" s="11" t="s">
        <v>599</v>
      </c>
    </row>
    <row r="26">
      <c r="A26" s="11" t="s">
        <v>600</v>
      </c>
    </row>
    <row r="27">
      <c r="A27" s="11" t="s">
        <v>601</v>
      </c>
    </row>
    <row r="28">
      <c r="A28" s="11" t="s">
        <v>602</v>
      </c>
    </row>
    <row r="29">
      <c r="A29" s="11" t="s">
        <v>603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428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97.5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2.02302035E8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604</v>
      </c>
    </row>
    <row r="23">
      <c r="A23" s="11" t="s">
        <v>605</v>
      </c>
    </row>
    <row r="24">
      <c r="A24" s="11" t="s">
        <v>606</v>
      </c>
    </row>
    <row r="25">
      <c r="A25" s="11" t="s">
        <v>607</v>
      </c>
    </row>
    <row r="26">
      <c r="A26" s="11" t="s">
        <v>608</v>
      </c>
    </row>
    <row r="27">
      <c r="A27" s="11" t="s">
        <v>609</v>
      </c>
    </row>
    <row r="28">
      <c r="A28" s="11" t="s">
        <v>610</v>
      </c>
    </row>
    <row r="29">
      <c r="A29" s="11" t="s">
        <v>611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376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2.02302232E8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612</v>
      </c>
    </row>
    <row r="23">
      <c r="A23" s="11" t="s">
        <v>613</v>
      </c>
    </row>
    <row r="24">
      <c r="A24" s="11" t="s">
        <v>614</v>
      </c>
    </row>
    <row r="25">
      <c r="A25" s="11" t="s">
        <v>615</v>
      </c>
    </row>
    <row r="26">
      <c r="A26" s="11" t="s">
        <v>616</v>
      </c>
    </row>
    <row r="27">
      <c r="A27" s="11" t="s">
        <v>617</v>
      </c>
    </row>
    <row r="28">
      <c r="A28" s="11" t="s">
        <v>618</v>
      </c>
    </row>
    <row r="29">
      <c r="A29" s="11" t="s">
        <v>619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0</v>
      </c>
      <c r="D71" s="32"/>
      <c r="E71" s="32"/>
    </row>
    <row r="72">
      <c r="A72" s="33" t="s">
        <v>39</v>
      </c>
      <c r="B72" s="34">
        <v>1.0</v>
      </c>
      <c r="C72" s="35"/>
      <c r="D72" s="36"/>
      <c r="E72" s="36"/>
    </row>
    <row r="73">
      <c r="A73" s="33" t="s">
        <v>40</v>
      </c>
      <c r="B73" s="34">
        <v>1.0</v>
      </c>
      <c r="C73" s="35"/>
      <c r="D73" s="36"/>
      <c r="E73" s="36"/>
    </row>
    <row r="74">
      <c r="A74" s="33" t="s">
        <v>41</v>
      </c>
      <c r="B74" s="34">
        <v>0.5</v>
      </c>
      <c r="C74" s="35"/>
      <c r="D74" s="36"/>
      <c r="E74" s="36"/>
    </row>
    <row r="75">
      <c r="A75" s="37" t="s">
        <v>42</v>
      </c>
      <c r="B75" s="34">
        <v>2.0</v>
      </c>
      <c r="C75" s="35"/>
      <c r="D75" s="36"/>
      <c r="E75" s="36"/>
    </row>
    <row r="76">
      <c r="A76" s="33" t="s">
        <v>43</v>
      </c>
      <c r="B76" s="34">
        <v>1.0</v>
      </c>
      <c r="C76" s="35"/>
      <c r="D76" s="36"/>
      <c r="E76" s="36"/>
    </row>
    <row r="77">
      <c r="A77" s="33" t="s">
        <v>44</v>
      </c>
      <c r="B77" s="34">
        <v>2.0</v>
      </c>
      <c r="C77" s="35"/>
      <c r="D77" s="36"/>
      <c r="E77" s="36"/>
    </row>
    <row r="78">
      <c r="A78" s="33" t="s">
        <v>45</v>
      </c>
      <c r="B78" s="34">
        <v>1.0</v>
      </c>
      <c r="C78" s="35"/>
      <c r="D78" s="36"/>
      <c r="E78" s="36"/>
    </row>
    <row r="79">
      <c r="A79" s="33" t="s">
        <v>46</v>
      </c>
      <c r="B79" s="34">
        <v>2.0</v>
      </c>
      <c r="C79" s="35"/>
      <c r="D79" s="36"/>
      <c r="E79" s="36"/>
    </row>
    <row r="80">
      <c r="A80" s="38" t="s">
        <v>47</v>
      </c>
      <c r="B80" s="39">
        <v>0.25</v>
      </c>
      <c r="C80" s="35"/>
      <c r="D80" s="36"/>
      <c r="E80" s="36"/>
    </row>
    <row r="81">
      <c r="A81" s="38" t="s">
        <v>48</v>
      </c>
      <c r="B81" s="39">
        <v>0.25</v>
      </c>
      <c r="C81" s="40"/>
      <c r="D81" s="40"/>
      <c r="E81" s="40"/>
    </row>
    <row r="82">
      <c r="A82" s="38" t="s">
        <v>49</v>
      </c>
      <c r="B82" s="41">
        <v>2.0</v>
      </c>
      <c r="C82" s="40"/>
      <c r="D82" s="40"/>
      <c r="E82" s="40"/>
    </row>
    <row r="83">
      <c r="A83" s="38" t="s">
        <v>50</v>
      </c>
      <c r="B83" s="41">
        <v>2.0</v>
      </c>
      <c r="C83" s="40"/>
      <c r="D83" s="40"/>
      <c r="E83" s="40"/>
    </row>
    <row r="84">
      <c r="A84" s="38" t="s">
        <v>51</v>
      </c>
      <c r="B84" s="41">
        <v>2.0</v>
      </c>
      <c r="C84" s="42"/>
      <c r="D84" s="40"/>
      <c r="E84" s="40"/>
    </row>
    <row r="85">
      <c r="A85" s="38" t="s">
        <v>52</v>
      </c>
      <c r="B85" s="41">
        <v>2.0</v>
      </c>
      <c r="C85" s="42"/>
      <c r="D85" s="40"/>
      <c r="E85" s="40"/>
    </row>
    <row r="86">
      <c r="A86" s="38" t="s">
        <v>53</v>
      </c>
      <c r="B86" s="41">
        <v>2.0</v>
      </c>
      <c r="C86" s="40"/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0</v>
      </c>
      <c r="D87" s="32"/>
      <c r="E87" s="32"/>
    </row>
    <row r="88">
      <c r="A88" s="44" t="s">
        <v>55</v>
      </c>
      <c r="B88" s="34">
        <v>1.0</v>
      </c>
      <c r="C88" s="35"/>
      <c r="D88" s="36"/>
      <c r="E88" s="36"/>
    </row>
    <row r="89">
      <c r="A89" s="44" t="s">
        <v>56</v>
      </c>
      <c r="B89" s="34">
        <v>1.0</v>
      </c>
      <c r="C89" s="35"/>
      <c r="D89" s="36"/>
      <c r="E89" s="36"/>
    </row>
    <row r="90">
      <c r="A90" s="33" t="s">
        <v>57</v>
      </c>
      <c r="B90" s="34">
        <v>3.0</v>
      </c>
      <c r="C90" s="35"/>
      <c r="D90" s="36"/>
      <c r="E90" s="36"/>
    </row>
    <row r="91">
      <c r="A91" s="44" t="s">
        <v>58</v>
      </c>
      <c r="B91" s="34">
        <v>3.0</v>
      </c>
      <c r="C91" s="35"/>
      <c r="D91" s="36"/>
      <c r="E91" s="36"/>
    </row>
    <row r="92">
      <c r="A92" s="44" t="s">
        <v>59</v>
      </c>
      <c r="B92" s="34">
        <v>3.0</v>
      </c>
      <c r="C92" s="35"/>
      <c r="D92" s="36"/>
      <c r="E92" s="36"/>
    </row>
    <row r="93">
      <c r="A93" s="44" t="s">
        <v>60</v>
      </c>
      <c r="B93" s="34">
        <v>3.0</v>
      </c>
      <c r="C93" s="35"/>
      <c r="D93" s="36"/>
      <c r="E93" s="36"/>
    </row>
    <row r="94">
      <c r="A94" s="44" t="s">
        <v>61</v>
      </c>
      <c r="B94" s="34">
        <v>2.0</v>
      </c>
      <c r="C94" s="35"/>
      <c r="D94" s="36"/>
      <c r="E94" s="36"/>
    </row>
    <row r="95">
      <c r="A95" s="44" t="s">
        <v>62</v>
      </c>
      <c r="B95" s="34">
        <v>2.0</v>
      </c>
      <c r="C95" s="35"/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0</v>
      </c>
      <c r="D96" s="32"/>
      <c r="E96" s="32"/>
    </row>
    <row r="97">
      <c r="A97" s="33" t="s">
        <v>64</v>
      </c>
      <c r="B97" s="34">
        <v>2.0</v>
      </c>
      <c r="C97" s="35"/>
      <c r="D97" s="36"/>
      <c r="E97" s="36"/>
    </row>
    <row r="98">
      <c r="A98" s="33" t="s">
        <v>65</v>
      </c>
      <c r="B98" s="34">
        <v>2.0</v>
      </c>
      <c r="C98" s="45"/>
      <c r="D98" s="36"/>
      <c r="E98" s="36"/>
    </row>
    <row r="99">
      <c r="A99" s="33" t="s">
        <v>66</v>
      </c>
      <c r="B99" s="34">
        <v>3.0</v>
      </c>
      <c r="C99" s="45"/>
      <c r="D99" s="36"/>
      <c r="E99" s="36"/>
    </row>
    <row r="100">
      <c r="A100" s="33" t="s">
        <v>67</v>
      </c>
      <c r="B100" s="34">
        <v>4.0</v>
      </c>
      <c r="C100" s="45"/>
      <c r="D100" s="36"/>
      <c r="E100" s="36"/>
    </row>
    <row r="101">
      <c r="A101" s="33" t="s">
        <v>68</v>
      </c>
      <c r="B101" s="34">
        <v>4.0</v>
      </c>
      <c r="C101" s="45"/>
      <c r="D101" s="36"/>
      <c r="E101" s="36"/>
    </row>
    <row r="102">
      <c r="A102" s="33" t="s">
        <v>69</v>
      </c>
      <c r="B102" s="34">
        <v>5.0</v>
      </c>
      <c r="C102" s="45"/>
      <c r="D102" s="36"/>
      <c r="E102" s="36"/>
    </row>
    <row r="103">
      <c r="A103" s="44" t="s">
        <v>70</v>
      </c>
      <c r="B103" s="34">
        <v>1.0</v>
      </c>
      <c r="C103" s="45"/>
      <c r="D103" s="36"/>
      <c r="E103" s="36"/>
    </row>
    <row r="104">
      <c r="A104" s="44" t="s">
        <v>71</v>
      </c>
      <c r="B104" s="34">
        <v>2.0</v>
      </c>
      <c r="C104" s="45"/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0</v>
      </c>
      <c r="D105" s="43"/>
      <c r="E105" s="43"/>
    </row>
    <row r="106">
      <c r="A106" s="33" t="s">
        <v>73</v>
      </c>
      <c r="B106" s="34">
        <v>1.0</v>
      </c>
      <c r="C106" s="45"/>
      <c r="D106" s="36"/>
      <c r="E106" s="36"/>
    </row>
    <row r="107">
      <c r="A107" s="33" t="s">
        <v>74</v>
      </c>
      <c r="B107" s="34">
        <v>1.0</v>
      </c>
      <c r="C107" s="35"/>
      <c r="D107" s="36"/>
      <c r="E107" s="36"/>
    </row>
    <row r="108">
      <c r="A108" s="33" t="s">
        <v>75</v>
      </c>
      <c r="B108" s="34">
        <v>1.0</v>
      </c>
      <c r="C108" s="45"/>
      <c r="D108" s="36"/>
      <c r="E108" s="36"/>
    </row>
    <row r="109">
      <c r="A109" s="33" t="s">
        <v>76</v>
      </c>
      <c r="B109" s="34">
        <v>1.0</v>
      </c>
      <c r="C109" s="45"/>
      <c r="D109" s="36"/>
      <c r="E109" s="36"/>
    </row>
    <row r="110">
      <c r="A110" s="33" t="s">
        <v>77</v>
      </c>
      <c r="B110" s="34">
        <v>1.0</v>
      </c>
      <c r="C110" s="45"/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0</v>
      </c>
      <c r="D111" s="32"/>
      <c r="E111" s="32"/>
    </row>
    <row r="112">
      <c r="A112" s="33" t="s">
        <v>79</v>
      </c>
      <c r="B112" s="34">
        <v>1.0</v>
      </c>
      <c r="C112" s="45"/>
      <c r="D112" s="36"/>
      <c r="E112" s="36"/>
    </row>
    <row r="113">
      <c r="A113" s="33" t="s">
        <v>80</v>
      </c>
      <c r="B113" s="34">
        <v>1.0</v>
      </c>
      <c r="C113" s="46"/>
      <c r="D113" s="36"/>
      <c r="E113" s="36"/>
    </row>
    <row r="114">
      <c r="A114" s="33" t="s">
        <v>81</v>
      </c>
      <c r="B114" s="34">
        <v>1.0</v>
      </c>
      <c r="C114" s="46"/>
      <c r="D114" s="36"/>
      <c r="E114" s="36"/>
    </row>
    <row r="115">
      <c r="A115" s="33" t="s">
        <v>82</v>
      </c>
      <c r="B115" s="34">
        <v>1.0</v>
      </c>
      <c r="C115" s="46"/>
      <c r="D115" s="36"/>
      <c r="E115" s="36"/>
    </row>
    <row r="116">
      <c r="A116" s="33" t="s">
        <v>83</v>
      </c>
      <c r="B116" s="34">
        <v>1.0</v>
      </c>
      <c r="C116" s="46"/>
      <c r="D116" s="36"/>
      <c r="E116" s="36"/>
    </row>
    <row r="117">
      <c r="A117" s="33" t="s">
        <v>84</v>
      </c>
      <c r="B117" s="34">
        <v>4.0</v>
      </c>
      <c r="C117" s="46"/>
      <c r="D117" s="36"/>
      <c r="E117" s="36"/>
    </row>
    <row r="118">
      <c r="A118" s="33" t="s">
        <v>85</v>
      </c>
      <c r="B118" s="34">
        <v>4.0</v>
      </c>
      <c r="C118" s="46"/>
      <c r="D118" s="36"/>
      <c r="E118" s="36"/>
    </row>
    <row r="119">
      <c r="A119" s="33" t="s">
        <v>86</v>
      </c>
      <c r="B119" s="34">
        <v>4.0</v>
      </c>
      <c r="C119" s="46"/>
      <c r="D119" s="36"/>
      <c r="E119" s="36"/>
    </row>
    <row r="120">
      <c r="A120" s="33" t="s">
        <v>87</v>
      </c>
      <c r="B120" s="34">
        <v>5.0</v>
      </c>
      <c r="C120" s="46"/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0</v>
      </c>
      <c r="D121" s="32"/>
      <c r="E121" s="32"/>
    </row>
    <row r="122">
      <c r="A122" s="47" t="s">
        <v>89</v>
      </c>
      <c r="B122" s="39">
        <v>1.0</v>
      </c>
      <c r="C122" s="48"/>
      <c r="D122" s="48"/>
      <c r="E122" s="48"/>
    </row>
    <row r="123">
      <c r="A123" s="47" t="s">
        <v>90</v>
      </c>
      <c r="B123" s="39">
        <v>1.0</v>
      </c>
      <c r="C123" s="48"/>
      <c r="D123" s="48"/>
      <c r="E123" s="48"/>
    </row>
    <row r="124">
      <c r="A124" s="47" t="s">
        <v>91</v>
      </c>
      <c r="B124" s="39">
        <v>1.0</v>
      </c>
      <c r="C124" s="37"/>
      <c r="D124" s="37"/>
      <c r="E124" s="37"/>
    </row>
    <row r="125">
      <c r="A125" s="47" t="s">
        <v>92</v>
      </c>
      <c r="B125" s="39">
        <v>2.0</v>
      </c>
      <c r="C125" s="37"/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45"/>
      <c r="D127" s="36"/>
      <c r="E127" s="36"/>
    </row>
    <row r="128">
      <c r="A128" s="33" t="s">
        <v>95</v>
      </c>
      <c r="B128" s="53">
        <v>2.0</v>
      </c>
      <c r="C128" s="45"/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0</v>
      </c>
      <c r="D129" s="56"/>
      <c r="E129" s="56"/>
    </row>
    <row r="130">
      <c r="A130" s="44" t="s">
        <v>97</v>
      </c>
      <c r="B130" s="34">
        <v>1.0</v>
      </c>
      <c r="C130" s="45"/>
      <c r="D130" s="36"/>
      <c r="E130" s="36"/>
    </row>
    <row r="131">
      <c r="A131" s="44" t="s">
        <v>98</v>
      </c>
      <c r="B131" s="34">
        <v>1.0</v>
      </c>
      <c r="C131" s="46"/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2.02302855E8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620</v>
      </c>
    </row>
    <row r="23">
      <c r="A23" s="11" t="s">
        <v>621</v>
      </c>
    </row>
    <row r="24">
      <c r="A24" s="11" t="s">
        <v>622</v>
      </c>
    </row>
    <row r="25">
      <c r="A25" s="11" t="s">
        <v>623</v>
      </c>
    </row>
    <row r="26">
      <c r="A26" s="11" t="s">
        <v>624</v>
      </c>
    </row>
    <row r="27">
      <c r="A27" s="11" t="s">
        <v>625</v>
      </c>
    </row>
    <row r="28">
      <c r="A28" s="11" t="s">
        <v>626</v>
      </c>
    </row>
    <row r="29">
      <c r="A29" s="11" t="s">
        <v>627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561</v>
      </c>
      <c r="D40" s="61"/>
    </row>
    <row r="41">
      <c r="A41" s="19" t="s">
        <v>27</v>
      </c>
      <c r="B41" s="15"/>
      <c r="C41" s="60" t="s">
        <v>243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2.02303204E8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628</v>
      </c>
    </row>
    <row r="23">
      <c r="A23" s="11" t="s">
        <v>629</v>
      </c>
    </row>
    <row r="24">
      <c r="A24" s="11" t="s">
        <v>630</v>
      </c>
    </row>
    <row r="25">
      <c r="A25" s="11" t="s">
        <v>631</v>
      </c>
    </row>
    <row r="26">
      <c r="A26" s="11" t="s">
        <v>632</v>
      </c>
    </row>
    <row r="27">
      <c r="A27" s="11" t="s">
        <v>633</v>
      </c>
    </row>
    <row r="28">
      <c r="A28" s="11" t="s">
        <v>634</v>
      </c>
    </row>
    <row r="29">
      <c r="A29" s="11" t="s">
        <v>635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636</v>
      </c>
      <c r="D40" s="61"/>
    </row>
    <row r="41">
      <c r="A41" s="19" t="s">
        <v>27</v>
      </c>
      <c r="B41" s="15"/>
      <c r="C41" s="60" t="s">
        <v>153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2.02305456E8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637</v>
      </c>
    </row>
    <row r="23">
      <c r="A23" s="11" t="s">
        <v>638</v>
      </c>
    </row>
    <row r="24">
      <c r="A24" s="11" t="s">
        <v>639</v>
      </c>
    </row>
    <row r="25">
      <c r="A25" s="11" t="s">
        <v>640</v>
      </c>
    </row>
    <row r="26">
      <c r="A26" s="11" t="s">
        <v>641</v>
      </c>
    </row>
    <row r="27">
      <c r="A27" s="11" t="s">
        <v>642</v>
      </c>
    </row>
    <row r="28">
      <c r="A28" s="11" t="s">
        <v>643</v>
      </c>
    </row>
    <row r="29">
      <c r="A29" s="11" t="s">
        <v>644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645</v>
      </c>
      <c r="D40" s="61"/>
    </row>
    <row r="41">
      <c r="A41" s="19" t="s">
        <v>27</v>
      </c>
      <c r="B41" s="15"/>
      <c r="C41" s="60" t="s">
        <v>131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19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0.0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13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86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2.02307378E8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646</v>
      </c>
    </row>
    <row r="23">
      <c r="A23" s="11" t="s">
        <v>647</v>
      </c>
    </row>
    <row r="24">
      <c r="A24" s="11" t="s">
        <v>648</v>
      </c>
    </row>
    <row r="25">
      <c r="A25" s="11" t="s">
        <v>649</v>
      </c>
    </row>
    <row r="26">
      <c r="A26" s="11" t="s">
        <v>650</v>
      </c>
    </row>
    <row r="27">
      <c r="A27" s="11" t="s">
        <v>651</v>
      </c>
    </row>
    <row r="28">
      <c r="A28" s="11" t="s">
        <v>652</v>
      </c>
    </row>
    <row r="29">
      <c r="A29" s="11" t="s">
        <v>653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654</v>
      </c>
      <c r="D40" s="61"/>
    </row>
    <row r="41">
      <c r="A41" s="19" t="s">
        <v>27</v>
      </c>
      <c r="B41" s="15"/>
      <c r="C41" s="60" t="s">
        <v>143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21.5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1.5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3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0.0</v>
      </c>
      <c r="D108" s="36"/>
      <c r="E108" s="36"/>
    </row>
    <row r="109">
      <c r="A109" s="33" t="s">
        <v>76</v>
      </c>
      <c r="B109" s="34">
        <v>1.0</v>
      </c>
      <c r="C109" s="66">
        <v>0.0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3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0.0</v>
      </c>
      <c r="D115" s="36"/>
      <c r="E115" s="36"/>
    </row>
    <row r="116">
      <c r="A116" s="33" t="s">
        <v>83</v>
      </c>
      <c r="B116" s="34">
        <v>1.0</v>
      </c>
      <c r="C116" s="46">
        <v>0.0</v>
      </c>
      <c r="D116" s="36"/>
      <c r="E116" s="36"/>
    </row>
    <row r="117">
      <c r="A117" s="33" t="s">
        <v>84</v>
      </c>
      <c r="B117" s="34">
        <v>4.0</v>
      </c>
      <c r="C117" s="46">
        <v>0.0</v>
      </c>
      <c r="D117" s="36"/>
      <c r="E117" s="36"/>
    </row>
    <row r="118">
      <c r="A118" s="33" t="s">
        <v>85</v>
      </c>
      <c r="B118" s="34">
        <v>4.0</v>
      </c>
      <c r="C118" s="46">
        <v>0.0</v>
      </c>
      <c r="D118" s="36"/>
      <c r="E118" s="36"/>
    </row>
    <row r="119">
      <c r="A119" s="33" t="s">
        <v>86</v>
      </c>
      <c r="B119" s="34">
        <v>4.0</v>
      </c>
      <c r="C119" s="46">
        <v>0.0</v>
      </c>
      <c r="D119" s="36"/>
      <c r="E119" s="36"/>
    </row>
    <row r="120">
      <c r="A120" s="33" t="s">
        <v>87</v>
      </c>
      <c r="B120" s="34">
        <v>5.0</v>
      </c>
      <c r="C120" s="46">
        <v>0.0</v>
      </c>
      <c r="D120" s="36"/>
      <c r="E120" s="36"/>
    </row>
    <row r="121">
      <c r="A121" s="30" t="s">
        <v>88</v>
      </c>
      <c r="B121" s="43">
        <f>SUM(B122:B125)</f>
        <v>5</v>
      </c>
      <c r="C121" s="43">
        <v>0.0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2.0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6">SUM(B127:B128)</f>
        <v>4</v>
      </c>
      <c r="C126" s="51">
        <f t="shared" si="6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7">SUM(B130:B131)</f>
        <v>2</v>
      </c>
      <c r="C129" s="55">
        <f t="shared" si="7"/>
        <v>0</v>
      </c>
      <c r="D129" s="56"/>
      <c r="E129" s="56"/>
    </row>
    <row r="130">
      <c r="A130" s="44" t="s">
        <v>97</v>
      </c>
      <c r="B130" s="34">
        <v>1.0</v>
      </c>
      <c r="C130" s="66">
        <v>0.0</v>
      </c>
      <c r="D130" s="36"/>
      <c r="E130" s="36"/>
    </row>
    <row r="131">
      <c r="A131" s="44" t="s">
        <v>98</v>
      </c>
      <c r="B131" s="34">
        <v>1.0</v>
      </c>
      <c r="C131" s="46">
        <v>0.0</v>
      </c>
      <c r="D131" s="36"/>
      <c r="E131" s="36"/>
    </row>
    <row r="132">
      <c r="A132" s="57" t="s">
        <v>99</v>
      </c>
      <c r="B132" s="58">
        <f t="shared" ref="B132:C132" si="8">SUM(B126,B111,B96,B87,B71,B121, B129, B105)</f>
        <v>100</v>
      </c>
      <c r="C132" s="59">
        <f t="shared" si="8"/>
        <v>70.5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2.02307499E8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655</v>
      </c>
    </row>
    <row r="23">
      <c r="A23" s="11" t="s">
        <v>656</v>
      </c>
    </row>
    <row r="24">
      <c r="A24" s="11" t="s">
        <v>657</v>
      </c>
    </row>
    <row r="25">
      <c r="A25" s="11" t="s">
        <v>658</v>
      </c>
    </row>
    <row r="26">
      <c r="A26" s="11" t="s">
        <v>659</v>
      </c>
    </row>
    <row r="27">
      <c r="A27" s="11" t="s">
        <v>660</v>
      </c>
    </row>
    <row r="28">
      <c r="A28" s="11" t="s">
        <v>661</v>
      </c>
    </row>
    <row r="29">
      <c r="A29" s="11" t="s">
        <v>662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357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20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0.0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20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3.0</v>
      </c>
      <c r="D119" s="36"/>
      <c r="E119" s="36"/>
    </row>
    <row r="120">
      <c r="A120" s="33" t="s">
        <v>87</v>
      </c>
      <c r="B120" s="34">
        <v>5.0</v>
      </c>
      <c r="C120" s="46">
        <v>4.0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2.02307506E8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663</v>
      </c>
    </row>
    <row r="23">
      <c r="A23" s="11" t="s">
        <v>664</v>
      </c>
    </row>
    <row r="24">
      <c r="A24" s="11" t="s">
        <v>665</v>
      </c>
    </row>
    <row r="25">
      <c r="A25" s="11" t="s">
        <v>666</v>
      </c>
    </row>
    <row r="26">
      <c r="A26" s="11" t="s">
        <v>667</v>
      </c>
    </row>
    <row r="27">
      <c r="A27" s="11" t="s">
        <v>668</v>
      </c>
    </row>
    <row r="28">
      <c r="A28" s="11" t="s">
        <v>669</v>
      </c>
    </row>
    <row r="29">
      <c r="A29" s="11" t="s">
        <v>670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671</v>
      </c>
      <c r="D48" s="15"/>
    </row>
    <row r="49">
      <c r="A49" s="19" t="s">
        <v>27</v>
      </c>
      <c r="B49" s="15"/>
      <c r="C49" s="62" t="s">
        <v>428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2.02307727E8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672</v>
      </c>
    </row>
    <row r="23">
      <c r="A23" s="11" t="s">
        <v>673</v>
      </c>
    </row>
    <row r="24">
      <c r="A24" s="11" t="s">
        <v>674</v>
      </c>
    </row>
    <row r="25">
      <c r="A25" s="11" t="s">
        <v>675</v>
      </c>
    </row>
    <row r="26">
      <c r="A26" s="11" t="s">
        <v>676</v>
      </c>
    </row>
    <row r="27">
      <c r="A27" s="11" t="s">
        <v>677</v>
      </c>
    </row>
    <row r="28">
      <c r="A28" s="11" t="s">
        <v>678</v>
      </c>
    </row>
    <row r="29">
      <c r="A29" s="11" t="s">
        <v>679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680</v>
      </c>
      <c r="D40" s="61"/>
    </row>
    <row r="41">
      <c r="A41" s="19" t="s">
        <v>27</v>
      </c>
      <c r="B41" s="15"/>
      <c r="C41" s="60" t="s">
        <v>376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2.02307775E8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681</v>
      </c>
    </row>
    <row r="23">
      <c r="A23" s="11" t="s">
        <v>682</v>
      </c>
    </row>
    <row r="24">
      <c r="A24" s="11" t="s">
        <v>683</v>
      </c>
    </row>
    <row r="25">
      <c r="A25" s="11" t="s">
        <v>684</v>
      </c>
    </row>
    <row r="26">
      <c r="A26" s="11" t="s">
        <v>685</v>
      </c>
    </row>
    <row r="27">
      <c r="A27" s="11" t="s">
        <v>686</v>
      </c>
    </row>
    <row r="28">
      <c r="A28" s="11" t="s">
        <v>687</v>
      </c>
    </row>
    <row r="29">
      <c r="A29" s="11" t="s">
        <v>688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428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98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2.02308204E8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689</v>
      </c>
    </row>
    <row r="23">
      <c r="A23" s="11" t="s">
        <v>690</v>
      </c>
    </row>
    <row r="24">
      <c r="A24" s="11" t="s">
        <v>691</v>
      </c>
    </row>
    <row r="25">
      <c r="A25" s="11" t="s">
        <v>692</v>
      </c>
    </row>
    <row r="26">
      <c r="A26" s="11" t="s">
        <v>693</v>
      </c>
    </row>
    <row r="27">
      <c r="A27" s="11" t="s">
        <v>694</v>
      </c>
    </row>
    <row r="28">
      <c r="A28" s="11" t="s">
        <v>695</v>
      </c>
    </row>
    <row r="29">
      <c r="A29" s="11" t="s">
        <v>696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118</v>
      </c>
      <c r="D40" s="61"/>
    </row>
    <row r="41">
      <c r="A41" s="19" t="s">
        <v>27</v>
      </c>
      <c r="B41" s="15"/>
      <c r="C41" s="60" t="s">
        <v>190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62" t="s">
        <v>120</v>
      </c>
      <c r="D47" s="15"/>
    </row>
    <row r="48">
      <c r="A48" s="17" t="s">
        <v>26</v>
      </c>
      <c r="B48" s="15"/>
      <c r="C48" s="62" t="s">
        <v>697</v>
      </c>
      <c r="D48" s="15"/>
    </row>
    <row r="49">
      <c r="A49" s="19" t="s">
        <v>27</v>
      </c>
      <c r="B49" s="15"/>
      <c r="C49" s="62" t="s">
        <v>153</v>
      </c>
      <c r="D49" s="15"/>
    </row>
    <row r="50">
      <c r="A50" s="19" t="s">
        <v>28</v>
      </c>
      <c r="B50" s="15"/>
      <c r="C50" s="62" t="s">
        <v>120</v>
      </c>
      <c r="D50" s="15"/>
    </row>
    <row r="51">
      <c r="A51" s="17" t="s">
        <v>29</v>
      </c>
      <c r="B51" s="15"/>
      <c r="C51" s="62" t="s">
        <v>120</v>
      </c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4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2.0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100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2.0230894E8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698</v>
      </c>
    </row>
    <row r="23">
      <c r="A23" s="11" t="s">
        <v>699</v>
      </c>
    </row>
    <row r="24">
      <c r="A24" s="11" t="s">
        <v>700</v>
      </c>
    </row>
    <row r="25">
      <c r="A25" s="11" t="s">
        <v>701</v>
      </c>
    </row>
    <row r="26">
      <c r="A26" s="11" t="s">
        <v>702</v>
      </c>
    </row>
    <row r="27">
      <c r="A27" s="11" t="s">
        <v>703</v>
      </c>
    </row>
    <row r="28">
      <c r="A28" s="11" t="s">
        <v>704</v>
      </c>
    </row>
    <row r="29">
      <c r="A29" s="11" t="s">
        <v>705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706</v>
      </c>
      <c r="D40" s="61"/>
    </row>
    <row r="41">
      <c r="A41" s="19" t="s">
        <v>27</v>
      </c>
      <c r="B41" s="15"/>
      <c r="C41" s="60" t="s">
        <v>357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21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2.0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3</v>
      </c>
      <c r="D126" s="52"/>
      <c r="E126" s="52"/>
    </row>
    <row r="127">
      <c r="A127" s="44" t="s">
        <v>94</v>
      </c>
      <c r="B127" s="53">
        <v>2.0</v>
      </c>
      <c r="C127" s="66">
        <v>2.0</v>
      </c>
      <c r="D127" s="36"/>
      <c r="E127" s="36"/>
    </row>
    <row r="128">
      <c r="A128" s="33" t="s">
        <v>95</v>
      </c>
      <c r="B128" s="53">
        <v>2.0</v>
      </c>
      <c r="C128" s="66">
        <v>1.0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99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>
        <v>2.02400388E8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707</v>
      </c>
    </row>
    <row r="23">
      <c r="A23" s="11" t="s">
        <v>708</v>
      </c>
    </row>
    <row r="24">
      <c r="A24" s="11" t="s">
        <v>709</v>
      </c>
    </row>
    <row r="25">
      <c r="A25" s="11" t="s">
        <v>710</v>
      </c>
    </row>
    <row r="26">
      <c r="A26" s="11" t="s">
        <v>711</v>
      </c>
    </row>
    <row r="27">
      <c r="A27" s="11" t="s">
        <v>712</v>
      </c>
    </row>
    <row r="28">
      <c r="A28" s="11" t="s">
        <v>713</v>
      </c>
    </row>
    <row r="29">
      <c r="A29" s="11" t="s">
        <v>714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60" t="s">
        <v>120</v>
      </c>
      <c r="D39" s="61"/>
    </row>
    <row r="40">
      <c r="A40" s="17" t="s">
        <v>26</v>
      </c>
      <c r="B40" s="15"/>
      <c r="C40" s="60" t="s">
        <v>715</v>
      </c>
      <c r="D40" s="61"/>
    </row>
    <row r="41">
      <c r="A41" s="19" t="s">
        <v>27</v>
      </c>
      <c r="B41" s="15"/>
      <c r="C41" s="60" t="s">
        <v>163</v>
      </c>
      <c r="D41" s="61"/>
    </row>
    <row r="42">
      <c r="A42" s="19" t="s">
        <v>28</v>
      </c>
      <c r="B42" s="15"/>
      <c r="C42" s="60" t="s">
        <v>120</v>
      </c>
      <c r="D42" s="61"/>
    </row>
    <row r="43">
      <c r="A43" s="17" t="s">
        <v>29</v>
      </c>
      <c r="B43" s="15"/>
      <c r="C43" s="60" t="s">
        <v>120</v>
      </c>
      <c r="D43" s="61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 t="shared" ref="B71:C71" si="1">SUM(B72:B86)</f>
        <v>21</v>
      </c>
      <c r="C71" s="31">
        <f t="shared" si="1"/>
        <v>20</v>
      </c>
      <c r="D71" s="32"/>
      <c r="E71" s="32"/>
    </row>
    <row r="72">
      <c r="A72" s="33" t="s">
        <v>39</v>
      </c>
      <c r="B72" s="34">
        <v>1.0</v>
      </c>
      <c r="C72" s="63">
        <v>1.0</v>
      </c>
      <c r="D72" s="36"/>
      <c r="E72" s="36"/>
    </row>
    <row r="73">
      <c r="A73" s="33" t="s">
        <v>40</v>
      </c>
      <c r="B73" s="34">
        <v>1.0</v>
      </c>
      <c r="C73" s="63">
        <v>1.0</v>
      </c>
      <c r="D73" s="36"/>
      <c r="E73" s="36"/>
    </row>
    <row r="74">
      <c r="A74" s="33" t="s">
        <v>41</v>
      </c>
      <c r="B74" s="34">
        <v>0.5</v>
      </c>
      <c r="C74" s="63">
        <v>0.5</v>
      </c>
      <c r="D74" s="36"/>
      <c r="E74" s="36"/>
    </row>
    <row r="75">
      <c r="A75" s="37" t="s">
        <v>42</v>
      </c>
      <c r="B75" s="34">
        <v>2.0</v>
      </c>
      <c r="C75" s="63">
        <v>2.0</v>
      </c>
      <c r="D75" s="36"/>
      <c r="E75" s="36"/>
    </row>
    <row r="76">
      <c r="A76" s="33" t="s">
        <v>43</v>
      </c>
      <c r="B76" s="34">
        <v>1.0</v>
      </c>
      <c r="C76" s="63">
        <v>1.0</v>
      </c>
      <c r="D76" s="36"/>
      <c r="E76" s="36"/>
    </row>
    <row r="77">
      <c r="A77" s="33" t="s">
        <v>44</v>
      </c>
      <c r="B77" s="34">
        <v>2.0</v>
      </c>
      <c r="C77" s="63">
        <v>2.0</v>
      </c>
      <c r="D77" s="36"/>
      <c r="E77" s="36"/>
    </row>
    <row r="78">
      <c r="A78" s="33" t="s">
        <v>45</v>
      </c>
      <c r="B78" s="34">
        <v>1.0</v>
      </c>
      <c r="C78" s="63">
        <v>1.0</v>
      </c>
      <c r="D78" s="36"/>
      <c r="E78" s="36"/>
    </row>
    <row r="79">
      <c r="A79" s="33" t="s">
        <v>46</v>
      </c>
      <c r="B79" s="34">
        <v>2.0</v>
      </c>
      <c r="C79" s="63">
        <v>1.0</v>
      </c>
      <c r="D79" s="36"/>
      <c r="E79" s="36"/>
    </row>
    <row r="80">
      <c r="A80" s="38" t="s">
        <v>47</v>
      </c>
      <c r="B80" s="39">
        <v>0.25</v>
      </c>
      <c r="C80" s="63">
        <v>0.25</v>
      </c>
      <c r="D80" s="36"/>
      <c r="E80" s="36"/>
    </row>
    <row r="81">
      <c r="A81" s="38" t="s">
        <v>48</v>
      </c>
      <c r="B81" s="39">
        <v>0.25</v>
      </c>
      <c r="C81" s="64">
        <v>0.25</v>
      </c>
      <c r="D81" s="40"/>
      <c r="E81" s="40"/>
    </row>
    <row r="82">
      <c r="A82" s="38" t="s">
        <v>49</v>
      </c>
      <c r="B82" s="41">
        <v>2.0</v>
      </c>
      <c r="C82" s="64">
        <v>2.0</v>
      </c>
      <c r="D82" s="40"/>
      <c r="E82" s="40"/>
    </row>
    <row r="83">
      <c r="A83" s="38" t="s">
        <v>50</v>
      </c>
      <c r="B83" s="41">
        <v>2.0</v>
      </c>
      <c r="C83" s="64">
        <v>2.0</v>
      </c>
      <c r="D83" s="40"/>
      <c r="E83" s="40"/>
    </row>
    <row r="84">
      <c r="A84" s="38" t="s">
        <v>51</v>
      </c>
      <c r="B84" s="41">
        <v>2.0</v>
      </c>
      <c r="C84" s="65">
        <v>2.0</v>
      </c>
      <c r="D84" s="40"/>
      <c r="E84" s="40"/>
    </row>
    <row r="85">
      <c r="A85" s="38" t="s">
        <v>52</v>
      </c>
      <c r="B85" s="41">
        <v>2.0</v>
      </c>
      <c r="C85" s="65">
        <v>2.0</v>
      </c>
      <c r="D85" s="40"/>
      <c r="E85" s="40"/>
    </row>
    <row r="86">
      <c r="A86" s="38" t="s">
        <v>53</v>
      </c>
      <c r="B86" s="41">
        <v>2.0</v>
      </c>
      <c r="C86" s="64">
        <v>2.0</v>
      </c>
      <c r="D86" s="40"/>
      <c r="E86" s="40"/>
    </row>
    <row r="87">
      <c r="A87" s="30" t="s">
        <v>54</v>
      </c>
      <c r="B87" s="43">
        <f t="shared" ref="B87:C87" si="2">SUM(B88:B95)</f>
        <v>18</v>
      </c>
      <c r="C87" s="43">
        <f t="shared" si="2"/>
        <v>18</v>
      </c>
      <c r="D87" s="32"/>
      <c r="E87" s="32"/>
    </row>
    <row r="88">
      <c r="A88" s="44" t="s">
        <v>55</v>
      </c>
      <c r="B88" s="34">
        <v>1.0</v>
      </c>
      <c r="C88" s="63">
        <v>1.0</v>
      </c>
      <c r="D88" s="36"/>
      <c r="E88" s="36"/>
    </row>
    <row r="89">
      <c r="A89" s="44" t="s">
        <v>56</v>
      </c>
      <c r="B89" s="34">
        <v>1.0</v>
      </c>
      <c r="C89" s="63">
        <v>1.0</v>
      </c>
      <c r="D89" s="36"/>
      <c r="E89" s="36"/>
    </row>
    <row r="90">
      <c r="A90" s="33" t="s">
        <v>57</v>
      </c>
      <c r="B90" s="34">
        <v>3.0</v>
      </c>
      <c r="C90" s="63">
        <v>3.0</v>
      </c>
      <c r="D90" s="36"/>
      <c r="E90" s="36"/>
    </row>
    <row r="91">
      <c r="A91" s="44" t="s">
        <v>58</v>
      </c>
      <c r="B91" s="34">
        <v>3.0</v>
      </c>
      <c r="C91" s="63">
        <v>3.0</v>
      </c>
      <c r="D91" s="36"/>
      <c r="E91" s="36"/>
    </row>
    <row r="92">
      <c r="A92" s="44" t="s">
        <v>59</v>
      </c>
      <c r="B92" s="34">
        <v>3.0</v>
      </c>
      <c r="C92" s="63">
        <v>3.0</v>
      </c>
      <c r="D92" s="36"/>
      <c r="E92" s="36"/>
    </row>
    <row r="93">
      <c r="A93" s="44" t="s">
        <v>60</v>
      </c>
      <c r="B93" s="34">
        <v>3.0</v>
      </c>
      <c r="C93" s="63">
        <v>3.0</v>
      </c>
      <c r="D93" s="36"/>
      <c r="E93" s="36"/>
    </row>
    <row r="94">
      <c r="A94" s="44" t="s">
        <v>61</v>
      </c>
      <c r="B94" s="34">
        <v>2.0</v>
      </c>
      <c r="C94" s="63">
        <v>2.0</v>
      </c>
      <c r="D94" s="36"/>
      <c r="E94" s="36"/>
    </row>
    <row r="95">
      <c r="A95" s="44" t="s">
        <v>62</v>
      </c>
      <c r="B95" s="34">
        <v>2.0</v>
      </c>
      <c r="C95" s="63">
        <v>2.0</v>
      </c>
      <c r="D95" s="36"/>
      <c r="E95" s="36"/>
    </row>
    <row r="96">
      <c r="A96" s="30" t="s">
        <v>63</v>
      </c>
      <c r="B96" s="43">
        <f t="shared" ref="B96:C96" si="3">SUM(B97:B104)</f>
        <v>23</v>
      </c>
      <c r="C96" s="43">
        <f t="shared" si="3"/>
        <v>23</v>
      </c>
      <c r="D96" s="32"/>
      <c r="E96" s="32"/>
    </row>
    <row r="97">
      <c r="A97" s="33" t="s">
        <v>64</v>
      </c>
      <c r="B97" s="34">
        <v>2.0</v>
      </c>
      <c r="C97" s="63">
        <v>2.0</v>
      </c>
      <c r="D97" s="36"/>
      <c r="E97" s="36"/>
    </row>
    <row r="98">
      <c r="A98" s="33" t="s">
        <v>65</v>
      </c>
      <c r="B98" s="34">
        <v>2.0</v>
      </c>
      <c r="C98" s="66">
        <v>2.0</v>
      </c>
      <c r="D98" s="36"/>
      <c r="E98" s="36"/>
    </row>
    <row r="99">
      <c r="A99" s="33" t="s">
        <v>66</v>
      </c>
      <c r="B99" s="34">
        <v>3.0</v>
      </c>
      <c r="C99" s="66">
        <v>3.0</v>
      </c>
      <c r="D99" s="36"/>
      <c r="E99" s="36"/>
    </row>
    <row r="100">
      <c r="A100" s="33" t="s">
        <v>67</v>
      </c>
      <c r="B100" s="34">
        <v>4.0</v>
      </c>
      <c r="C100" s="66">
        <v>4.0</v>
      </c>
      <c r="D100" s="36"/>
      <c r="E100" s="36"/>
    </row>
    <row r="101">
      <c r="A101" s="33" t="s">
        <v>68</v>
      </c>
      <c r="B101" s="34">
        <v>4.0</v>
      </c>
      <c r="C101" s="66">
        <v>4.0</v>
      </c>
      <c r="D101" s="36"/>
      <c r="E101" s="36"/>
    </row>
    <row r="102">
      <c r="A102" s="33" t="s">
        <v>69</v>
      </c>
      <c r="B102" s="34">
        <v>5.0</v>
      </c>
      <c r="C102" s="66">
        <v>5.0</v>
      </c>
      <c r="D102" s="36"/>
      <c r="E102" s="36"/>
    </row>
    <row r="103">
      <c r="A103" s="44" t="s">
        <v>70</v>
      </c>
      <c r="B103" s="34">
        <v>1.0</v>
      </c>
      <c r="C103" s="66">
        <v>1.0</v>
      </c>
      <c r="D103" s="36"/>
      <c r="E103" s="36"/>
    </row>
    <row r="104">
      <c r="A104" s="44" t="s">
        <v>71</v>
      </c>
      <c r="B104" s="34">
        <v>2.0</v>
      </c>
      <c r="C104" s="66">
        <v>2.0</v>
      </c>
      <c r="D104" s="36"/>
      <c r="E104" s="36"/>
    </row>
    <row r="105">
      <c r="A105" s="30" t="s">
        <v>72</v>
      </c>
      <c r="B105" s="43">
        <f t="shared" ref="B105:C105" si="4">SUM(B106:B110)</f>
        <v>5</v>
      </c>
      <c r="C105" s="43">
        <f t="shared" si="4"/>
        <v>5</v>
      </c>
      <c r="D105" s="43"/>
      <c r="E105" s="43"/>
    </row>
    <row r="106">
      <c r="A106" s="33" t="s">
        <v>73</v>
      </c>
      <c r="B106" s="34">
        <v>1.0</v>
      </c>
      <c r="C106" s="66">
        <v>1.0</v>
      </c>
      <c r="D106" s="36"/>
      <c r="E106" s="36"/>
    </row>
    <row r="107">
      <c r="A107" s="33" t="s">
        <v>74</v>
      </c>
      <c r="B107" s="34">
        <v>1.0</v>
      </c>
      <c r="C107" s="63">
        <v>1.0</v>
      </c>
      <c r="D107" s="36"/>
      <c r="E107" s="36"/>
    </row>
    <row r="108">
      <c r="A108" s="33" t="s">
        <v>75</v>
      </c>
      <c r="B108" s="34">
        <v>1.0</v>
      </c>
      <c r="C108" s="66">
        <v>1.0</v>
      </c>
      <c r="D108" s="36"/>
      <c r="E108" s="36"/>
    </row>
    <row r="109">
      <c r="A109" s="33" t="s">
        <v>76</v>
      </c>
      <c r="B109" s="34">
        <v>1.0</v>
      </c>
      <c r="C109" s="66">
        <v>1.0</v>
      </c>
      <c r="D109" s="36"/>
      <c r="E109" s="36"/>
    </row>
    <row r="110">
      <c r="A110" s="33" t="s">
        <v>77</v>
      </c>
      <c r="B110" s="34">
        <v>1.0</v>
      </c>
      <c r="C110" s="66">
        <v>1.0</v>
      </c>
      <c r="D110" s="36"/>
      <c r="E110" s="36"/>
    </row>
    <row r="111">
      <c r="A111" s="30" t="s">
        <v>78</v>
      </c>
      <c r="B111" s="43">
        <f t="shared" ref="B111:C111" si="5">SUM(B112:B120)</f>
        <v>22</v>
      </c>
      <c r="C111" s="43">
        <f t="shared" si="5"/>
        <v>22</v>
      </c>
      <c r="D111" s="32"/>
      <c r="E111" s="32"/>
    </row>
    <row r="112">
      <c r="A112" s="33" t="s">
        <v>79</v>
      </c>
      <c r="B112" s="34">
        <v>1.0</v>
      </c>
      <c r="C112" s="66">
        <v>1.0</v>
      </c>
      <c r="D112" s="36"/>
      <c r="E112" s="36"/>
    </row>
    <row r="113">
      <c r="A113" s="33" t="s">
        <v>80</v>
      </c>
      <c r="B113" s="34">
        <v>1.0</v>
      </c>
      <c r="C113" s="46">
        <v>1.0</v>
      </c>
      <c r="D113" s="36"/>
      <c r="E113" s="36"/>
    </row>
    <row r="114">
      <c r="A114" s="33" t="s">
        <v>81</v>
      </c>
      <c r="B114" s="34">
        <v>1.0</v>
      </c>
      <c r="C114" s="46">
        <v>1.0</v>
      </c>
      <c r="D114" s="36"/>
      <c r="E114" s="36"/>
    </row>
    <row r="115">
      <c r="A115" s="33" t="s">
        <v>82</v>
      </c>
      <c r="B115" s="34">
        <v>1.0</v>
      </c>
      <c r="C115" s="46">
        <v>1.0</v>
      </c>
      <c r="D115" s="36"/>
      <c r="E115" s="36"/>
    </row>
    <row r="116">
      <c r="A116" s="33" t="s">
        <v>83</v>
      </c>
      <c r="B116" s="34">
        <v>1.0</v>
      </c>
      <c r="C116" s="46">
        <v>1.0</v>
      </c>
      <c r="D116" s="36"/>
      <c r="E116" s="36"/>
    </row>
    <row r="117">
      <c r="A117" s="33" t="s">
        <v>84</v>
      </c>
      <c r="B117" s="34">
        <v>4.0</v>
      </c>
      <c r="C117" s="46">
        <v>4.0</v>
      </c>
      <c r="D117" s="36"/>
      <c r="E117" s="36"/>
    </row>
    <row r="118">
      <c r="A118" s="33" t="s">
        <v>85</v>
      </c>
      <c r="B118" s="34">
        <v>4.0</v>
      </c>
      <c r="C118" s="46">
        <v>4.0</v>
      </c>
      <c r="D118" s="36"/>
      <c r="E118" s="36"/>
    </row>
    <row r="119">
      <c r="A119" s="33" t="s">
        <v>86</v>
      </c>
      <c r="B119" s="34">
        <v>4.0</v>
      </c>
      <c r="C119" s="46">
        <v>4.0</v>
      </c>
      <c r="D119" s="36"/>
      <c r="E119" s="36"/>
    </row>
    <row r="120">
      <c r="A120" s="33" t="s">
        <v>87</v>
      </c>
      <c r="B120" s="34">
        <v>5.0</v>
      </c>
      <c r="C120" s="46">
        <v>5.0</v>
      </c>
      <c r="D120" s="36"/>
      <c r="E120" s="36"/>
    </row>
    <row r="121">
      <c r="A121" s="30" t="s">
        <v>88</v>
      </c>
      <c r="B121" s="43">
        <f t="shared" ref="B121:C121" si="6">SUM(B122:B125)</f>
        <v>5</v>
      </c>
      <c r="C121" s="43">
        <f t="shared" si="6"/>
        <v>5</v>
      </c>
      <c r="D121" s="32"/>
      <c r="E121" s="32"/>
    </row>
    <row r="122">
      <c r="A122" s="47" t="s">
        <v>89</v>
      </c>
      <c r="B122" s="39">
        <v>1.0</v>
      </c>
      <c r="C122" s="67">
        <v>1.0</v>
      </c>
      <c r="D122" s="48"/>
      <c r="E122" s="48"/>
    </row>
    <row r="123">
      <c r="A123" s="47" t="s">
        <v>90</v>
      </c>
      <c r="B123" s="39">
        <v>1.0</v>
      </c>
      <c r="C123" s="67">
        <v>1.0</v>
      </c>
      <c r="D123" s="48"/>
      <c r="E123" s="48"/>
    </row>
    <row r="124">
      <c r="A124" s="47" t="s">
        <v>91</v>
      </c>
      <c r="B124" s="39">
        <v>1.0</v>
      </c>
      <c r="C124" s="37">
        <v>1.0</v>
      </c>
      <c r="D124" s="37"/>
      <c r="E124" s="37"/>
    </row>
    <row r="125">
      <c r="A125" s="47" t="s">
        <v>92</v>
      </c>
      <c r="B125" s="39">
        <v>2.0</v>
      </c>
      <c r="C125" s="37">
        <v>2.0</v>
      </c>
      <c r="D125" s="37"/>
      <c r="E125" s="37"/>
    </row>
    <row r="126">
      <c r="A126" s="49" t="s">
        <v>93</v>
      </c>
      <c r="B126" s="50">
        <f t="shared" ref="B126:C126" si="7">SUM(B127:B128)</f>
        <v>4</v>
      </c>
      <c r="C126" s="51">
        <f t="shared" si="7"/>
        <v>0</v>
      </c>
      <c r="D126" s="52"/>
      <c r="E126" s="52"/>
    </row>
    <row r="127">
      <c r="A127" s="44" t="s">
        <v>94</v>
      </c>
      <c r="B127" s="53">
        <v>2.0</v>
      </c>
      <c r="C127" s="66">
        <v>0.0</v>
      </c>
      <c r="D127" s="36"/>
      <c r="E127" s="36"/>
    </row>
    <row r="128">
      <c r="A128" s="33" t="s">
        <v>95</v>
      </c>
      <c r="B128" s="53">
        <v>2.0</v>
      </c>
      <c r="C128" s="66">
        <v>0.0</v>
      </c>
      <c r="D128" s="36"/>
      <c r="E128" s="36"/>
    </row>
    <row r="129">
      <c r="A129" s="54" t="s">
        <v>96</v>
      </c>
      <c r="B129" s="55">
        <f t="shared" ref="B129:C129" si="8">SUM(B130:B131)</f>
        <v>2</v>
      </c>
      <c r="C129" s="55">
        <f t="shared" si="8"/>
        <v>2</v>
      </c>
      <c r="D129" s="56"/>
      <c r="E129" s="56"/>
    </row>
    <row r="130">
      <c r="A130" s="44" t="s">
        <v>97</v>
      </c>
      <c r="B130" s="34">
        <v>1.0</v>
      </c>
      <c r="C130" s="66">
        <v>1.0</v>
      </c>
      <c r="D130" s="36"/>
      <c r="E130" s="36"/>
    </row>
    <row r="131">
      <c r="A131" s="44" t="s">
        <v>98</v>
      </c>
      <c r="B131" s="34">
        <v>1.0</v>
      </c>
      <c r="C131" s="46">
        <v>1.0</v>
      </c>
      <c r="D131" s="36"/>
      <c r="E131" s="36"/>
    </row>
    <row r="132">
      <c r="A132" s="57" t="s">
        <v>99</v>
      </c>
      <c r="B132" s="58">
        <f t="shared" ref="B132:C132" si="9">SUM(B126,B111,B96,B87,B71,B121, B129, B105)</f>
        <v>100</v>
      </c>
      <c r="C132" s="59">
        <f t="shared" si="9"/>
        <v>95</v>
      </c>
      <c r="D132" s="36"/>
      <c r="E132" s="36"/>
    </row>
    <row r="133">
      <c r="B133" s="2"/>
    </row>
    <row r="134">
      <c r="B134" s="2"/>
    </row>
    <row r="135">
      <c r="A135" s="60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4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39:B39"/>
    <mergeCell ref="A40:B40"/>
    <mergeCell ref="A41:B41"/>
    <mergeCell ref="A42:B42"/>
    <mergeCell ref="A43:B43"/>
    <mergeCell ref="A45:E45"/>
    <mergeCell ref="C46:D46"/>
    <mergeCell ref="A46:B46"/>
    <mergeCell ref="A47:B47"/>
    <mergeCell ref="C47:D47"/>
    <mergeCell ref="A48:B48"/>
    <mergeCell ref="C48:D48"/>
    <mergeCell ref="A49:B49"/>
    <mergeCell ref="C49:D49"/>
    <mergeCell ref="A142:E142"/>
    <mergeCell ref="A143:E143"/>
    <mergeCell ref="A50:B50"/>
    <mergeCell ref="C50:D50"/>
    <mergeCell ref="A51:B51"/>
    <mergeCell ref="C51:D51"/>
    <mergeCell ref="A56:E56"/>
    <mergeCell ref="A57:E57"/>
    <mergeCell ref="A67:E67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