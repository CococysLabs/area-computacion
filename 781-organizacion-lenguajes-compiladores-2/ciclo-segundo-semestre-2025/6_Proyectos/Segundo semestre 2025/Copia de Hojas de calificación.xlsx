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s>
  <definedNames/>
  <calcPr/>
</workbook>
</file>

<file path=xl/sharedStrings.xml><?xml version="1.0" encoding="utf-8"?>
<sst xmlns="http://schemas.openxmlformats.org/spreadsheetml/2006/main" count="221" uniqueCount="140">
  <si>
    <t>FACULTAD DE INGENIERÍA</t>
  </si>
  <si>
    <t>ESCUELA DE CIENCIAS Y SISTEMAS</t>
  </si>
  <si>
    <t>ORGANIZACIÓN DE LENGUAJES Y COMPILADORES 2</t>
  </si>
  <si>
    <t>SEGUNDO SEMESTRE 2025</t>
  </si>
  <si>
    <t>Ing. Bayron López, Ing. Luis Espino e Ing. Edgar Saban</t>
  </si>
  <si>
    <t>Tutores: Jhonatan Tzunún, Rubén Ralda y Ronaldo Posadas</t>
  </si>
  <si>
    <t>CALIFICACIÓN PRESENCIAL</t>
  </si>
  <si>
    <t xml:space="preserve">Fecha de calificación: </t>
  </si>
  <si>
    <t xml:space="preserve">          /           /          </t>
  </si>
  <si>
    <t>Carnet:</t>
  </si>
  <si>
    <t xml:space="preserve">                                     </t>
  </si>
  <si>
    <t>Consideraciones para derecho a calificación</t>
  </si>
  <si>
    <t>* Los archivos de entrada se compartirán durante los días de calificación y podrán ser modificados solamente antes de iniciar la calificación eliminando funcionalidades que el estudiante indique que no desarrolló.</t>
  </si>
  <si>
    <t>* Se calificará verificando que la salida del programa son salidas producidas con un lenguaje equivalente, creadas por los tutores.</t>
  </si>
  <si>
    <t>* Se organizara en grupos para realizar la modificación y se calificará individualmente, solo podrán realizar preguntas al tutor y él no podrá intervenir en la solución.</t>
  </si>
  <si>
    <t>* Tiene dos intentos para realizar la verificación, cada una tendrá un limite de tiempo definido por los tutores que se indicará en los días de calificación. En caso fallar los intentos se tentrá nota de 0 puntos. Si cumple se procede a realizar la calificación individual del proyecto.</t>
  </si>
  <si>
    <t>* El estudiante deberá crear otra rama llamada feature/solucion para realizar la modificación de código que se 
le indique, además deberá grabar su pantalla durante la modificación, posteriormente deberá subir a drive la 
grabación y compartir el enlace por uedi.</t>
  </si>
  <si>
    <t>* Se calificará solo sí se verífica que el estudiante ha subido la rama de la solución al repositorio de 
Github/Gitlab</t>
  </si>
  <si>
    <t>* Antes de iniciar la calificación el estudiante debe indicar en la columna realizado los aspectos que se va a calificar y durante la calificación no se condirará el resto.</t>
  </si>
  <si>
    <t>* Se calificará solo en distribuciones de Linux.</t>
  </si>
  <si>
    <t>* Se necesita que el estudiante tenga su entorno de desarrollo listo para realizar las recopilaciones necesarias para verificar la autoría del código, si no tuviese su entorno listo, no se procederá con la calificación siendo necesaria una reprogramación de su calificación con los horarios que queden disponibles, si el estudiante no pudiese calificarse en esos horarios o en caso que no hayan más, debe comunicarse con el tutor de su sección para acordar un horario donde pueda calificarse con el entorno de desarrollo.</t>
  </si>
  <si>
    <t>Lista de cotejo modificación proyecto 1</t>
  </si>
  <si>
    <t>El estudiante debe realizar una modificación en su código previamente desarrollado. Esta modificación tiene como objetivo verificar su capacidad de adaptar y extender funcionalidades, aplicando los conceptos vistos en clase.
Para garantizar la autoría individual, cada estudiante contará con:
- 2 oportunidades para realizar la modificación.
- Un tiempo límite de 15 minutos por cada oportunidad.
- Se usarán un máximo de dos modificaciones diferentes para el grupo a evaluar, distribuidas de la siguiente manera:
    - Primer Intento: Se aplica la misma modificación a todos los estudiantes.
    - Segundo Intento: Si un estudiante requiere la segunda oportunidad, se le asigna una nueva modificación, que será la misma para todos los estudiantes que necesiten este segundo intento.</t>
  </si>
  <si>
    <t>Oportunidad 1</t>
  </si>
  <si>
    <t>Criterio</t>
  </si>
  <si>
    <t>Estado/Resultado</t>
  </si>
  <si>
    <t>1. El estudiante completo el cambio en el tiempo estipulado</t>
  </si>
  <si>
    <t>2. Tiempo en que se llevo a cabo la modificación</t>
  </si>
  <si>
    <t>3.  Número de modificación</t>
  </si>
  <si>
    <t>4. El resultado es el esperado</t>
  </si>
  <si>
    <t>5. El estudiante subió los cambios a su rama</t>
  </si>
  <si>
    <t>Oportunidad 2</t>
  </si>
  <si>
    <t>_____________________                                                      ________________________</t>
  </si>
  <si>
    <t>Firma del Alumno                                                                   Firma del tutor académico</t>
  </si>
  <si>
    <t>Hoja de Calificación Proyecto 1</t>
  </si>
  <si>
    <t>Puntos Máximos</t>
  </si>
  <si>
    <t>Puntuación Obtenida</t>
  </si>
  <si>
    <t>Realizado (estudiante)</t>
  </si>
  <si>
    <t>Observaciones</t>
  </si>
  <si>
    <t>1. Conocimiento</t>
  </si>
  <si>
    <t>1.1 Funcionalidades Básicas</t>
  </si>
  <si>
    <t>1.1.1 Declaración de variables</t>
  </si>
  <si>
    <t>Declaración y uso de constantes</t>
  </si>
  <si>
    <t>1.1.2 Asignación de variables</t>
  </si>
  <si>
    <t>1.1.3 Operaciones Aritméticas</t>
  </si>
  <si>
    <t>1.1.4 Operaciones
Relacionales</t>
  </si>
  <si>
    <t>1.1.5 Operaciones Lógicas</t>
  </si>
  <si>
    <t>1.1.6 Operadores AND, OR y XOR (0.3 puntos c/u)</t>
  </si>
  <si>
    <t>1.1.7 Operadores de desplazamiento izquierda y derecha</t>
  </si>
  <si>
    <t>1.1.8 Secuencias de escape \", \\, \n, \r, \t (0.1 puntos c/u)</t>
  </si>
  <si>
    <t>1.1.9 Salto de línea compuesto (\r\n)</t>
  </si>
  <si>
    <t>1.1.10 Manejo de null</t>
  </si>
  <si>
    <t>1.1.11 Widening Casting char -&gt; int -&gt; float -&gt; double (0.5 puntos c/u)</t>
  </si>
  <si>
    <t>1.1.12 Narrowing Casting double -&gt; float -&gt; int -&gt; char (0.5 puntos c/u)</t>
  </si>
  <si>
    <t>1.1.13 Comentarios de una línea</t>
  </si>
  <si>
    <t>1.1.14 Comentarios multilínea</t>
  </si>
  <si>
    <t>1.2 Funcionalidades
Intermedias</t>
  </si>
  <si>
    <t>1.2.1 if / if else / else / else if (0.50 c/u)</t>
  </si>
  <si>
    <t>1.2.2 While</t>
  </si>
  <si>
    <t>1.2.3 For Clásico</t>
  </si>
  <si>
    <t>1.2.4 ForEach</t>
  </si>
  <si>
    <t>1.2.5 Switch/Case</t>
  </si>
  <si>
    <t>1.2.6 Break</t>
  </si>
  <si>
    <t>1.2.7 Continue</t>
  </si>
  <si>
    <t>1.3 Funciones</t>
  </si>
  <si>
    <t>1.3.1 Funciones no recursiva
sin parámetros (mostrarBienvenida y mostrarMenuPrincipal - 1 punto c/u)</t>
  </si>
  <si>
    <t xml:space="preserve">1.3.2 Funciones no recursivas
con parámetros (calcularPromedio, verificarAprobacion y generarMensaje - 1 punto c/u) </t>
  </si>
  <si>
    <t>1.3.3 Función recursiva busquedaBinaria</t>
  </si>
  <si>
    <t>1.3.4 Función recursiva sumarDigitos</t>
  </si>
  <si>
    <t>1.3.5 Función recursiva potencia</t>
  </si>
  <si>
    <t>1.3.6 Función recursiva esPalindromo</t>
  </si>
  <si>
    <t>1.3.6 Parseo de enteros</t>
  </si>
  <si>
    <t>1.3.7 Parseo de flotantes</t>
  </si>
  <si>
    <t>1.3.8 String.valueOf()</t>
  </si>
  <si>
    <t>1.1.9 System.out.println()</t>
  </si>
  <si>
    <t>1.1.10 Función Strings.join</t>
  </si>
  <si>
    <t>1.4 Arreglos unidimensionales</t>
  </si>
  <si>
    <t>1.4.3 Acceso a elementos</t>
  </si>
  <si>
    <t>1.4.4 Función para encontrar el
índice de un elemento en un arreglo (Array.indexOf)</t>
  </si>
  <si>
    <t>1.4.5 Tamaño del arreglo
(length)</t>
  </si>
  <si>
    <t>1.4.6 Función add</t>
  </si>
  <si>
    <t>1.4.7 Algoritmo de ordenamiento burbuja</t>
  </si>
  <si>
    <t>1.4.8 Algoritmo de ordenamiento seleccion</t>
  </si>
  <si>
    <t>1.5 Arreglos multidimensionales</t>
  </si>
  <si>
    <t>1.5.1 Declaración y modificación de elemento en n dimensiones</t>
  </si>
  <si>
    <t>1.5.4 Acceso a elementos en n dimensiones</t>
  </si>
  <si>
    <t xml:space="preserve">1.5.6 Operaciones con matrices (sumarMatrices y multiplicarMatrices - 1.5 punto c/u) </t>
  </si>
  <si>
    <t>1.5.7 Transpuesta de matriz</t>
  </si>
  <si>
    <t>1.5.8 Determinante 2x2 y 3x3</t>
  </si>
  <si>
    <t>2. Reportes</t>
  </si>
  <si>
    <t>2.1 Tabla de símbolos</t>
  </si>
  <si>
    <t>2.2 Reporte de errores</t>
  </si>
  <si>
    <t>2.3 Reporte de AST</t>
  </si>
  <si>
    <t>2.4 Documentación</t>
  </si>
  <si>
    <t>Total</t>
  </si>
  <si>
    <t>Estoy conforme con la nota obtenida (Sí/No):</t>
  </si>
  <si>
    <t>* Se calificará verificando que el archivo de salida generado por el programa, el cual debe contener instrucciones en lenguaje ensamblador ARM64, sea funcionalmente equivalente al código de referencia de los tutores.</t>
  </si>
  <si>
    <t>Lista de cotejo modificación proyecto 2</t>
  </si>
  <si>
    <t>Hoja de Calificación Proyecto 2</t>
  </si>
  <si>
    <t>Formato de los identificadores</t>
  </si>
  <si>
    <t>Tipos estáticos (int, float, boolea, char, String y double) 0.1 punto c/u</t>
  </si>
  <si>
    <t>1.1.6 Operadores de bit a bit AND, OR y XOR (0.3 puntos c/u)</t>
  </si>
  <si>
    <t>1.1.7 Operadores de bit a bit desplazamiento izquierda y derecha</t>
  </si>
  <si>
    <t>1.1.8 Case sensitive</t>
  </si>
  <si>
    <t>1.1.9 Secuencias de escape \", \\, \n, \r, \t (0.1 puntos c/u)</t>
  </si>
  <si>
    <t>1.1.10 Salto de línea compuesto (\r\n)</t>
  </si>
  <si>
    <t>1.1.11 Manejo de null</t>
  </si>
  <si>
    <t>1.1.12 Widening Casting char -&gt; int -&gt; float -&gt; double (0.5 puntos c/u)</t>
  </si>
  <si>
    <t>1.1.13 Narrowing Casting double -&gt; float -&gt; int -&gt; char (0.5 puntos c/u)</t>
  </si>
  <si>
    <t>1.1.14 Comentarios de una línea</t>
  </si>
  <si>
    <t>1.1.15 Comentarios multilínea</t>
  </si>
  <si>
    <t xml:space="preserve">1.3.2 Funciones no recursivas
con parámetros con valor (verificarAprobacion y generarMensaje - 0.75 punto c/u) </t>
  </si>
  <si>
    <t xml:space="preserve">1.3.2.1 Funciones no recursivas
con parámetros por referencia (calcularPromedio - 1.5 puntos) </t>
  </si>
  <si>
    <t>1.4 Funciones embebidas</t>
  </si>
  <si>
    <t>1.4.1 System.out.println()</t>
  </si>
  <si>
    <t>1.4.2 Integer.parseInt()</t>
  </si>
  <si>
    <t>1.4.3 Float.parseFloat()</t>
  </si>
  <si>
    <t>1.4.4 Double.parseDouble()</t>
  </si>
  <si>
    <t>1.4.5 String.valueOf()</t>
  </si>
  <si>
    <t>1.4.6 Strings.join()</t>
  </si>
  <si>
    <t>1.4.7 Arrays.indexOf()</t>
  </si>
  <si>
    <t>1.4.8 Array.length</t>
  </si>
  <si>
    <t>1.4.9 Array.add()</t>
  </si>
  <si>
    <t>1.5 Vectores</t>
  </si>
  <si>
    <t>1.5.1 Acceso a elementos</t>
  </si>
  <si>
    <t>1.5.2 Modificación de elementos</t>
  </si>
  <si>
    <t>1.5.3 Ordenamiento burbuja</t>
  </si>
  <si>
    <t>1.5.4 Algoritmo de ordenamiento seleccion</t>
  </si>
  <si>
    <t>1.6 Matrices</t>
  </si>
  <si>
    <t>1.6.1 Declaración y modificación de matrices</t>
  </si>
  <si>
    <t>1.6.2 Acceso a elementos de matrices</t>
  </si>
  <si>
    <t xml:space="preserve">1.6.3 Operaciones con matrices (sumarMatrices y multiplicarMatrices - 1.5 punto c/u) </t>
  </si>
  <si>
    <t>1.6.4 Transpuesta de matriz</t>
  </si>
  <si>
    <t>1.6.5 Determinante 2x2 y 3x3</t>
  </si>
  <si>
    <t>1.7. Arreglos multidimensionales (&gt;2D)</t>
  </si>
  <si>
    <t>1.7.1 Acceso a elementos en arreglos de n dimensiones</t>
  </si>
  <si>
    <t>1.7.2 Modificación de elementos en n dimensiones</t>
  </si>
  <si>
    <t>1.7.3 Cálculo de promedios</t>
  </si>
  <si>
    <t>3.1 Documentación de usuario (Instalación, uso, ejemplos, capturas)</t>
  </si>
  <si>
    <t>3.2 Informe técnico (Gramática, arquitectura, métodos, etc.)</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</si>
</sst>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2.0"/>
      <color theme="1"/>
      <name val="Arial"/>
    </font>
    <font>
      <color theme="1"/>
      <name val="Arial"/>
      <scheme val="minor"/>
    </font>
    <font>
      <b/>
      <sz val="14.0"/>
      <color theme="1"/>
      <name val="Arial"/>
    </font>
    <font>
      <b/>
      <sz val="12.0"/>
      <color theme="1"/>
      <name val="Arial"/>
    </font>
    <font>
      <b/>
      <u/>
      <sz val="12.0"/>
      <color theme="1"/>
      <name val="Arial"/>
    </font>
    <font>
      <b/>
      <sz val="12.0"/>
      <color theme="1"/>
      <name val="Arial"/>
      <scheme val="minor"/>
    </font>
    <font>
      <u/>
      <color theme="1"/>
      <name val="Arial"/>
      <scheme val="minor"/>
    </font>
    <font>
      <b/>
      <color theme="1"/>
      <name val="Arial"/>
      <scheme val="minor"/>
    </font>
    <font>
      <sz val="10.0"/>
      <color theme="1"/>
      <name val="Arial"/>
    </font>
    <font>
      <b/>
      <sz val="11.0"/>
      <color rgb="FF000000"/>
      <name val="Arial"/>
    </font>
    <font/>
    <font>
      <b/>
      <sz val="11.0"/>
      <color theme="1"/>
      <name val="Arial"/>
    </font>
    <font>
      <b/>
      <sz val="12.0"/>
      <color rgb="FF000000"/>
      <name val="Arial"/>
    </font>
    <font>
      <sz val="12.0"/>
      <color rgb="FF000000"/>
      <name val="Arial"/>
    </font>
    <font>
      <color rgb="FF000000"/>
      <name val="Arial"/>
    </font>
  </fonts>
  <fills count="5">
    <fill>
      <patternFill patternType="none"/>
    </fill>
    <fill>
      <patternFill patternType="lightGray"/>
    </fill>
    <fill>
      <patternFill patternType="solid">
        <fgColor rgb="FFB6B6B6"/>
        <bgColor rgb="FFB6B6B6"/>
      </patternFill>
    </fill>
    <fill>
      <patternFill patternType="solid">
        <fgColor rgb="FFCCCCCC"/>
        <bgColor rgb="FFCCCCCC"/>
      </patternFill>
    </fill>
    <fill>
      <patternFill patternType="solid">
        <fgColor rgb="FFB7B7B7"/>
        <bgColor rgb="FFB7B7B7"/>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center"/>
    </xf>
    <xf borderId="0" fillId="0" fontId="3"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readingOrder="0" vertical="center"/>
    </xf>
    <xf borderId="0" fillId="0" fontId="6" numFmtId="0" xfId="0" applyAlignment="1" applyFont="1">
      <alignment horizontal="center" readingOrder="0"/>
    </xf>
    <xf borderId="0" fillId="0" fontId="7" numFmtId="0" xfId="0" applyAlignment="1" applyFont="1">
      <alignment readingOrder="0"/>
    </xf>
    <xf borderId="0" fillId="0" fontId="8" numFmtId="0" xfId="0" applyAlignment="1" applyFont="1">
      <alignment horizontal="center" readingOrder="0"/>
    </xf>
    <xf borderId="0" fillId="0" fontId="8" numFmtId="0" xfId="0" applyAlignment="1" applyFont="1">
      <alignment horizontal="center" readingOrder="0" vertical="center"/>
    </xf>
    <xf borderId="0" fillId="0" fontId="3" numFmtId="0" xfId="0" applyAlignment="1" applyFont="1">
      <alignment horizontal="center" readingOrder="0" vertical="center"/>
    </xf>
    <xf borderId="0" fillId="0" fontId="9" numFmtId="0" xfId="0" applyAlignment="1" applyFont="1">
      <alignment readingOrder="0" shrinkToFit="0" wrapText="1"/>
    </xf>
    <xf borderId="0" fillId="0" fontId="2" numFmtId="0" xfId="0" applyAlignment="1" applyFont="1">
      <alignment readingOrder="0" shrinkToFit="0" wrapText="1"/>
    </xf>
    <xf borderId="0" fillId="0" fontId="8" numFmtId="0" xfId="0" applyAlignment="1" applyFont="1">
      <alignment readingOrder="0" shrinkToFit="0" wrapText="1"/>
    </xf>
    <xf borderId="0" fillId="0" fontId="2" numFmtId="0" xfId="0" applyAlignment="1" applyFont="1">
      <alignment readingOrder="0"/>
    </xf>
    <xf borderId="0" fillId="0" fontId="1" numFmtId="0" xfId="0" applyAlignment="1" applyFont="1">
      <alignment vertical="center"/>
    </xf>
    <xf borderId="1" fillId="0" fontId="10" numFmtId="0" xfId="0" applyAlignment="1" applyBorder="1" applyFont="1">
      <alignment horizontal="center" readingOrder="0" shrinkToFit="0" wrapText="1"/>
    </xf>
    <xf borderId="2" fillId="0" fontId="11" numFmtId="0" xfId="0" applyBorder="1" applyFont="1"/>
    <xf borderId="1" fillId="0" fontId="4" numFmtId="0" xfId="0" applyAlignment="1" applyBorder="1" applyFont="1">
      <alignment horizontal="center" readingOrder="0" vertical="center"/>
    </xf>
    <xf borderId="1" fillId="0" fontId="1" numFmtId="0" xfId="0" applyAlignment="1" applyBorder="1" applyFont="1">
      <alignment horizontal="left" readingOrder="0" shrinkToFit="0" wrapText="1"/>
    </xf>
    <xf borderId="1" fillId="0" fontId="2" numFmtId="0" xfId="0" applyAlignment="1" applyBorder="1" applyFont="1">
      <alignment horizontal="left"/>
    </xf>
    <xf borderId="1" fillId="0" fontId="1" numFmtId="0" xfId="0" applyAlignment="1" applyBorder="1" applyFont="1">
      <alignment horizontal="left" readingOrder="0"/>
    </xf>
    <xf borderId="0" fillId="0" fontId="2" numFmtId="0" xfId="0" applyAlignment="1" applyFont="1">
      <alignment horizontal="center" readingOrder="0"/>
    </xf>
    <xf borderId="0" fillId="0" fontId="10" numFmtId="0" xfId="0" applyAlignment="1" applyFont="1">
      <alignment horizontal="center" readingOrder="0" shrinkToFit="0" wrapText="1"/>
    </xf>
    <xf borderId="0" fillId="0" fontId="10" numFmtId="0" xfId="0" applyAlignment="1" applyFont="1">
      <alignment horizontal="left" readingOrder="0" shrinkToFit="0" vertical="center" wrapText="1"/>
    </xf>
    <xf borderId="0" fillId="0" fontId="10" numFmtId="0" xfId="0" applyAlignment="1" applyFont="1">
      <alignment horizontal="left" readingOrder="0" shrinkToFit="0" wrapText="1"/>
    </xf>
    <xf borderId="0" fillId="0" fontId="12" numFmtId="0" xfId="0" applyAlignment="1" applyFont="1">
      <alignment readingOrder="0"/>
    </xf>
    <xf borderId="3" fillId="0" fontId="10" numFmtId="0" xfId="0" applyAlignment="1" applyBorder="1" applyFont="1">
      <alignment horizontal="center" readingOrder="0" shrinkToFit="0" wrapText="1"/>
    </xf>
    <xf borderId="3" fillId="0" fontId="10" numFmtId="0" xfId="0" applyAlignment="1" applyBorder="1" applyFont="1">
      <alignment horizontal="left" readingOrder="0" shrinkToFit="0" vertical="center" wrapText="1"/>
    </xf>
    <xf borderId="3" fillId="0" fontId="10" numFmtId="0" xfId="0" applyAlignment="1" applyBorder="1" applyFont="1">
      <alignment horizontal="left" readingOrder="0" shrinkToFit="0" wrapText="1"/>
    </xf>
    <xf borderId="3" fillId="0" fontId="12" numFmtId="0" xfId="0" applyAlignment="1" applyBorder="1" applyFont="1">
      <alignment readingOrder="0" shrinkToFit="0" wrapText="1"/>
    </xf>
    <xf borderId="3" fillId="0" fontId="12" numFmtId="0" xfId="0" applyAlignment="1" applyBorder="1" applyFont="1">
      <alignment readingOrder="0"/>
    </xf>
    <xf borderId="3" fillId="2" fontId="10" numFmtId="0" xfId="0" applyAlignment="1" applyBorder="1" applyFill="1" applyFont="1">
      <alignment horizontal="left" readingOrder="0" shrinkToFit="0" wrapText="1"/>
    </xf>
    <xf borderId="3" fillId="2" fontId="13" numFmtId="0" xfId="0" applyAlignment="1" applyBorder="1" applyFont="1">
      <alignment horizontal="center" readingOrder="0" shrinkToFit="0" vertical="center" wrapText="1"/>
    </xf>
    <xf borderId="3" fillId="2" fontId="13" numFmtId="0" xfId="0" applyAlignment="1" applyBorder="1" applyFont="1">
      <alignment horizontal="center" readingOrder="0" shrinkToFit="0" wrapText="1"/>
    </xf>
    <xf borderId="3" fillId="2" fontId="8" numFmtId="0" xfId="0" applyAlignment="1" applyBorder="1" applyFont="1">
      <alignment horizontal="left" shrinkToFit="0" vertical="top" wrapText="1"/>
    </xf>
    <xf borderId="3" fillId="3" fontId="13" numFmtId="0" xfId="0" applyAlignment="1" applyBorder="1" applyFill="1" applyFont="1">
      <alignment horizontal="left" readingOrder="0" shrinkToFit="0" wrapText="1"/>
    </xf>
    <xf borderId="3" fillId="3" fontId="4" numFmtId="0" xfId="0" applyAlignment="1" applyBorder="1" applyFont="1">
      <alignment horizontal="center" shrinkToFit="0" vertical="center" wrapText="1"/>
    </xf>
    <xf borderId="3" fillId="3" fontId="2" numFmtId="0" xfId="0" applyBorder="1" applyFont="1"/>
    <xf borderId="3" fillId="0" fontId="14" numFmtId="0" xfId="0" applyAlignment="1" applyBorder="1" applyFont="1">
      <alignment horizontal="left" readingOrder="0" shrinkToFit="0" wrapText="1"/>
    </xf>
    <xf borderId="3" fillId="0" fontId="14" numFmtId="0" xfId="0" applyAlignment="1" applyBorder="1" applyFont="1">
      <alignment horizontal="center" readingOrder="0" shrinkToFit="0" vertical="center" wrapText="1"/>
    </xf>
    <xf borderId="3" fillId="0" fontId="2" numFmtId="0" xfId="0" applyAlignment="1" applyBorder="1" applyFont="1">
      <alignment horizontal="left" shrinkToFit="0" vertical="top" wrapText="1"/>
    </xf>
    <xf borderId="3" fillId="0" fontId="2" numFmtId="0" xfId="0" applyBorder="1" applyFont="1"/>
    <xf borderId="3" fillId="0" fontId="1" numFmtId="0" xfId="0" applyAlignment="1" applyBorder="1" applyFont="1">
      <alignment horizontal="left" readingOrder="0" shrinkToFit="0" wrapText="1"/>
    </xf>
    <xf borderId="3" fillId="0" fontId="1" numFmtId="0" xfId="0" applyAlignment="1" applyBorder="1" applyFont="1">
      <alignment horizontal="center" readingOrder="0" vertical="center"/>
    </xf>
    <xf borderId="3" fillId="0" fontId="1" numFmtId="0" xfId="0" applyAlignment="1" applyBorder="1" applyFont="1">
      <alignment horizontal="left"/>
    </xf>
    <xf borderId="3" fillId="0" fontId="14" numFmtId="0" xfId="0" applyAlignment="1" applyBorder="1" applyFont="1">
      <alignment horizontal="left" readingOrder="0" shrinkToFit="0" wrapText="1"/>
    </xf>
    <xf borderId="3" fillId="0" fontId="14" numFmtId="0" xfId="0" applyAlignment="1" applyBorder="1" applyFont="1">
      <alignment horizontal="center" readingOrder="0" shrinkToFit="0" vertical="center" wrapText="1"/>
    </xf>
    <xf borderId="3" fillId="0" fontId="1" numFmtId="0" xfId="0" applyAlignment="1" applyBorder="1" applyFont="1">
      <alignment horizontal="left" shrinkToFit="0" vertical="top" wrapText="1"/>
    </xf>
    <xf borderId="3" fillId="0" fontId="13" numFmtId="0" xfId="0" applyAlignment="1" applyBorder="1" applyFont="1">
      <alignment horizontal="left" readingOrder="0" shrinkToFit="0" wrapText="1"/>
    </xf>
    <xf borderId="3" fillId="3" fontId="13" numFmtId="0" xfId="0" applyAlignment="1" applyBorder="1" applyFont="1">
      <alignment horizontal="center" readingOrder="0" shrinkToFit="0" vertical="center" wrapText="1"/>
    </xf>
    <xf borderId="3" fillId="3" fontId="13" numFmtId="0" xfId="0" applyAlignment="1" applyBorder="1" applyFont="1">
      <alignment horizontal="center" readingOrder="0" shrinkToFit="0" wrapText="1"/>
    </xf>
    <xf borderId="3" fillId="3" fontId="2" numFmtId="0" xfId="0" applyAlignment="1" applyBorder="1" applyFont="1">
      <alignment horizontal="left" shrinkToFit="0" vertical="top" wrapText="1"/>
    </xf>
    <xf borderId="3" fillId="0" fontId="15" numFmtId="0" xfId="0" applyAlignment="1" applyBorder="1" applyFont="1">
      <alignment horizontal="left" shrinkToFit="0" vertical="top" wrapText="1"/>
    </xf>
    <xf borderId="3" fillId="0" fontId="13" numFmtId="0" xfId="0" applyAlignment="1" applyBorder="1" applyFont="1">
      <alignment horizontal="center" readingOrder="0" shrinkToFit="0" wrapText="1"/>
    </xf>
    <xf borderId="3" fillId="0" fontId="1" numFmtId="0" xfId="0" applyBorder="1" applyFont="1"/>
    <xf borderId="3" fillId="0" fontId="1" numFmtId="0" xfId="0" applyAlignment="1" applyBorder="1" applyFont="1">
      <alignment readingOrder="0" shrinkToFit="0" wrapText="1"/>
    </xf>
    <xf borderId="3" fillId="2" fontId="13" numFmtId="0" xfId="0" applyAlignment="1" applyBorder="1" applyFont="1">
      <alignment horizontal="left" readingOrder="0" shrinkToFit="0" wrapText="1"/>
    </xf>
    <xf borderId="3" fillId="2" fontId="6" numFmtId="0" xfId="0" applyBorder="1" applyFont="1"/>
    <xf borderId="3" fillId="0" fontId="14" numFmtId="4" xfId="0" applyAlignment="1" applyBorder="1" applyFont="1" applyNumberFormat="1">
      <alignment horizontal="center" readingOrder="0" shrinkToFit="0" vertical="center" wrapText="1"/>
    </xf>
    <xf borderId="3" fillId="0" fontId="13" numFmtId="0" xfId="0" applyAlignment="1" applyBorder="1" applyFont="1">
      <alignment horizontal="left" readingOrder="0" shrinkToFit="0" wrapText="1"/>
    </xf>
    <xf borderId="3" fillId="0" fontId="13" numFmtId="0" xfId="0" applyAlignment="1" applyBorder="1" applyFont="1">
      <alignment horizontal="center" readingOrder="0" shrinkToFit="0" vertical="center" wrapText="1"/>
    </xf>
    <xf borderId="3" fillId="2" fontId="13" numFmtId="4" xfId="0" applyAlignment="1" applyBorder="1" applyFont="1" applyNumberFormat="1">
      <alignment horizontal="center" readingOrder="0" shrinkToFit="0" vertical="center" wrapText="1"/>
    </xf>
    <xf borderId="3" fillId="4" fontId="14" numFmtId="0" xfId="0" applyAlignment="1" applyBorder="1" applyFill="1" applyFont="1">
      <alignment horizontal="left" readingOrder="0" shrinkToFit="0" wrapText="1"/>
    </xf>
    <xf borderId="3" fillId="4" fontId="13" numFmtId="0" xfId="0" applyAlignment="1" applyBorder="1" applyFont="1">
      <alignment horizontal="center" readingOrder="0" shrinkToFit="0" vertical="center" wrapText="1"/>
    </xf>
    <xf borderId="3" fillId="4" fontId="15" numFmtId="0" xfId="0" applyAlignment="1" applyBorder="1" applyFont="1">
      <alignment horizontal="left" shrinkToFit="0" vertical="top" wrapText="1"/>
    </xf>
    <xf borderId="3" fillId="4" fontId="2" numFmtId="0" xfId="0" applyBorder="1" applyFont="1"/>
    <xf borderId="3" fillId="0" fontId="13" numFmtId="4"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88"/>
    <col customWidth="1" min="2" max="2" width="19.38"/>
    <col customWidth="1" min="3" max="3" width="15.5"/>
    <col customWidth="1" min="4" max="4" width="14.13"/>
    <col customWidth="1" min="5" max="5" width="20.5"/>
    <col customWidth="1" min="6" max="7" width="14.13"/>
  </cols>
  <sheetData>
    <row r="1">
      <c r="A1" s="1" t="str">
        <f>UPPER("Universidad de San Carlos de Guatemala")</f>
        <v>UNIVERSIDAD DE SAN CARLOS DE GUATEMALA</v>
      </c>
      <c r="B1" s="2"/>
    </row>
    <row r="2">
      <c r="A2" s="1" t="s">
        <v>0</v>
      </c>
      <c r="B2" s="2"/>
    </row>
    <row r="3">
      <c r="A3" s="1" t="s">
        <v>1</v>
      </c>
      <c r="B3" s="2"/>
    </row>
    <row r="4">
      <c r="A4" s="1" t="s">
        <v>2</v>
      </c>
      <c r="B4" s="2"/>
    </row>
    <row r="5">
      <c r="A5" s="1" t="s">
        <v>3</v>
      </c>
      <c r="B5" s="2"/>
    </row>
    <row r="6" ht="17.25" customHeight="1">
      <c r="A6" s="1" t="s">
        <v>4</v>
      </c>
      <c r="B6" s="2"/>
    </row>
    <row r="7">
      <c r="A7" s="1" t="s">
        <v>5</v>
      </c>
      <c r="B7" s="2"/>
    </row>
    <row r="8">
      <c r="A8" s="3" t="s">
        <v>6</v>
      </c>
    </row>
    <row r="9">
      <c r="A9" s="4"/>
      <c r="B9" s="5"/>
      <c r="C9" s="6"/>
      <c r="D9" s="7"/>
    </row>
    <row r="10">
      <c r="A10" s="4"/>
      <c r="B10" s="5"/>
      <c r="C10" s="6"/>
      <c r="D10" s="7"/>
    </row>
    <row r="11">
      <c r="A11" s="4"/>
      <c r="B11" s="5"/>
      <c r="C11" s="6"/>
      <c r="D11" s="7"/>
    </row>
    <row r="12">
      <c r="A12" s="4" t="s">
        <v>7</v>
      </c>
      <c r="B12" s="5" t="s">
        <v>8</v>
      </c>
      <c r="C12" s="6" t="s">
        <v>9</v>
      </c>
      <c r="D12" s="7" t="s">
        <v>10</v>
      </c>
    </row>
    <row r="13">
      <c r="A13" s="8"/>
      <c r="B13" s="9"/>
    </row>
    <row r="14">
      <c r="A14" s="10"/>
      <c r="B14" s="10"/>
      <c r="C14" s="10"/>
      <c r="D14" s="10"/>
      <c r="E14" s="10"/>
    </row>
    <row r="15">
      <c r="A15" s="10" t="s">
        <v>11</v>
      </c>
    </row>
    <row r="16">
      <c r="A16" s="10"/>
      <c r="B16" s="10"/>
      <c r="C16" s="10"/>
      <c r="D16" s="10"/>
      <c r="E16" s="10"/>
    </row>
    <row r="17">
      <c r="A17" s="10"/>
      <c r="B17" s="10"/>
      <c r="C17" s="10"/>
      <c r="D17" s="10"/>
      <c r="E17" s="10"/>
    </row>
    <row r="18">
      <c r="A18" s="11" t="s">
        <v>12</v>
      </c>
    </row>
    <row r="19">
      <c r="A19" s="12" t="s">
        <v>13</v>
      </c>
    </row>
    <row r="20">
      <c r="A20" s="12" t="s">
        <v>14</v>
      </c>
    </row>
    <row r="21">
      <c r="A21" s="13" t="s">
        <v>15</v>
      </c>
    </row>
    <row r="22">
      <c r="A22" s="14" t="s">
        <v>16</v>
      </c>
    </row>
    <row r="23">
      <c r="A23" s="14" t="s">
        <v>17</v>
      </c>
    </row>
    <row r="24">
      <c r="A24" s="12" t="s">
        <v>18</v>
      </c>
    </row>
    <row r="25">
      <c r="A25" s="14" t="s">
        <v>19</v>
      </c>
    </row>
    <row r="26">
      <c r="A26" s="12" t="s">
        <v>20</v>
      </c>
    </row>
    <row r="27">
      <c r="A27" s="10"/>
      <c r="B27" s="10"/>
      <c r="C27" s="10"/>
      <c r="D27" s="10"/>
      <c r="E27" s="10"/>
    </row>
    <row r="28">
      <c r="A28" s="10"/>
      <c r="B28" s="10"/>
      <c r="C28" s="10"/>
      <c r="D28" s="10"/>
      <c r="E28" s="10"/>
    </row>
    <row r="29">
      <c r="A29" s="10"/>
      <c r="B29" s="10"/>
      <c r="C29" s="10"/>
      <c r="D29" s="10"/>
      <c r="E29" s="10"/>
    </row>
    <row r="30">
      <c r="A30" s="10"/>
      <c r="B30" s="10"/>
      <c r="C30" s="10"/>
      <c r="D30" s="10"/>
      <c r="E30" s="10"/>
    </row>
    <row r="31">
      <c r="A31" s="10" t="s">
        <v>21</v>
      </c>
    </row>
    <row r="32">
      <c r="B32" s="2"/>
    </row>
    <row r="33">
      <c r="A33" s="12" t="s">
        <v>22</v>
      </c>
    </row>
    <row r="34">
      <c r="A34" s="1"/>
      <c r="B34" s="15"/>
    </row>
    <row r="35">
      <c r="A35" s="4" t="s">
        <v>23</v>
      </c>
    </row>
    <row r="36">
      <c r="A36" s="16" t="s">
        <v>24</v>
      </c>
      <c r="B36" s="17"/>
      <c r="C36" s="18" t="s">
        <v>25</v>
      </c>
      <c r="D36" s="17"/>
    </row>
    <row r="37">
      <c r="A37" s="19" t="s">
        <v>26</v>
      </c>
      <c r="B37" s="17"/>
      <c r="C37" s="20"/>
      <c r="D37" s="17"/>
    </row>
    <row r="38">
      <c r="A38" s="19" t="s">
        <v>27</v>
      </c>
      <c r="B38" s="17"/>
      <c r="C38" s="20"/>
      <c r="D38" s="17"/>
    </row>
    <row r="39">
      <c r="A39" s="21" t="s">
        <v>28</v>
      </c>
      <c r="B39" s="17"/>
      <c r="C39" s="20"/>
      <c r="D39" s="17"/>
    </row>
    <row r="40">
      <c r="A40" s="21" t="s">
        <v>29</v>
      </c>
      <c r="B40" s="17"/>
      <c r="C40" s="20"/>
      <c r="D40" s="17"/>
    </row>
    <row r="41">
      <c r="A41" s="19" t="s">
        <v>30</v>
      </c>
      <c r="B41" s="17"/>
      <c r="C41" s="20"/>
      <c r="D41" s="17"/>
    </row>
    <row r="42">
      <c r="B42" s="2"/>
    </row>
    <row r="43">
      <c r="A43" s="4" t="s">
        <v>31</v>
      </c>
    </row>
    <row r="44">
      <c r="A44" s="16" t="s">
        <v>24</v>
      </c>
      <c r="B44" s="17"/>
      <c r="C44" s="18" t="s">
        <v>25</v>
      </c>
      <c r="D44" s="17"/>
    </row>
    <row r="45">
      <c r="A45" s="19" t="s">
        <v>26</v>
      </c>
      <c r="B45" s="17"/>
      <c r="C45" s="20"/>
      <c r="D45" s="17"/>
    </row>
    <row r="46">
      <c r="A46" s="19" t="s">
        <v>27</v>
      </c>
      <c r="B46" s="17"/>
      <c r="C46" s="20"/>
      <c r="D46" s="17"/>
    </row>
    <row r="47">
      <c r="A47" s="21" t="s">
        <v>28</v>
      </c>
      <c r="B47" s="17"/>
      <c r="C47" s="20"/>
      <c r="D47" s="17"/>
    </row>
    <row r="48">
      <c r="A48" s="21" t="s">
        <v>29</v>
      </c>
      <c r="B48" s="17"/>
      <c r="C48" s="20"/>
      <c r="D48" s="17"/>
    </row>
    <row r="49">
      <c r="A49" s="19" t="s">
        <v>30</v>
      </c>
      <c r="B49" s="17"/>
      <c r="C49" s="20"/>
      <c r="D49" s="17"/>
    </row>
    <row r="50">
      <c r="B50" s="2"/>
    </row>
    <row r="51">
      <c r="B51" s="2"/>
    </row>
    <row r="52">
      <c r="B52" s="2"/>
    </row>
    <row r="53">
      <c r="B53" s="2"/>
    </row>
    <row r="54">
      <c r="A54" s="22" t="s">
        <v>32</v>
      </c>
      <c r="G54" s="22"/>
    </row>
    <row r="55">
      <c r="A55" s="22" t="s">
        <v>33</v>
      </c>
      <c r="G55" s="22"/>
    </row>
    <row r="56">
      <c r="B56" s="2"/>
    </row>
    <row r="57">
      <c r="B57" s="2"/>
    </row>
    <row r="58">
      <c r="B58" s="2"/>
    </row>
    <row r="59">
      <c r="B59" s="2"/>
    </row>
    <row r="60">
      <c r="B60" s="2"/>
    </row>
    <row r="61">
      <c r="B61" s="2"/>
    </row>
    <row r="62">
      <c r="A62" s="3" t="s">
        <v>34</v>
      </c>
    </row>
    <row r="63">
      <c r="B63" s="2"/>
    </row>
    <row r="64">
      <c r="A64" s="23"/>
      <c r="B64" s="24"/>
      <c r="C64" s="25"/>
      <c r="D64" s="26"/>
      <c r="E64" s="26"/>
    </row>
    <row r="65">
      <c r="A65" s="27" t="s">
        <v>24</v>
      </c>
      <c r="B65" s="28" t="s">
        <v>35</v>
      </c>
      <c r="C65" s="29" t="s">
        <v>36</v>
      </c>
      <c r="D65" s="30" t="s">
        <v>37</v>
      </c>
      <c r="E65" s="31" t="s">
        <v>38</v>
      </c>
    </row>
    <row r="66">
      <c r="A66" s="32" t="s">
        <v>39</v>
      </c>
      <c r="B66" s="33">
        <f>SUM(B67,B83,B91,B103,B110)</f>
        <v>90</v>
      </c>
      <c r="C66" s="34"/>
      <c r="D66" s="35"/>
      <c r="E66" s="35"/>
    </row>
    <row r="67">
      <c r="A67" s="36" t="s">
        <v>40</v>
      </c>
      <c r="B67" s="37">
        <f>SUM(B68:B82)</f>
        <v>19</v>
      </c>
      <c r="C67" s="37"/>
      <c r="D67" s="38"/>
      <c r="E67" s="38"/>
    </row>
    <row r="68">
      <c r="A68" s="39" t="s">
        <v>41</v>
      </c>
      <c r="B68" s="40">
        <v>1.5</v>
      </c>
      <c r="C68" s="41"/>
      <c r="D68" s="42"/>
      <c r="E68" s="42"/>
    </row>
    <row r="69">
      <c r="A69" s="39" t="s">
        <v>42</v>
      </c>
      <c r="B69" s="40">
        <v>1.0</v>
      </c>
      <c r="C69" s="41"/>
      <c r="D69" s="42"/>
      <c r="E69" s="42"/>
    </row>
    <row r="70">
      <c r="A70" s="39" t="s">
        <v>43</v>
      </c>
      <c r="B70" s="40">
        <v>2.0</v>
      </c>
      <c r="C70" s="41"/>
      <c r="D70" s="42"/>
      <c r="E70" s="42"/>
    </row>
    <row r="71">
      <c r="A71" s="39" t="s">
        <v>44</v>
      </c>
      <c r="B71" s="40">
        <v>2.0</v>
      </c>
      <c r="C71" s="41"/>
      <c r="D71" s="42"/>
      <c r="E71" s="42"/>
    </row>
    <row r="72">
      <c r="A72" s="39" t="s">
        <v>45</v>
      </c>
      <c r="B72" s="40">
        <v>2.0</v>
      </c>
      <c r="C72" s="41"/>
      <c r="D72" s="42"/>
      <c r="E72" s="42"/>
    </row>
    <row r="73">
      <c r="A73" s="39" t="s">
        <v>46</v>
      </c>
      <c r="B73" s="40">
        <v>2.0</v>
      </c>
      <c r="C73" s="41"/>
      <c r="D73" s="42"/>
      <c r="E73" s="42"/>
    </row>
    <row r="74">
      <c r="A74" s="39" t="s">
        <v>47</v>
      </c>
      <c r="B74" s="40">
        <v>0.9</v>
      </c>
      <c r="C74" s="41"/>
      <c r="D74" s="42"/>
      <c r="E74" s="42"/>
    </row>
    <row r="75">
      <c r="A75" s="43" t="s">
        <v>48</v>
      </c>
      <c r="B75" s="44">
        <v>0.5</v>
      </c>
      <c r="C75" s="45"/>
      <c r="D75" s="45"/>
      <c r="E75" s="45"/>
    </row>
    <row r="76">
      <c r="A76" s="43" t="s">
        <v>49</v>
      </c>
      <c r="B76" s="44">
        <v>0.5</v>
      </c>
      <c r="C76" s="45"/>
      <c r="D76" s="45"/>
      <c r="E76" s="45"/>
    </row>
    <row r="77">
      <c r="A77" s="46" t="s">
        <v>50</v>
      </c>
      <c r="B77" s="47">
        <v>0.1</v>
      </c>
      <c r="C77" s="48"/>
      <c r="D77" s="45"/>
      <c r="E77" s="45"/>
    </row>
    <row r="78">
      <c r="A78" s="46" t="s">
        <v>51</v>
      </c>
      <c r="B78" s="47">
        <v>2.0</v>
      </c>
      <c r="C78" s="48"/>
      <c r="D78" s="45"/>
      <c r="E78" s="45"/>
    </row>
    <row r="79">
      <c r="A79" s="43" t="s">
        <v>52</v>
      </c>
      <c r="B79" s="47">
        <v>2.0</v>
      </c>
      <c r="C79" s="45"/>
      <c r="D79" s="45"/>
      <c r="E79" s="45"/>
    </row>
    <row r="80">
      <c r="A80" s="43" t="s">
        <v>53</v>
      </c>
      <c r="B80" s="47">
        <v>2.0</v>
      </c>
      <c r="C80" s="49"/>
      <c r="D80" s="45"/>
      <c r="E80" s="45"/>
    </row>
    <row r="81">
      <c r="A81" s="43" t="s">
        <v>54</v>
      </c>
      <c r="B81" s="47">
        <v>0.25</v>
      </c>
      <c r="C81" s="49"/>
      <c r="D81" s="45"/>
      <c r="E81" s="45"/>
    </row>
    <row r="82">
      <c r="A82" s="43" t="s">
        <v>55</v>
      </c>
      <c r="B82" s="47">
        <v>0.25</v>
      </c>
      <c r="C82" s="49"/>
      <c r="D82" s="45"/>
      <c r="E82" s="45"/>
    </row>
    <row r="83">
      <c r="A83" s="36" t="s">
        <v>56</v>
      </c>
      <c r="B83" s="50">
        <f>SUM(B84:B90)</f>
        <v>19</v>
      </c>
      <c r="C83" s="51"/>
      <c r="D83" s="38"/>
      <c r="E83" s="38"/>
    </row>
    <row r="84">
      <c r="A84" s="39" t="s">
        <v>57</v>
      </c>
      <c r="B84" s="40">
        <v>2.0</v>
      </c>
      <c r="C84" s="41"/>
      <c r="D84" s="42"/>
      <c r="E84" s="42"/>
    </row>
    <row r="85">
      <c r="A85" s="39" t="s">
        <v>58</v>
      </c>
      <c r="B85" s="40">
        <v>2.0</v>
      </c>
      <c r="C85" s="41"/>
      <c r="D85" s="42"/>
      <c r="E85" s="42"/>
    </row>
    <row r="86">
      <c r="A86" s="39" t="s">
        <v>59</v>
      </c>
      <c r="B86" s="40">
        <v>3.0</v>
      </c>
      <c r="C86" s="41"/>
      <c r="D86" s="42"/>
      <c r="E86" s="42"/>
    </row>
    <row r="87">
      <c r="A87" s="39" t="s">
        <v>60</v>
      </c>
      <c r="B87" s="40">
        <v>3.0</v>
      </c>
      <c r="C87" s="41"/>
      <c r="D87" s="42"/>
      <c r="E87" s="42"/>
    </row>
    <row r="88">
      <c r="A88" s="39" t="s">
        <v>61</v>
      </c>
      <c r="B88" s="40">
        <v>3.0</v>
      </c>
      <c r="C88" s="41"/>
      <c r="D88" s="42"/>
      <c r="E88" s="42"/>
    </row>
    <row r="89">
      <c r="A89" s="39" t="s">
        <v>62</v>
      </c>
      <c r="B89" s="40">
        <v>3.0</v>
      </c>
      <c r="C89" s="41"/>
      <c r="D89" s="42"/>
      <c r="E89" s="42"/>
    </row>
    <row r="90">
      <c r="A90" s="39" t="s">
        <v>63</v>
      </c>
      <c r="B90" s="40">
        <v>3.0</v>
      </c>
      <c r="C90" s="41"/>
      <c r="D90" s="42"/>
      <c r="E90" s="42"/>
    </row>
    <row r="91">
      <c r="A91" s="36" t="s">
        <v>64</v>
      </c>
      <c r="B91" s="50">
        <f>SUM(B92:B102)</f>
        <v>25</v>
      </c>
      <c r="C91" s="52"/>
      <c r="D91" s="38"/>
      <c r="E91" s="38"/>
    </row>
    <row r="92">
      <c r="A92" s="39" t="s">
        <v>65</v>
      </c>
      <c r="B92" s="40">
        <v>2.0</v>
      </c>
      <c r="C92" s="41"/>
      <c r="D92" s="42"/>
      <c r="E92" s="42"/>
    </row>
    <row r="93">
      <c r="A93" s="39" t="s">
        <v>66</v>
      </c>
      <c r="B93" s="40">
        <v>3.0</v>
      </c>
      <c r="C93" s="53"/>
      <c r="D93" s="42"/>
      <c r="E93" s="42"/>
    </row>
    <row r="94">
      <c r="A94" s="39" t="s">
        <v>67</v>
      </c>
      <c r="B94" s="40">
        <v>2.0</v>
      </c>
      <c r="C94" s="53"/>
      <c r="D94" s="42"/>
      <c r="E94" s="42"/>
    </row>
    <row r="95">
      <c r="A95" s="39" t="s">
        <v>68</v>
      </c>
      <c r="B95" s="40">
        <v>3.0</v>
      </c>
      <c r="C95" s="53"/>
      <c r="D95" s="42"/>
      <c r="E95" s="42"/>
    </row>
    <row r="96">
      <c r="A96" s="39" t="s">
        <v>69</v>
      </c>
      <c r="B96" s="40">
        <v>2.0</v>
      </c>
      <c r="C96" s="53"/>
      <c r="D96" s="42"/>
      <c r="E96" s="42"/>
    </row>
    <row r="97">
      <c r="A97" s="39" t="s">
        <v>70</v>
      </c>
      <c r="B97" s="40">
        <v>3.0</v>
      </c>
      <c r="C97" s="53"/>
      <c r="D97" s="42"/>
      <c r="E97" s="42"/>
    </row>
    <row r="98">
      <c r="A98" s="39" t="s">
        <v>71</v>
      </c>
      <c r="B98" s="40">
        <v>2.0</v>
      </c>
      <c r="C98" s="53"/>
      <c r="D98" s="42"/>
      <c r="E98" s="42"/>
    </row>
    <row r="99">
      <c r="A99" s="39" t="s">
        <v>72</v>
      </c>
      <c r="B99" s="40">
        <v>2.0</v>
      </c>
      <c r="C99" s="53"/>
      <c r="D99" s="42"/>
      <c r="E99" s="42"/>
    </row>
    <row r="100">
      <c r="A100" s="39" t="s">
        <v>73</v>
      </c>
      <c r="B100" s="40">
        <v>2.0</v>
      </c>
      <c r="C100" s="53"/>
      <c r="D100" s="42"/>
      <c r="E100" s="42"/>
    </row>
    <row r="101">
      <c r="A101" s="39" t="s">
        <v>74</v>
      </c>
      <c r="B101" s="40">
        <v>2.0</v>
      </c>
      <c r="C101" s="41"/>
      <c r="D101" s="42"/>
      <c r="E101" s="42"/>
    </row>
    <row r="102">
      <c r="A102" s="39" t="s">
        <v>75</v>
      </c>
      <c r="B102" s="40">
        <v>2.0</v>
      </c>
      <c r="C102" s="53"/>
      <c r="D102" s="42"/>
      <c r="E102" s="42"/>
    </row>
    <row r="103">
      <c r="A103" s="36" t="s">
        <v>76</v>
      </c>
      <c r="B103" s="50">
        <f>SUM(B104:B109)</f>
        <v>13</v>
      </c>
      <c r="C103" s="51"/>
      <c r="D103" s="38"/>
      <c r="E103" s="38"/>
    </row>
    <row r="104">
      <c r="A104" s="39" t="s">
        <v>77</v>
      </c>
      <c r="B104" s="40">
        <v>2.0</v>
      </c>
      <c r="C104" s="53"/>
      <c r="D104" s="42"/>
      <c r="E104" s="42"/>
    </row>
    <row r="105">
      <c r="A105" s="39" t="s">
        <v>78</v>
      </c>
      <c r="B105" s="40">
        <v>2.0</v>
      </c>
      <c r="C105" s="53"/>
      <c r="D105" s="42"/>
      <c r="E105" s="42"/>
    </row>
    <row r="106">
      <c r="A106" s="39" t="s">
        <v>79</v>
      </c>
      <c r="B106" s="40">
        <v>1.0</v>
      </c>
      <c r="C106" s="53"/>
      <c r="D106" s="42"/>
      <c r="E106" s="42"/>
    </row>
    <row r="107">
      <c r="A107" s="39" t="s">
        <v>80</v>
      </c>
      <c r="B107" s="40">
        <v>2.0</v>
      </c>
      <c r="C107" s="53"/>
      <c r="D107" s="42"/>
      <c r="E107" s="42"/>
    </row>
    <row r="108">
      <c r="A108" s="39" t="s">
        <v>81</v>
      </c>
      <c r="B108" s="40">
        <v>3.0</v>
      </c>
      <c r="C108" s="54"/>
      <c r="D108" s="42"/>
      <c r="E108" s="42"/>
    </row>
    <row r="109">
      <c r="A109" s="39" t="s">
        <v>82</v>
      </c>
      <c r="B109" s="40">
        <v>3.0</v>
      </c>
      <c r="C109" s="54"/>
      <c r="D109" s="42"/>
      <c r="E109" s="42"/>
    </row>
    <row r="110">
      <c r="A110" s="36" t="s">
        <v>83</v>
      </c>
      <c r="B110" s="50">
        <f>SUM(B111:B115)</f>
        <v>14</v>
      </c>
      <c r="C110" s="51"/>
      <c r="D110" s="38"/>
      <c r="E110" s="38"/>
    </row>
    <row r="111">
      <c r="A111" s="43" t="s">
        <v>84</v>
      </c>
      <c r="B111" s="44">
        <v>2.0</v>
      </c>
      <c r="C111" s="55"/>
      <c r="D111" s="55"/>
      <c r="E111" s="55"/>
    </row>
    <row r="112">
      <c r="A112" s="43" t="s">
        <v>85</v>
      </c>
      <c r="B112" s="44">
        <v>2.0</v>
      </c>
      <c r="C112" s="55"/>
      <c r="D112" s="55"/>
      <c r="E112" s="55"/>
    </row>
    <row r="113">
      <c r="A113" s="43" t="s">
        <v>86</v>
      </c>
      <c r="B113" s="44">
        <v>4.0</v>
      </c>
      <c r="C113" s="56"/>
      <c r="D113" s="56"/>
      <c r="E113" s="56"/>
    </row>
    <row r="114">
      <c r="A114" s="43" t="s">
        <v>87</v>
      </c>
      <c r="B114" s="44">
        <v>3.0</v>
      </c>
      <c r="C114" s="56"/>
      <c r="D114" s="56"/>
      <c r="E114" s="56"/>
    </row>
    <row r="115">
      <c r="A115" s="43" t="s">
        <v>88</v>
      </c>
      <c r="B115" s="44">
        <v>3.0</v>
      </c>
      <c r="C115" s="56"/>
      <c r="D115" s="56"/>
      <c r="E115" s="56"/>
    </row>
    <row r="116">
      <c r="A116" s="57" t="s">
        <v>89</v>
      </c>
      <c r="B116" s="33">
        <v>10.0</v>
      </c>
      <c r="C116" s="34"/>
      <c r="D116" s="58"/>
      <c r="E116" s="58"/>
    </row>
    <row r="117">
      <c r="A117" s="39" t="s">
        <v>90</v>
      </c>
      <c r="B117" s="59">
        <v>2.5</v>
      </c>
      <c r="C117" s="53"/>
      <c r="D117" s="42"/>
      <c r="E117" s="42"/>
    </row>
    <row r="118">
      <c r="A118" s="39" t="s">
        <v>91</v>
      </c>
      <c r="B118" s="59">
        <v>2.5</v>
      </c>
      <c r="C118" s="53"/>
      <c r="D118" s="42"/>
      <c r="E118" s="42"/>
    </row>
    <row r="119">
      <c r="A119" s="39" t="s">
        <v>92</v>
      </c>
      <c r="B119" s="40">
        <v>3.0</v>
      </c>
      <c r="C119" s="53"/>
      <c r="D119" s="42"/>
      <c r="E119" s="42"/>
    </row>
    <row r="120">
      <c r="A120" s="39" t="s">
        <v>93</v>
      </c>
      <c r="B120" s="40">
        <v>2.0</v>
      </c>
      <c r="C120" s="53"/>
      <c r="D120" s="42"/>
      <c r="E120" s="42"/>
    </row>
    <row r="121">
      <c r="A121" s="60" t="s">
        <v>94</v>
      </c>
      <c r="B121" s="61">
        <f>SUM(B116,B103,B91,B83,B67,B110)</f>
        <v>100</v>
      </c>
      <c r="C121" s="54"/>
      <c r="D121" s="42"/>
      <c r="E121" s="42"/>
    </row>
    <row r="122">
      <c r="B122" s="2"/>
    </row>
    <row r="123">
      <c r="B123" s="2"/>
    </row>
    <row r="124">
      <c r="A124" s="14" t="s">
        <v>95</v>
      </c>
      <c r="B124" s="2"/>
    </row>
    <row r="125">
      <c r="B125" s="2"/>
    </row>
    <row r="126">
      <c r="B126" s="2"/>
    </row>
    <row r="127">
      <c r="B127" s="2"/>
    </row>
    <row r="128">
      <c r="B128" s="2"/>
    </row>
    <row r="129">
      <c r="B129" s="2"/>
    </row>
    <row r="130">
      <c r="B130" s="2"/>
    </row>
    <row r="131">
      <c r="A131" s="22" t="s">
        <v>32</v>
      </c>
    </row>
    <row r="132">
      <c r="A132" s="22" t="s">
        <v>33</v>
      </c>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row r="1003">
      <c r="B1003" s="2"/>
    </row>
    <row r="1004">
      <c r="B1004" s="2"/>
    </row>
    <row r="1005">
      <c r="B1005" s="2"/>
    </row>
    <row r="1006">
      <c r="B1006" s="2"/>
    </row>
    <row r="1007">
      <c r="B1007" s="2"/>
    </row>
    <row r="1008">
      <c r="B1008" s="2"/>
    </row>
    <row r="1009">
      <c r="B1009" s="2"/>
    </row>
    <row r="1010">
      <c r="B1010" s="2"/>
    </row>
    <row r="1011">
      <c r="B1011" s="2"/>
    </row>
    <row r="1012">
      <c r="B1012" s="2"/>
    </row>
    <row r="1013">
      <c r="B1013" s="2"/>
    </row>
    <row r="1014">
      <c r="B1014" s="2"/>
    </row>
    <row r="1015">
      <c r="B1015" s="2"/>
    </row>
    <row r="1016">
      <c r="B1016" s="2"/>
    </row>
    <row r="1017">
      <c r="B1017" s="2"/>
    </row>
    <row r="1018">
      <c r="B1018" s="2"/>
    </row>
    <row r="1019">
      <c r="B1019" s="2"/>
    </row>
    <row r="1020">
      <c r="B1020" s="2"/>
    </row>
    <row r="1021">
      <c r="B1021" s="2"/>
    </row>
    <row r="1022">
      <c r="B1022" s="2"/>
    </row>
    <row r="1023">
      <c r="B1023" s="2"/>
    </row>
    <row r="1024">
      <c r="B1024" s="2"/>
    </row>
    <row r="1025">
      <c r="B1025" s="2"/>
    </row>
    <row r="1026">
      <c r="B1026" s="2"/>
    </row>
    <row r="1027">
      <c r="B1027" s="2"/>
    </row>
    <row r="1028">
      <c r="B1028" s="2"/>
    </row>
    <row r="1029">
      <c r="B1029" s="2"/>
    </row>
    <row r="1030">
      <c r="B1030" s="2"/>
    </row>
    <row r="1031">
      <c r="B1031" s="2"/>
    </row>
    <row r="1032">
      <c r="B1032" s="2"/>
    </row>
    <row r="1033">
      <c r="B1033" s="2"/>
    </row>
    <row r="1034">
      <c r="B1034" s="2"/>
    </row>
    <row r="1035">
      <c r="B1035" s="2"/>
    </row>
    <row r="1036">
      <c r="B1036" s="2"/>
    </row>
    <row r="1037">
      <c r="B1037" s="2"/>
    </row>
    <row r="1038">
      <c r="B1038" s="2"/>
    </row>
    <row r="1039">
      <c r="B1039" s="2"/>
    </row>
    <row r="1040">
      <c r="B1040" s="2"/>
    </row>
    <row r="1041">
      <c r="B1041" s="2"/>
    </row>
    <row r="1042">
      <c r="B1042" s="2"/>
    </row>
    <row r="1043">
      <c r="B1043" s="2"/>
    </row>
    <row r="1044">
      <c r="B1044" s="2"/>
    </row>
    <row r="1045">
      <c r="B1045" s="2"/>
    </row>
    <row r="1046">
      <c r="B1046" s="2"/>
    </row>
    <row r="1047">
      <c r="B1047" s="2"/>
    </row>
    <row r="1048">
      <c r="B1048" s="2"/>
    </row>
    <row r="1049">
      <c r="B1049" s="2"/>
    </row>
    <row r="1050">
      <c r="B1050" s="2"/>
    </row>
  </sheetData>
  <mergeCells count="44">
    <mergeCell ref="A8:E8"/>
    <mergeCell ref="A15:E15"/>
    <mergeCell ref="A18:E18"/>
    <mergeCell ref="A19:E19"/>
    <mergeCell ref="A20:E20"/>
    <mergeCell ref="A21:E21"/>
    <mergeCell ref="A22:E22"/>
    <mergeCell ref="A23:E23"/>
    <mergeCell ref="A24:E24"/>
    <mergeCell ref="A25:E25"/>
    <mergeCell ref="A26:E26"/>
    <mergeCell ref="A31:E31"/>
    <mergeCell ref="A33:E33"/>
    <mergeCell ref="A35:E35"/>
    <mergeCell ref="A39:B39"/>
    <mergeCell ref="A40:B40"/>
    <mergeCell ref="A41:B41"/>
    <mergeCell ref="A36:B36"/>
    <mergeCell ref="C36:D36"/>
    <mergeCell ref="A37:B37"/>
    <mergeCell ref="C37:D37"/>
    <mergeCell ref="A38:B38"/>
    <mergeCell ref="C38:D38"/>
    <mergeCell ref="C39:D39"/>
    <mergeCell ref="C40:D40"/>
    <mergeCell ref="C41:D41"/>
    <mergeCell ref="A43:E43"/>
    <mergeCell ref="A44:B44"/>
    <mergeCell ref="C44:D44"/>
    <mergeCell ref="A45:B45"/>
    <mergeCell ref="C45:D45"/>
    <mergeCell ref="C49:D49"/>
    <mergeCell ref="A54:E54"/>
    <mergeCell ref="A55:E55"/>
    <mergeCell ref="A62:E62"/>
    <mergeCell ref="A131:E131"/>
    <mergeCell ref="A132:E132"/>
    <mergeCell ref="A46:B46"/>
    <mergeCell ref="C46:D46"/>
    <mergeCell ref="A47:B47"/>
    <mergeCell ref="C47:D47"/>
    <mergeCell ref="A48:B48"/>
    <mergeCell ref="C48:D48"/>
    <mergeCell ref="A49:B49"/>
  </mergeCells>
  <printOptions horizontalCentered="1"/>
  <pageMargins bottom="0.75" footer="0.0" header="0.0" left="0.25" right="0.25" top="0.75"/>
  <pageSetup cellComments="atEnd" orientation="portrait" pageOrder="overThenDown"/>
  <rowBreaks count="4" manualBreakCount="4">
    <brk id="132" man="1"/>
    <brk id="103" man="1"/>
    <brk id="60" man="1"/>
    <brk id="29" man="1"/>
  </rowBreaks>
  <colBreaks count="1" manualBreakCount="1">
    <brk id="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88"/>
    <col customWidth="1" min="2" max="2" width="19.38"/>
    <col customWidth="1" min="3" max="3" width="15.5"/>
    <col customWidth="1" min="4" max="4" width="14.13"/>
    <col customWidth="1" min="5" max="5" width="20.5"/>
    <col customWidth="1" min="6" max="7" width="14.13"/>
  </cols>
  <sheetData>
    <row r="1">
      <c r="A1" s="1" t="str">
        <f>UPPER("Universidad de San Carlos de Guatemala")</f>
        <v>UNIVERSIDAD DE SAN CARLOS DE GUATEMALA</v>
      </c>
      <c r="B1" s="2"/>
    </row>
    <row r="2">
      <c r="A2" s="1" t="s">
        <v>0</v>
      </c>
      <c r="B2" s="2"/>
    </row>
    <row r="3">
      <c r="A3" s="1" t="s">
        <v>1</v>
      </c>
      <c r="B3" s="2"/>
    </row>
    <row r="4">
      <c r="A4" s="1" t="s">
        <v>2</v>
      </c>
      <c r="B4" s="2"/>
    </row>
    <row r="5">
      <c r="A5" s="1" t="s">
        <v>3</v>
      </c>
      <c r="B5" s="2"/>
    </row>
    <row r="6" ht="17.25" customHeight="1">
      <c r="A6" s="1" t="s">
        <v>4</v>
      </c>
      <c r="B6" s="2"/>
    </row>
    <row r="7">
      <c r="A7" s="1" t="s">
        <v>5</v>
      </c>
      <c r="B7" s="2"/>
    </row>
    <row r="8">
      <c r="A8" s="3" t="s">
        <v>6</v>
      </c>
    </row>
    <row r="9">
      <c r="A9" s="4"/>
      <c r="B9" s="5"/>
      <c r="C9" s="6"/>
      <c r="D9" s="7"/>
    </row>
    <row r="10">
      <c r="A10" s="4"/>
      <c r="B10" s="5"/>
      <c r="C10" s="6"/>
      <c r="D10" s="7"/>
    </row>
    <row r="11">
      <c r="A11" s="4"/>
      <c r="B11" s="5"/>
      <c r="C11" s="6"/>
      <c r="D11" s="7"/>
    </row>
    <row r="12">
      <c r="A12" s="4" t="s">
        <v>7</v>
      </c>
      <c r="B12" s="5" t="s">
        <v>8</v>
      </c>
      <c r="C12" s="6" t="s">
        <v>9</v>
      </c>
      <c r="D12" s="7" t="s">
        <v>10</v>
      </c>
    </row>
    <row r="13">
      <c r="A13" s="8"/>
      <c r="B13" s="9"/>
    </row>
    <row r="14">
      <c r="A14" s="10"/>
      <c r="B14" s="10"/>
      <c r="C14" s="10"/>
      <c r="D14" s="10"/>
      <c r="E14" s="10"/>
    </row>
    <row r="15">
      <c r="A15" s="10" t="s">
        <v>11</v>
      </c>
    </row>
    <row r="16">
      <c r="A16" s="10"/>
      <c r="B16" s="10"/>
      <c r="C16" s="10"/>
      <c r="D16" s="10"/>
      <c r="E16" s="10"/>
    </row>
    <row r="17">
      <c r="A17" s="10"/>
      <c r="B17" s="10"/>
      <c r="C17" s="10"/>
      <c r="D17" s="10"/>
      <c r="E17" s="10"/>
    </row>
    <row r="18">
      <c r="A18" s="11" t="s">
        <v>12</v>
      </c>
    </row>
    <row r="19">
      <c r="A19" s="12" t="s">
        <v>96</v>
      </c>
    </row>
    <row r="20">
      <c r="A20" s="12" t="s">
        <v>14</v>
      </c>
    </row>
    <row r="21">
      <c r="A21" s="13" t="s">
        <v>15</v>
      </c>
    </row>
    <row r="22">
      <c r="A22" s="14" t="s">
        <v>16</v>
      </c>
    </row>
    <row r="23">
      <c r="A23" s="14" t="s">
        <v>17</v>
      </c>
    </row>
    <row r="24">
      <c r="A24" s="12" t="s">
        <v>18</v>
      </c>
    </row>
    <row r="25">
      <c r="A25" s="14" t="s">
        <v>19</v>
      </c>
    </row>
    <row r="26">
      <c r="A26" s="12" t="s">
        <v>20</v>
      </c>
    </row>
    <row r="27">
      <c r="A27" s="10"/>
      <c r="B27" s="10"/>
      <c r="C27" s="10"/>
      <c r="D27" s="10"/>
      <c r="E27" s="10"/>
    </row>
    <row r="28">
      <c r="A28" s="10"/>
      <c r="B28" s="10"/>
      <c r="C28" s="10"/>
      <c r="D28" s="10"/>
      <c r="E28" s="10"/>
    </row>
    <row r="29">
      <c r="A29" s="10"/>
      <c r="B29" s="10"/>
      <c r="C29" s="10"/>
      <c r="D29" s="10"/>
      <c r="E29" s="10"/>
    </row>
    <row r="30">
      <c r="A30" s="10"/>
      <c r="B30" s="10"/>
      <c r="C30" s="10"/>
      <c r="D30" s="10"/>
      <c r="E30" s="10"/>
    </row>
    <row r="31">
      <c r="A31" s="10" t="s">
        <v>97</v>
      </c>
    </row>
    <row r="32">
      <c r="B32" s="2"/>
    </row>
    <row r="33">
      <c r="A33" s="12" t="s">
        <v>22</v>
      </c>
    </row>
    <row r="34">
      <c r="A34" s="1"/>
      <c r="B34" s="15"/>
    </row>
    <row r="35">
      <c r="A35" s="4" t="s">
        <v>23</v>
      </c>
    </row>
    <row r="36">
      <c r="A36" s="16" t="s">
        <v>24</v>
      </c>
      <c r="B36" s="17"/>
      <c r="C36" s="18" t="s">
        <v>25</v>
      </c>
      <c r="D36" s="17"/>
    </row>
    <row r="37">
      <c r="A37" s="19" t="s">
        <v>26</v>
      </c>
      <c r="B37" s="17"/>
      <c r="C37" s="20"/>
      <c r="D37" s="17"/>
    </row>
    <row r="38">
      <c r="A38" s="19" t="s">
        <v>27</v>
      </c>
      <c r="B38" s="17"/>
      <c r="C38" s="20"/>
      <c r="D38" s="17"/>
    </row>
    <row r="39">
      <c r="A39" s="21" t="s">
        <v>28</v>
      </c>
      <c r="B39" s="17"/>
      <c r="C39" s="20"/>
      <c r="D39" s="17"/>
    </row>
    <row r="40">
      <c r="A40" s="21" t="s">
        <v>29</v>
      </c>
      <c r="B40" s="17"/>
      <c r="C40" s="20"/>
      <c r="D40" s="17"/>
    </row>
    <row r="41">
      <c r="A41" s="19" t="s">
        <v>30</v>
      </c>
      <c r="B41" s="17"/>
      <c r="C41" s="20"/>
      <c r="D41" s="17"/>
    </row>
    <row r="42">
      <c r="B42" s="2"/>
    </row>
    <row r="43">
      <c r="A43" s="4" t="s">
        <v>31</v>
      </c>
    </row>
    <row r="44">
      <c r="A44" s="16" t="s">
        <v>24</v>
      </c>
      <c r="B44" s="17"/>
      <c r="C44" s="18" t="s">
        <v>25</v>
      </c>
      <c r="D44" s="17"/>
    </row>
    <row r="45">
      <c r="A45" s="19" t="s">
        <v>26</v>
      </c>
      <c r="B45" s="17"/>
      <c r="C45" s="20"/>
      <c r="D45" s="17"/>
    </row>
    <row r="46">
      <c r="A46" s="19" t="s">
        <v>27</v>
      </c>
      <c r="B46" s="17"/>
      <c r="C46" s="20"/>
      <c r="D46" s="17"/>
    </row>
    <row r="47">
      <c r="A47" s="21" t="s">
        <v>28</v>
      </c>
      <c r="B47" s="17"/>
      <c r="C47" s="20"/>
      <c r="D47" s="17"/>
    </row>
    <row r="48">
      <c r="A48" s="21" t="s">
        <v>29</v>
      </c>
      <c r="B48" s="17"/>
      <c r="C48" s="20"/>
      <c r="D48" s="17"/>
    </row>
    <row r="49">
      <c r="A49" s="19" t="s">
        <v>30</v>
      </c>
      <c r="B49" s="17"/>
      <c r="C49" s="20"/>
      <c r="D49" s="17"/>
    </row>
    <row r="50">
      <c r="B50" s="2"/>
    </row>
    <row r="51">
      <c r="B51" s="2"/>
    </row>
    <row r="52">
      <c r="B52" s="2"/>
    </row>
    <row r="53">
      <c r="B53" s="2"/>
    </row>
    <row r="54">
      <c r="A54" s="22" t="s">
        <v>32</v>
      </c>
      <c r="G54" s="22"/>
    </row>
    <row r="55">
      <c r="A55" s="22" t="s">
        <v>33</v>
      </c>
      <c r="G55" s="22"/>
    </row>
    <row r="56">
      <c r="B56" s="2"/>
    </row>
    <row r="57">
      <c r="B57" s="2"/>
    </row>
    <row r="58">
      <c r="B58" s="2"/>
    </row>
    <row r="59">
      <c r="B59" s="2"/>
    </row>
    <row r="60">
      <c r="B60" s="2"/>
    </row>
    <row r="61">
      <c r="B61" s="2"/>
    </row>
    <row r="62">
      <c r="B62" s="2"/>
    </row>
    <row r="63">
      <c r="A63" s="3" t="s">
        <v>98</v>
      </c>
    </row>
    <row r="64">
      <c r="B64" s="2"/>
    </row>
    <row r="65">
      <c r="A65" s="23"/>
      <c r="B65" s="24"/>
      <c r="C65" s="25"/>
      <c r="D65" s="26"/>
      <c r="E65" s="26"/>
    </row>
    <row r="66">
      <c r="A66" s="27" t="s">
        <v>24</v>
      </c>
      <c r="B66" s="28" t="s">
        <v>35</v>
      </c>
      <c r="C66" s="29" t="s">
        <v>36</v>
      </c>
      <c r="D66" s="30" t="s">
        <v>37</v>
      </c>
      <c r="E66" s="31" t="s">
        <v>38</v>
      </c>
    </row>
    <row r="67">
      <c r="A67" s="32" t="s">
        <v>39</v>
      </c>
      <c r="B67" s="33">
        <f>SUM(B68,B87,B95,B113,B118)</f>
        <v>74</v>
      </c>
      <c r="C67" s="34"/>
      <c r="D67" s="35"/>
      <c r="E67" s="35"/>
    </row>
    <row r="68">
      <c r="A68" s="36" t="s">
        <v>40</v>
      </c>
      <c r="B68" s="37">
        <f>SUM(B69:B86)</f>
        <v>20</v>
      </c>
      <c r="C68" s="37"/>
      <c r="D68" s="38"/>
      <c r="E68" s="38"/>
    </row>
    <row r="69">
      <c r="A69" s="39" t="s">
        <v>41</v>
      </c>
      <c r="B69" s="40">
        <v>1.0</v>
      </c>
      <c r="C69" s="41"/>
      <c r="D69" s="42"/>
      <c r="E69" s="42"/>
    </row>
    <row r="70">
      <c r="A70" s="39" t="s">
        <v>42</v>
      </c>
      <c r="B70" s="40">
        <v>1.0</v>
      </c>
      <c r="C70" s="41"/>
      <c r="D70" s="42"/>
      <c r="E70" s="42"/>
    </row>
    <row r="71">
      <c r="A71" s="39" t="s">
        <v>99</v>
      </c>
      <c r="B71" s="40">
        <v>0.4</v>
      </c>
      <c r="C71" s="41"/>
      <c r="D71" s="42"/>
      <c r="E71" s="42"/>
    </row>
    <row r="72">
      <c r="A72" s="56" t="s">
        <v>100</v>
      </c>
      <c r="B72" s="40">
        <v>0.6</v>
      </c>
      <c r="C72" s="41"/>
      <c r="D72" s="42"/>
      <c r="E72" s="42"/>
    </row>
    <row r="73">
      <c r="A73" s="39" t="s">
        <v>43</v>
      </c>
      <c r="B73" s="40">
        <v>1.5</v>
      </c>
      <c r="C73" s="41"/>
      <c r="D73" s="42"/>
      <c r="E73" s="42"/>
    </row>
    <row r="74">
      <c r="A74" s="39" t="s">
        <v>44</v>
      </c>
      <c r="B74" s="40">
        <v>2.0</v>
      </c>
      <c r="C74" s="41"/>
      <c r="D74" s="42"/>
      <c r="E74" s="42"/>
    </row>
    <row r="75">
      <c r="A75" s="39" t="s">
        <v>45</v>
      </c>
      <c r="B75" s="40">
        <v>2.0</v>
      </c>
      <c r="C75" s="41"/>
      <c r="D75" s="42"/>
      <c r="E75" s="42"/>
    </row>
    <row r="76">
      <c r="A76" s="39" t="s">
        <v>46</v>
      </c>
      <c r="B76" s="40">
        <v>2.0</v>
      </c>
      <c r="C76" s="41"/>
      <c r="D76" s="42"/>
      <c r="E76" s="42"/>
    </row>
    <row r="77">
      <c r="A77" s="39" t="s">
        <v>101</v>
      </c>
      <c r="B77" s="40">
        <v>0.9</v>
      </c>
      <c r="C77" s="41"/>
      <c r="D77" s="42"/>
      <c r="E77" s="42"/>
    </row>
    <row r="78">
      <c r="A78" s="43" t="s">
        <v>102</v>
      </c>
      <c r="B78" s="44">
        <v>1.0</v>
      </c>
      <c r="C78" s="45"/>
      <c r="D78" s="45"/>
      <c r="E78" s="45"/>
    </row>
    <row r="79">
      <c r="A79" s="43" t="s">
        <v>103</v>
      </c>
      <c r="B79" s="44">
        <v>0.5</v>
      </c>
      <c r="C79" s="45"/>
      <c r="D79" s="45"/>
      <c r="E79" s="45"/>
    </row>
    <row r="80">
      <c r="A80" s="43" t="s">
        <v>104</v>
      </c>
      <c r="B80" s="44">
        <v>0.5</v>
      </c>
      <c r="C80" s="45"/>
      <c r="D80" s="45"/>
      <c r="E80" s="45"/>
    </row>
    <row r="81">
      <c r="A81" s="46" t="s">
        <v>105</v>
      </c>
      <c r="B81" s="47">
        <v>0.1</v>
      </c>
      <c r="C81" s="48"/>
      <c r="D81" s="45"/>
      <c r="E81" s="45"/>
    </row>
    <row r="82">
      <c r="A82" s="46" t="s">
        <v>106</v>
      </c>
      <c r="B82" s="47">
        <v>2.0</v>
      </c>
      <c r="C82" s="48"/>
      <c r="D82" s="45"/>
      <c r="E82" s="45"/>
    </row>
    <row r="83">
      <c r="A83" s="43" t="s">
        <v>107</v>
      </c>
      <c r="B83" s="47">
        <v>2.0</v>
      </c>
      <c r="C83" s="45"/>
      <c r="D83" s="45"/>
      <c r="E83" s="45"/>
    </row>
    <row r="84">
      <c r="A84" s="43" t="s">
        <v>108</v>
      </c>
      <c r="B84" s="47">
        <v>2.0</v>
      </c>
      <c r="C84" s="49"/>
      <c r="D84" s="45"/>
      <c r="E84" s="45"/>
    </row>
    <row r="85">
      <c r="A85" s="43" t="s">
        <v>109</v>
      </c>
      <c r="B85" s="47">
        <v>0.25</v>
      </c>
      <c r="C85" s="49"/>
      <c r="D85" s="45"/>
      <c r="E85" s="45"/>
    </row>
    <row r="86">
      <c r="A86" s="43" t="s">
        <v>110</v>
      </c>
      <c r="B86" s="47">
        <v>0.25</v>
      </c>
      <c r="C86" s="49"/>
      <c r="D86" s="45"/>
      <c r="E86" s="45"/>
    </row>
    <row r="87">
      <c r="A87" s="36" t="s">
        <v>56</v>
      </c>
      <c r="B87" s="50">
        <f>SUM(B88:B94)</f>
        <v>20</v>
      </c>
      <c r="C87" s="51"/>
      <c r="D87" s="38"/>
      <c r="E87" s="38"/>
    </row>
    <row r="88">
      <c r="A88" s="39" t="s">
        <v>57</v>
      </c>
      <c r="B88" s="40">
        <v>2.0</v>
      </c>
      <c r="C88" s="41"/>
      <c r="D88" s="42"/>
      <c r="E88" s="42"/>
    </row>
    <row r="89">
      <c r="A89" s="39" t="s">
        <v>58</v>
      </c>
      <c r="B89" s="40">
        <v>3.0</v>
      </c>
      <c r="C89" s="41"/>
      <c r="D89" s="42"/>
      <c r="E89" s="42"/>
    </row>
    <row r="90">
      <c r="A90" s="39" t="s">
        <v>59</v>
      </c>
      <c r="B90" s="40">
        <v>3.0</v>
      </c>
      <c r="C90" s="41"/>
      <c r="D90" s="42"/>
      <c r="E90" s="42"/>
    </row>
    <row r="91">
      <c r="A91" s="39" t="s">
        <v>60</v>
      </c>
      <c r="B91" s="40">
        <v>3.0</v>
      </c>
      <c r="C91" s="41"/>
      <c r="D91" s="42"/>
      <c r="E91" s="42"/>
    </row>
    <row r="92">
      <c r="A92" s="39" t="s">
        <v>61</v>
      </c>
      <c r="B92" s="40">
        <v>3.0</v>
      </c>
      <c r="C92" s="41"/>
      <c r="D92" s="42"/>
      <c r="E92" s="42"/>
    </row>
    <row r="93">
      <c r="A93" s="39" t="s">
        <v>62</v>
      </c>
      <c r="B93" s="40">
        <v>3.0</v>
      </c>
      <c r="C93" s="41"/>
      <c r="D93" s="42"/>
      <c r="E93" s="42"/>
    </row>
    <row r="94">
      <c r="A94" s="39" t="s">
        <v>63</v>
      </c>
      <c r="B94" s="40">
        <v>3.0</v>
      </c>
      <c r="C94" s="41"/>
      <c r="D94" s="42"/>
      <c r="E94" s="42"/>
    </row>
    <row r="95">
      <c r="A95" s="36" t="s">
        <v>64</v>
      </c>
      <c r="B95" s="50">
        <f>SUM(B96:B102)</f>
        <v>18</v>
      </c>
      <c r="C95" s="52"/>
      <c r="D95" s="38"/>
      <c r="E95" s="38"/>
    </row>
    <row r="96">
      <c r="A96" s="39" t="s">
        <v>65</v>
      </c>
      <c r="B96" s="40">
        <v>2.0</v>
      </c>
      <c r="C96" s="41"/>
      <c r="D96" s="42"/>
      <c r="E96" s="42"/>
    </row>
    <row r="97">
      <c r="A97" s="39" t="s">
        <v>111</v>
      </c>
      <c r="B97" s="40">
        <v>2.0</v>
      </c>
      <c r="C97" s="53"/>
      <c r="D97" s="42"/>
      <c r="E97" s="42"/>
    </row>
    <row r="98">
      <c r="A98" s="39" t="s">
        <v>112</v>
      </c>
      <c r="B98" s="40">
        <v>2.0</v>
      </c>
      <c r="C98" s="53"/>
      <c r="D98" s="42"/>
      <c r="E98" s="42"/>
    </row>
    <row r="99">
      <c r="A99" s="39" t="s">
        <v>67</v>
      </c>
      <c r="B99" s="40">
        <v>3.0</v>
      </c>
      <c r="C99" s="53"/>
      <c r="D99" s="42"/>
      <c r="E99" s="42"/>
    </row>
    <row r="100">
      <c r="A100" s="39" t="s">
        <v>68</v>
      </c>
      <c r="B100" s="40">
        <v>3.0</v>
      </c>
      <c r="C100" s="53"/>
      <c r="D100" s="42"/>
      <c r="E100" s="42"/>
    </row>
    <row r="101">
      <c r="A101" s="39" t="s">
        <v>69</v>
      </c>
      <c r="B101" s="40">
        <v>3.0</v>
      </c>
      <c r="C101" s="53"/>
      <c r="D101" s="42"/>
      <c r="E101" s="42"/>
    </row>
    <row r="102">
      <c r="A102" s="39" t="s">
        <v>70</v>
      </c>
      <c r="B102" s="40">
        <v>3.0</v>
      </c>
      <c r="C102" s="53"/>
      <c r="D102" s="42"/>
      <c r="E102" s="42"/>
    </row>
    <row r="103">
      <c r="A103" s="36" t="s">
        <v>113</v>
      </c>
      <c r="B103" s="50">
        <f>SUM(B104:B112)</f>
        <v>14</v>
      </c>
      <c r="C103" s="36"/>
      <c r="D103" s="50"/>
      <c r="E103" s="50"/>
    </row>
    <row r="104">
      <c r="A104" s="39" t="s">
        <v>114</v>
      </c>
      <c r="B104" s="40">
        <v>1.0</v>
      </c>
      <c r="C104" s="53"/>
      <c r="D104" s="42"/>
      <c r="E104" s="42"/>
    </row>
    <row r="105">
      <c r="A105" s="39" t="s">
        <v>115</v>
      </c>
      <c r="B105" s="40">
        <v>1.0</v>
      </c>
      <c r="C105" s="41"/>
      <c r="D105" s="42"/>
      <c r="E105" s="42"/>
    </row>
    <row r="106">
      <c r="A106" s="39" t="s">
        <v>116</v>
      </c>
      <c r="B106" s="40">
        <v>1.0</v>
      </c>
      <c r="C106" s="53"/>
      <c r="D106" s="42"/>
      <c r="E106" s="42"/>
    </row>
    <row r="107">
      <c r="A107" s="39" t="s">
        <v>117</v>
      </c>
      <c r="B107" s="40">
        <v>1.0</v>
      </c>
      <c r="C107" s="53"/>
      <c r="D107" s="42"/>
      <c r="E107" s="42"/>
    </row>
    <row r="108">
      <c r="A108" s="39" t="s">
        <v>118</v>
      </c>
      <c r="B108" s="40">
        <v>2.0</v>
      </c>
      <c r="C108" s="53"/>
      <c r="D108" s="42"/>
      <c r="E108" s="42"/>
    </row>
    <row r="109">
      <c r="A109" s="39" t="s">
        <v>119</v>
      </c>
      <c r="B109" s="40">
        <v>2.0</v>
      </c>
      <c r="C109" s="53"/>
      <c r="D109" s="42"/>
      <c r="E109" s="42"/>
    </row>
    <row r="110">
      <c r="A110" s="39" t="s">
        <v>120</v>
      </c>
      <c r="B110" s="40">
        <v>2.0</v>
      </c>
      <c r="C110" s="53"/>
      <c r="D110" s="42"/>
      <c r="E110" s="42"/>
    </row>
    <row r="111">
      <c r="A111" s="39" t="s">
        <v>121</v>
      </c>
      <c r="B111" s="40">
        <v>2.0</v>
      </c>
      <c r="C111" s="53"/>
      <c r="D111" s="42"/>
      <c r="E111" s="42"/>
    </row>
    <row r="112">
      <c r="A112" s="39" t="s">
        <v>122</v>
      </c>
      <c r="B112" s="40">
        <v>2.0</v>
      </c>
      <c r="C112" s="53"/>
      <c r="D112" s="42"/>
      <c r="E112" s="42"/>
    </row>
    <row r="113">
      <c r="A113" s="36" t="s">
        <v>123</v>
      </c>
      <c r="B113" s="50">
        <f>SUM(B114:B117)</f>
        <v>6</v>
      </c>
      <c r="C113" s="51"/>
      <c r="D113" s="38"/>
      <c r="E113" s="38"/>
    </row>
    <row r="114">
      <c r="A114" s="39" t="s">
        <v>124</v>
      </c>
      <c r="B114" s="40">
        <v>1.0</v>
      </c>
      <c r="C114" s="53"/>
      <c r="D114" s="42"/>
      <c r="E114" s="42"/>
    </row>
    <row r="115">
      <c r="A115" s="39" t="s">
        <v>125</v>
      </c>
      <c r="B115" s="40">
        <v>1.0</v>
      </c>
      <c r="C115" s="54"/>
      <c r="D115" s="42"/>
      <c r="E115" s="42"/>
    </row>
    <row r="116">
      <c r="A116" s="39" t="s">
        <v>126</v>
      </c>
      <c r="B116" s="40">
        <v>2.0</v>
      </c>
      <c r="C116" s="54"/>
      <c r="D116" s="42"/>
      <c r="E116" s="42"/>
    </row>
    <row r="117">
      <c r="A117" s="39" t="s">
        <v>127</v>
      </c>
      <c r="B117" s="40">
        <v>2.0</v>
      </c>
      <c r="C117" s="54"/>
      <c r="D117" s="42"/>
      <c r="E117" s="42"/>
    </row>
    <row r="118">
      <c r="A118" s="36" t="s">
        <v>128</v>
      </c>
      <c r="B118" s="50">
        <f>SUM(B119:B123)</f>
        <v>10</v>
      </c>
      <c r="C118" s="51"/>
      <c r="D118" s="38"/>
      <c r="E118" s="38"/>
    </row>
    <row r="119">
      <c r="A119" s="43" t="s">
        <v>129</v>
      </c>
      <c r="B119" s="44">
        <v>1.0</v>
      </c>
      <c r="C119" s="55"/>
      <c r="D119" s="55"/>
      <c r="E119" s="55"/>
    </row>
    <row r="120">
      <c r="A120" s="43" t="s">
        <v>130</v>
      </c>
      <c r="B120" s="44">
        <v>1.0</v>
      </c>
      <c r="C120" s="55"/>
      <c r="D120" s="55"/>
      <c r="E120" s="55"/>
    </row>
    <row r="121">
      <c r="A121" s="43" t="s">
        <v>131</v>
      </c>
      <c r="B121" s="44">
        <v>3.0</v>
      </c>
      <c r="C121" s="56"/>
      <c r="D121" s="56"/>
      <c r="E121" s="56"/>
    </row>
    <row r="122">
      <c r="A122" s="43" t="s">
        <v>132</v>
      </c>
      <c r="B122" s="44">
        <v>3.0</v>
      </c>
      <c r="C122" s="56"/>
      <c r="D122" s="56"/>
      <c r="E122" s="56"/>
    </row>
    <row r="123">
      <c r="A123" s="43" t="s">
        <v>133</v>
      </c>
      <c r="B123" s="44">
        <v>2.0</v>
      </c>
      <c r="C123" s="56"/>
      <c r="D123" s="56"/>
      <c r="E123" s="56"/>
    </row>
    <row r="124">
      <c r="A124" s="57" t="s">
        <v>134</v>
      </c>
      <c r="B124" s="62">
        <f>SUM(B125:B127)</f>
        <v>6</v>
      </c>
      <c r="C124" s="34"/>
      <c r="D124" s="58"/>
      <c r="E124" s="58"/>
    </row>
    <row r="125">
      <c r="A125" s="39" t="s">
        <v>135</v>
      </c>
      <c r="B125" s="59">
        <v>2.0</v>
      </c>
      <c r="C125" s="53"/>
      <c r="D125" s="42"/>
      <c r="E125" s="42"/>
    </row>
    <row r="126">
      <c r="A126" s="39" t="s">
        <v>136</v>
      </c>
      <c r="B126" s="59">
        <v>2.0</v>
      </c>
      <c r="C126" s="53"/>
      <c r="D126" s="42"/>
      <c r="E126" s="42"/>
    </row>
    <row r="127">
      <c r="A127" s="39" t="s">
        <v>137</v>
      </c>
      <c r="B127" s="59">
        <v>2.0</v>
      </c>
      <c r="C127" s="53"/>
      <c r="D127" s="42"/>
      <c r="E127" s="42"/>
    </row>
    <row r="128">
      <c r="A128" s="63" t="s">
        <v>93</v>
      </c>
      <c r="B128" s="64">
        <f>SUM(B129:B130)</f>
        <v>6</v>
      </c>
      <c r="C128" s="65"/>
      <c r="D128" s="66"/>
      <c r="E128" s="66"/>
    </row>
    <row r="129">
      <c r="A129" s="39" t="s">
        <v>138</v>
      </c>
      <c r="B129" s="40">
        <v>3.0</v>
      </c>
      <c r="C129" s="53"/>
      <c r="D129" s="42"/>
      <c r="E129" s="42"/>
    </row>
    <row r="130">
      <c r="A130" s="39" t="s">
        <v>139</v>
      </c>
      <c r="B130" s="40">
        <v>3.0</v>
      </c>
      <c r="C130" s="54"/>
      <c r="D130" s="42"/>
      <c r="E130" s="42"/>
    </row>
    <row r="131">
      <c r="A131" s="60" t="s">
        <v>94</v>
      </c>
      <c r="B131" s="67">
        <f>SUM(B124,B113,B95,B87,B68,B118, B128, B103)</f>
        <v>100</v>
      </c>
      <c r="C131" s="54"/>
      <c r="D131" s="42"/>
      <c r="E131" s="42"/>
    </row>
    <row r="132">
      <c r="B132" s="2"/>
    </row>
    <row r="133">
      <c r="B133" s="2"/>
    </row>
    <row r="134">
      <c r="A134" s="14" t="s">
        <v>95</v>
      </c>
      <c r="B134" s="2"/>
    </row>
    <row r="135">
      <c r="B135" s="2"/>
    </row>
    <row r="136">
      <c r="B136" s="2"/>
    </row>
    <row r="137">
      <c r="B137" s="2"/>
    </row>
    <row r="138">
      <c r="B138" s="2"/>
    </row>
    <row r="139">
      <c r="B139" s="2"/>
    </row>
    <row r="140">
      <c r="B140" s="2"/>
    </row>
    <row r="141">
      <c r="A141" s="22" t="s">
        <v>32</v>
      </c>
    </row>
    <row r="142">
      <c r="A142" s="22" t="s">
        <v>33</v>
      </c>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row r="1003">
      <c r="B1003" s="2"/>
    </row>
    <row r="1004">
      <c r="B1004" s="2"/>
    </row>
    <row r="1005">
      <c r="B1005" s="2"/>
    </row>
    <row r="1006">
      <c r="B1006" s="2"/>
    </row>
    <row r="1007">
      <c r="B1007" s="2"/>
    </row>
    <row r="1008">
      <c r="B1008" s="2"/>
    </row>
    <row r="1009">
      <c r="B1009" s="2"/>
    </row>
    <row r="1010">
      <c r="B1010" s="2"/>
    </row>
    <row r="1011">
      <c r="B1011" s="2"/>
    </row>
    <row r="1012">
      <c r="B1012" s="2"/>
    </row>
    <row r="1013">
      <c r="B1013" s="2"/>
    </row>
    <row r="1014">
      <c r="B1014" s="2"/>
    </row>
    <row r="1015">
      <c r="B1015" s="2"/>
    </row>
    <row r="1016">
      <c r="B1016" s="2"/>
    </row>
    <row r="1017">
      <c r="B1017" s="2"/>
    </row>
    <row r="1018">
      <c r="B1018" s="2"/>
    </row>
    <row r="1019">
      <c r="B1019" s="2"/>
    </row>
    <row r="1020">
      <c r="B1020" s="2"/>
    </row>
    <row r="1021">
      <c r="B1021" s="2"/>
    </row>
    <row r="1022">
      <c r="B1022" s="2"/>
    </row>
    <row r="1023">
      <c r="B1023" s="2"/>
    </row>
    <row r="1024">
      <c r="B1024" s="2"/>
    </row>
    <row r="1025">
      <c r="B1025" s="2"/>
    </row>
    <row r="1026">
      <c r="B1026" s="2"/>
    </row>
    <row r="1027">
      <c r="B1027" s="2"/>
    </row>
    <row r="1028">
      <c r="B1028" s="2"/>
    </row>
    <row r="1029">
      <c r="B1029" s="2"/>
    </row>
    <row r="1030">
      <c r="B1030" s="2"/>
    </row>
    <row r="1031">
      <c r="B1031" s="2"/>
    </row>
    <row r="1032">
      <c r="B1032" s="2"/>
    </row>
    <row r="1033">
      <c r="B1033" s="2"/>
    </row>
    <row r="1034">
      <c r="B1034" s="2"/>
    </row>
    <row r="1035">
      <c r="B1035" s="2"/>
    </row>
    <row r="1036">
      <c r="B1036" s="2"/>
    </row>
    <row r="1037">
      <c r="B1037" s="2"/>
    </row>
    <row r="1038">
      <c r="B1038" s="2"/>
    </row>
    <row r="1039">
      <c r="B1039" s="2"/>
    </row>
    <row r="1040">
      <c r="B1040" s="2"/>
    </row>
    <row r="1041">
      <c r="B1041" s="2"/>
    </row>
    <row r="1042">
      <c r="B1042" s="2"/>
    </row>
    <row r="1043">
      <c r="B1043" s="2"/>
    </row>
    <row r="1044">
      <c r="B1044" s="2"/>
    </row>
    <row r="1045">
      <c r="B1045" s="2"/>
    </row>
    <row r="1046">
      <c r="B1046" s="2"/>
    </row>
    <row r="1047">
      <c r="B1047" s="2"/>
    </row>
    <row r="1048">
      <c r="B1048" s="2"/>
    </row>
    <row r="1049">
      <c r="B1049" s="2"/>
    </row>
    <row r="1050">
      <c r="B1050" s="2"/>
    </row>
    <row r="1051">
      <c r="B1051" s="2"/>
    </row>
    <row r="1052">
      <c r="B1052" s="2"/>
    </row>
    <row r="1053">
      <c r="B1053" s="2"/>
    </row>
    <row r="1054">
      <c r="B1054" s="2"/>
    </row>
    <row r="1055">
      <c r="B1055" s="2"/>
    </row>
    <row r="1056">
      <c r="B1056" s="2"/>
    </row>
    <row r="1057">
      <c r="B1057" s="2"/>
    </row>
    <row r="1058">
      <c r="B1058" s="2"/>
    </row>
    <row r="1059">
      <c r="B1059" s="2"/>
    </row>
    <row r="1060">
      <c r="B1060" s="2"/>
    </row>
  </sheetData>
  <mergeCells count="44">
    <mergeCell ref="A8:E8"/>
    <mergeCell ref="A15:E15"/>
    <mergeCell ref="A18:E18"/>
    <mergeCell ref="A19:E19"/>
    <mergeCell ref="A20:E20"/>
    <mergeCell ref="A21:E21"/>
    <mergeCell ref="A22:E22"/>
    <mergeCell ref="A23:E23"/>
    <mergeCell ref="A24:E24"/>
    <mergeCell ref="A25:E25"/>
    <mergeCell ref="A26:E26"/>
    <mergeCell ref="A31:E31"/>
    <mergeCell ref="A33:E33"/>
    <mergeCell ref="A35:E35"/>
    <mergeCell ref="A39:B39"/>
    <mergeCell ref="A40:B40"/>
    <mergeCell ref="A41:B41"/>
    <mergeCell ref="A36:B36"/>
    <mergeCell ref="C36:D36"/>
    <mergeCell ref="A37:B37"/>
    <mergeCell ref="C37:D37"/>
    <mergeCell ref="A38:B38"/>
    <mergeCell ref="C38:D38"/>
    <mergeCell ref="C39:D39"/>
    <mergeCell ref="C40:D40"/>
    <mergeCell ref="C41:D41"/>
    <mergeCell ref="A43:E43"/>
    <mergeCell ref="A44:B44"/>
    <mergeCell ref="C44:D44"/>
    <mergeCell ref="A45:B45"/>
    <mergeCell ref="C45:D45"/>
    <mergeCell ref="C49:D49"/>
    <mergeCell ref="A54:E54"/>
    <mergeCell ref="A55:E55"/>
    <mergeCell ref="A63:E63"/>
    <mergeCell ref="A141:E141"/>
    <mergeCell ref="A142:E142"/>
    <mergeCell ref="A46:B46"/>
    <mergeCell ref="C46:D46"/>
    <mergeCell ref="A47:B47"/>
    <mergeCell ref="C47:D47"/>
    <mergeCell ref="A48:B48"/>
    <mergeCell ref="C48:D48"/>
    <mergeCell ref="A49:B49"/>
  </mergeCells>
  <printOptions horizontalCentered="1"/>
  <pageMargins bottom="0.75" footer="0.0" header="0.0" left="0.7" right="0.7" top="0.75"/>
  <pageSetup cellComments="atEnd" orientation="portrait" pageOrder="overThenDown"/>
  <rowBreaks count="4" manualBreakCount="4">
    <brk id="112" man="1"/>
    <brk id="29" man="1"/>
    <brk id="61" man="1"/>
    <brk id="142" man="1"/>
  </rowBreaks>
  <colBreaks count="1" manualBreakCount="1">
    <brk id="5" man="1"/>
  </colBreaks>
  <drawing r:id="rId1"/>
</worksheet>
</file>