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hidden"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<sst xmlns="http://schemas.openxmlformats.org/spreadsheetml/2006/main" count="1460" uniqueCount="310">
  <si>
    <t>Diseño de Contenido Curricular</t>
  </si>
  <si>
    <t>Curso</t>
  </si>
  <si>
    <t>796 - Lenguajes Formales y de Programación</t>
  </si>
  <si>
    <t>Periodo al que aplica</t>
  </si>
  <si>
    <t>Primer Semestre 2026</t>
  </si>
  <si>
    <t>No.</t>
  </si>
  <si>
    <t>Competencia</t>
  </si>
  <si>
    <t>Nombre de la Unidad</t>
  </si>
  <si>
    <t>Tema</t>
  </si>
  <si>
    <t>Subtema</t>
  </si>
  <si>
    <t>Mes</t>
  </si>
  <si>
    <t>Semana</t>
  </si>
  <si>
    <t xml:space="preserve">Comprender el funcionamiento del lenguaje de programación a través de su aplicación para la resolución de problemas relacionados con las fases del compilador </t>
  </si>
  <si>
    <t>Lenguajes de Programacion</t>
  </si>
  <si>
    <t>Introduccion al lenguaje de Programacion</t>
  </si>
  <si>
    <t>Historia de la Programacion</t>
  </si>
  <si>
    <t>Enero</t>
  </si>
  <si>
    <t>Aspectos Basicos de la Programacion</t>
  </si>
  <si>
    <t>Reglas de Sintaxis</t>
  </si>
  <si>
    <t>Estructura de un programa</t>
  </si>
  <si>
    <t>Buenas Practicas y funciones en Programacion</t>
  </si>
  <si>
    <t>Convenciones de nombres y estilo de código</t>
  </si>
  <si>
    <t>Gestión de memoria y optimización</t>
  </si>
  <si>
    <t>Definición y uso de métodos y funciones</t>
  </si>
  <si>
    <t>Creación y uso de clases</t>
  </si>
  <si>
    <t>Diferencias entre métodos y funciones</t>
  </si>
  <si>
    <t>Estructuras de Datos y Control en Programacion</t>
  </si>
  <si>
    <t>Arreglos en Java</t>
  </si>
  <si>
    <t>Febrero</t>
  </si>
  <si>
    <t>Diccionarios y estructuras de Datos</t>
  </si>
  <si>
    <t>Iteracion en Java</t>
  </si>
  <si>
    <t>Lectura de Archivos</t>
  </si>
  <si>
    <t>Escritura de Archivos</t>
  </si>
  <si>
    <t xml:space="preserve">Analizar la evolución y clasificación de los lenguajes formales y de programación mediante la comparación de sus características, estructuras y herramientas para comprender su organización y funcionamiento </t>
  </si>
  <si>
    <t>Lenguajes Formales</t>
  </si>
  <si>
    <t>Lenguajes</t>
  </si>
  <si>
    <t>Lenguajes Natural</t>
  </si>
  <si>
    <t>Evolucion de los Lenguajes de Programacion</t>
  </si>
  <si>
    <t>Paradigmas</t>
  </si>
  <si>
    <t>Generaciones de lenguajes de programación</t>
  </si>
  <si>
    <t>Procesadores de Lenguaje</t>
  </si>
  <si>
    <t>Interprete</t>
  </si>
  <si>
    <t>Compilador</t>
  </si>
  <si>
    <t>Estructura de un compilador</t>
  </si>
  <si>
    <t>Diferencias y Ejemplos</t>
  </si>
  <si>
    <t>Herramientas</t>
  </si>
  <si>
    <t>Jerarquia de Chosmky</t>
  </si>
  <si>
    <t>Clasificacion de Gramaticas</t>
  </si>
  <si>
    <t xml:space="preserve">Construir analizadores léxicos utilizando conocimientos de AFD, POO, recursividad y programación imperativa para definir cada estado del AFD </t>
  </si>
  <si>
    <t>Analisis Lexico</t>
  </si>
  <si>
    <t>Definicion y Funcion del analizador lexico</t>
  </si>
  <si>
    <t>Patrones</t>
  </si>
  <si>
    <t>Tokens</t>
  </si>
  <si>
    <t>Lexemas</t>
  </si>
  <si>
    <t>Errores Lexicos</t>
  </si>
  <si>
    <t>Ejemplos de tokens en diferentes lenguajes</t>
  </si>
  <si>
    <t>Operaciones Entre Lenguajes y Expresiones regulares</t>
  </si>
  <si>
    <t>Interoperabilidad entre Lenguajes</t>
  </si>
  <si>
    <t>Concepto de interoperabilidad</t>
  </si>
  <si>
    <t>Traducción y Compilación:Proceso de traducción de un lenguaje a otro</t>
  </si>
  <si>
    <t>Buenas Prácticas en Interoperabilidad</t>
  </si>
  <si>
    <t>¿Qué son las expresiones regulares?</t>
  </si>
  <si>
    <t>Aplicaciones de Expresiones Regulares en Análisis Léxico</t>
  </si>
  <si>
    <t>Diagrama de transición de estados</t>
  </si>
  <si>
    <t>Tablas de Transicion</t>
  </si>
  <si>
    <t>Automata Finitos</t>
  </si>
  <si>
    <t>Definición de AFN</t>
  </si>
  <si>
    <t>Marzo</t>
  </si>
  <si>
    <t>Estructura de un AFN</t>
  </si>
  <si>
    <t>Ejemplo de AFN</t>
  </si>
  <si>
    <t>Definición de AFD</t>
  </si>
  <si>
    <t>Estructura de un AFD</t>
  </si>
  <si>
    <t>Ejemplo de AFD</t>
  </si>
  <si>
    <t>Conversion AFN a AFD</t>
  </si>
  <si>
    <t>Método del Árbol</t>
  </si>
  <si>
    <t>Anulables</t>
  </si>
  <si>
    <t>Cálculo de First, Last y Next</t>
  </si>
  <si>
    <t>Optimizacion de Estados</t>
  </si>
  <si>
    <t>Minimización de un AFD</t>
  </si>
  <si>
    <t>Abril</t>
  </si>
  <si>
    <t>Identificación de Estados Equivalentes</t>
  </si>
  <si>
    <t>Representación Compacta de AFD</t>
  </si>
  <si>
    <t>Ventajas de una representación optimizada</t>
  </si>
  <si>
    <t xml:space="preserve">Construir analizadores sintácticos utilizando conocimientos de Gramáticas Libres del Contexto, POO, recursividad y programación imperativa para definir cada regla sintáctica </t>
  </si>
  <si>
    <t>Analisis Sintactico</t>
  </si>
  <si>
    <t>Funcion del Analizador Sintactico</t>
  </si>
  <si>
    <t>Definición de análisis sintáctico</t>
  </si>
  <si>
    <t>Propósito del analizador sintáctico en un compilador</t>
  </si>
  <si>
    <t>Diferencias entre análisis léxico y sintáctico</t>
  </si>
  <si>
    <t>Analizadores sintácticos ascendentes</t>
  </si>
  <si>
    <t>Analizadores sintácticos descendentes</t>
  </si>
  <si>
    <t>Comparación de técnicas de análisis sintáctico</t>
  </si>
  <si>
    <t xml:space="preserve">Generar gramáticas libres de contexto mediante el análisis sintáctico para reconocer lenguajes formales. </t>
  </si>
  <si>
    <t>Lenguajes Libres de Contexto</t>
  </si>
  <si>
    <t>Definición de lenguajes libres de contexto (LFC)</t>
  </si>
  <si>
    <t>Características de LFC</t>
  </si>
  <si>
    <t>Importancia de los LFC en la teoría de lenguajes de programación</t>
  </si>
  <si>
    <t>Gramáticas Tipo 2</t>
  </si>
  <si>
    <t>Ejemplos de generación de cadenas usando gramáticas Tipo 2</t>
  </si>
  <si>
    <t>Aplicaciones prácticas de gramáticas Tipo 2 en lenguajes de programación</t>
  </si>
  <si>
    <t>Arboles de Derivacion y Ambigueadad</t>
  </si>
  <si>
    <t>Árboles de derivación</t>
  </si>
  <si>
    <t>Definición y construcción de árboles de derivación</t>
  </si>
  <si>
    <t>Ambigüedad</t>
  </si>
  <si>
    <t>Concepto de ambigüedad en gramáticas</t>
  </si>
  <si>
    <t>Ejemplos de gramáticas ambiguas</t>
  </si>
  <si>
    <t>Recursividad</t>
  </si>
  <si>
    <t>Definición de recursividad en gramáticas</t>
  </si>
  <si>
    <t>Ejemplos de gramáticas recursivas</t>
  </si>
  <si>
    <t>Automatas de Pila</t>
  </si>
  <si>
    <t>Introducción a los autómatas de pila</t>
  </si>
  <si>
    <t>Definición y funcionamiento de un autómata de pila</t>
  </si>
  <si>
    <t>Diferencias entre autómatas de pila y autómatas finitos</t>
  </si>
  <si>
    <t>Procesamiento</t>
  </si>
  <si>
    <t>Tipos de aceptación</t>
  </si>
  <si>
    <t>Estado Final</t>
  </si>
  <si>
    <t>Pila vacía</t>
  </si>
  <si>
    <t>Autómata de Pila desde Gramática Tipo 2</t>
  </si>
  <si>
    <t>Tiempo</t>
  </si>
  <si>
    <t xml:space="preserve">1. Bienvenida y Presentación                                   </t>
  </si>
  <si>
    <t>Tiempo Aproximado</t>
  </si>
  <si>
    <t>No puedes excederte mas de 15 minutos</t>
  </si>
  <si>
    <t xml:space="preserve">Nombre y Formacion Academica </t>
  </si>
  <si>
    <t>NOMBRE, estudiante de Ingeniería en Ciencias y Sistemas, auxiliar de Lenguajes Formales y De Programación</t>
  </si>
  <si>
    <t xml:space="preserve">Experiencia docente y profesional </t>
  </si>
  <si>
    <t>Auxiliar de Lenguajes Formales y de Programación, con experiencia en el desarrollo de aplicaciones y en temas relacionados con compiladores.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</si>
  <si>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</si>
  <si>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</si>
  <si>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Resolución de dudas, preparación de material, guia en laboratorios.</t>
  </si>
  <si>
    <t>Expectativas sobre la dinámica del curso</t>
  </si>
  <si>
    <t>Participación del alumnado, disciplina en los laboratorios y la coneccion de desarrollo de aplicacion de lo teórico a lo práctico.</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</si>
  <si>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</si>
  <si>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</si>
  <si>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</si>
  <si>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</si>
  <si>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1. En Java, una clase puede heredar de múltiples clases al mismo tiempo.
Falso
2. La palabra clave super se utiliza para invocar al constructor de la clase padre.
Verdadero
3. En Java, una interfaz puede tener métodos abstractos y métodos con implementación (default y static).
Verdadero
4. El modificador private permite que un atributo sea accesible desde cualquier clase.
Falso
5. En Java, la sobrecarga de métodos significa definir varios métodos con el mismo nombre pero diferentes parámetros.
Verdadero
6. La sobreescritura de métodos (override) ocurre cuando una subclase redefine un método de la superclase.
Verdadero
7. En Java, una clase marcada como abstract puede instanciarse directamente.
Falso
8. ¿Qué palabra clave se utiliza para evitar que una clase pueda ser heredada?
final
9. El polimorfismo en Java permite que un mismo método tenga comportamientos diferentes según el objeto que lo invoque.
Verdadero
10. En Swing, el contenedor principal de una aplicación gráfica suele ser JFrame.
Verdadero
11. En Swing, un JPanel se utiliza únicamente para mostrar menús.
Falso
12. ¿Qué clase de Swing se utiliza para mostrar un cuadro de diálogo simple con un mensaje y botones como “Aceptar” o “Cancelar”?
JOptionPane
13. El método setVisible(true) en un JFrame se utiliza para mostrar la ventana en pantalla.
Verdadero
14. En Swing, los componentes gráficos como botones, etiquetas o cuadros de texto heredan de la clase JComponent.
Verdadero
15. ¿Qué método se utiliza en un JButton para asignarle una acción cuando es presionado?
addActionListener()</t>
  </si>
  <si>
    <t>En los recuadors de la derecha deberas colocar las preguntas que planeas realizar con sus respectivas respuestas.  En el segundo recuadro deberas colocar un breve resumen de lo que tines planificado para la parte practica del curso previo al que estas impartiendo.</t>
  </si>
  <si>
    <t>Redactaras una parte practica</t>
  </si>
  <si>
    <t>Practica Diagnostica : Programacion Orientada a Objetos en Java = Evaluar conocimientos básicos de programación en java y principios de programación.</t>
  </si>
  <si>
    <t xml:space="preserve">3. Presentación de los Estudiantes                                </t>
  </si>
  <si>
    <t xml:space="preserve">No puedes excederte mas de 30 minutos </t>
  </si>
  <si>
    <t>Seleccion al Azar de 5 Estudiantes</t>
  </si>
  <si>
    <t>1. Coloboración de los estudiantes amablemente se les solicitará que se presenten en el curso.</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</si>
  <si>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</si>
  <si>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</si>
  <si>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 xml:space="preserve">1. Nombre completo.
2. ¿Cuáles son tus intereses y expectativas sobre este curso?
3. ¿Tienes experiencia previa relacionada con el curso o con programación?
4. Un dato curioso sobre ti (puede ser un hobby, gusto).
</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</si>
  <si>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</si>
  <si>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</si>
  <si>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</si>
  <si>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</si>
  <si>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https://forms.gle/ezpR5Cb647UspVHTA</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</si>
  <si>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</si>
  <si>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</si>
  <si>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La calificación podrá realizarse entre semana, dependiendo de la fecha de entrega de la práctica o proyecto. Se seleccionará el día en el que la mayoría de estudiantes tenga disponibilidad. De forma regular, las calificaciones se llevan a cabo los días sábados.</t>
  </si>
  <si>
    <t xml:space="preserve">4.  Mostrar Programa del Curso                 </t>
  </si>
  <si>
    <t>No puedes excederte mas de 30 minutos</t>
  </si>
  <si>
    <t xml:space="preserve">2. Evaluación de Conocimientos del Curso Actual                                  </t>
  </si>
  <si>
    <t xml:space="preserve">Redactaras 20 preguntas con sus respectivas respuestas </t>
  </si>
  <si>
    <t>1. JavaScript fue creado originalmente en 1995 por Brendan Eich.
Verdadero
2. JavaScript es un lenguaje compilado.
Falso
3. Menciona una buena práctica en JavaScript.
Usar nombres de variables descriptivos
4. Las librerías en JavaScript permiten reutilizar código ya escrito.
Verdadero
5. En JavaScript, los arreglos pueden contener diferentes tipos de datos en la misma estructura.
Verdadero
6. Los diccionarios en JavaScript se representan normalmente con objetos {}.
Verdadero
7. ¿Qué ciclo es más adecuado cuando no sabemos cuántas veces se repetirá la iteración?
While
8. En JavaScript, para leer y escribir archivos en el navegador se usa directamente fs.
Falso
9. Un lenguaje natural es ambiguo y depende del contexto.
Verdadero
10. Los lenguajes formales son precisos, definidos por reglas y sin ambigüedad.
Verdadero
11. Menciona un ejemplo de lenguaje de programación de tercera generación.
C, Java, Python
12. Un intérprete traduce y ejecuta el código instrucción por instrucción.
Verdadero
13. El compilador traduce todo el código fuente a un lenguaje máquina antes de ejecutarse.
Verdadero
14. La Jerarquía de Chomsky clasifica gramáticas en cuatro tipos.
Verdadero
15. Un token es la unidad más pequeña que reconoce un analizador léxico.
Verdadero
16. ¿Cómo se llaman los errores detectados por el analizador léxico?
Errores léxicos
17. Las expresiones regulares son útiles para definir patrones en cadenas.
Verdadero
18. Un autómata finito determinista (AFD) puede tener múltiples transiciones con el mismo símbolo desde un estado.
Falso
19. El método del árbol permite la conversión de un AFN a un AFD.
Verdadero
20. Los autómatas de pila reconocen lenguajes libres de contexto.
Verdadero</t>
  </si>
  <si>
    <t>Diseño de la Sesión de Laboratorio</t>
  </si>
  <si>
    <t>Ponderación</t>
  </si>
  <si>
    <t>Validación de Tiempo</t>
  </si>
  <si>
    <t>1. Área Actitudinal (Saber Ser)</t>
  </si>
  <si>
    <t>Tiene que estar en un rango de 3 a 5 minutos</t>
  </si>
  <si>
    <t>Nombre del Valor</t>
  </si>
  <si>
    <t>Responsabilidad</t>
  </si>
  <si>
    <t>Descripcion</t>
  </si>
  <si>
    <t>La responsabilidad implica asumir con seriedad y compromiso cada tarea de aprendizaje, comprendiendo que los conocimientos adquiridos en clase serán la base para proyectos personales, académicos y profesionales.</t>
  </si>
  <si>
    <t>Como se relaciona con los conocimientos de la sesion y se aplicaria</t>
  </si>
  <si>
    <t>El estudiante debe ser responsable en practicar la sintaxis básica para evitar errores comunes.
Al comprender los fundamentos, podrá aplicarlos luego en proyectos más complejos.
Se espera que asuma el rol de programador consciente, que entiende que su código no solo debe funcionar, sino también ser claro, organizado y fácil de mantener.</t>
  </si>
  <si>
    <t>2. Área Conocimiento (Saber)</t>
  </si>
  <si>
    <t>No puede exceder los 60 minutos</t>
  </si>
  <si>
    <t>Competencia a desarrollar</t>
  </si>
  <si>
    <t xml:space="preserve">Comprender aspectos importantes sobre el lenguaje utilizado a través de su aplicación para implementar lo aprendido durante las clases teóricas </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</si>
  <si>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</si>
  <si>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</si>
  <si>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</si>
  <si>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</si>
  <si>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</si>
  <si>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</si>
  <si>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</si>
  <si>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</si>
  <si>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</si>
  <si>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</si>
  <si>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</si>
  <si>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</si>
  <si>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</si>
  <si>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</si>
  <si>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</si>
  <si>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</si>
  <si>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</si>
  <si>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</si>
  <si>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</si>
  <si>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</si>
  <si>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</si>
  <si>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</si>
  <si>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</si>
  <si>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El estudiante deberá responder un cuestionario que combine preguntas teóricas (historia, reglas de sintaxis, estructura básica de un programa en JS) y ejercicios prácticos cortos.</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</si>
  <si>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</si>
  <si>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</si>
  <si>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</si>
  <si>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</si>
  <si>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</si>
  <si>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</si>
  <si>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Disciplina</t>
  </si>
  <si>
    <t>5 minutos</t>
  </si>
  <si>
    <t>La disciplina se refiere a la constancia y la capacidad de mantener un hábito de estudio ordenado y enfocado.</t>
  </si>
  <si>
    <t>El estudiante necesita ser disciplinado para aprender y practicar la sintaxis del lenguaje de manera correcta.
Requiere orden para aplicar las buenas prácticas de programación (como nombrar variables correctamente o comentar el código).</t>
  </si>
  <si>
    <t>actividades</t>
  </si>
  <si>
    <t>El estudiante deberá realizar una serie de pequeños ejercicios en JavaScript aplicando buenas prácticas, funciones y clases.</t>
  </si>
  <si>
    <t>Perseverancia</t>
  </si>
  <si>
    <t>2 minutos</t>
  </si>
  <si>
    <t>Es la capacidad de mantener el esfuerzo y la determinación para alcanzar una meta a pesar de los obstáculos, las dificultades o los fracasos que puedan surgir en el camino.</t>
  </si>
  <si>
    <t>Frecuentemente requieren un alto nivel de comprensión llegar a entender el funcionamiento de estructuras de datos.</t>
  </si>
  <si>
    <t>15 a 25 minutos</t>
  </si>
  <si>
    <t>25 minutos</t>
  </si>
  <si>
    <t>5 a 10 minutos</t>
  </si>
  <si>
    <t>10 minutos</t>
  </si>
  <si>
    <t>10 a 15 minutos</t>
  </si>
  <si>
    <t>15 minutos</t>
  </si>
  <si>
    <t>EXAMEN CORTO 1: Se establecerá un cuestionario con conceptos básicos sobre programación y sobre el lenguaje.</t>
  </si>
  <si>
    <t>Pensamiento Crítico</t>
  </si>
  <si>
    <t>Es la capacidad de analizar, evaluar y cuestionar la información de manera lógica, objetiva y racional para formarse un juicio o tomar decisiones fundamentadas. Implica no aceptar ideas o argumentos sin examinarlos cuidadosamente, considerando la evidencia, los supuestos, las implicaciones y posibles sesgos.</t>
  </si>
  <si>
    <t>Los lenguajes de programación y su evolución no son solo una cuestión de memorizar reglas, sino también de comprender por qué ciertas decisiones se tomaron en el diseño de lenguajes.</t>
  </si>
  <si>
    <t>20 a 25 minutos</t>
  </si>
  <si>
    <t>Se establecerá un cuestionario con conceptos básicos sobre lenguajes formales.</t>
  </si>
  <si>
    <t>Paciencia</t>
  </si>
  <si>
    <t>Es la capacidad de mantener la calma, la serenidad y el control emocional ante situaciones difíciles, retrasos, frustraciones o cuando los resultados deseados tardan en llegar.</t>
  </si>
  <si>
    <t>Es esencial para superar los obstáculos que se presentan al implementar o estudiar estas herramientas ya que comprender cómo funcionan los compiladores e intérpretes y las estructuras que los componen puede ser desafiante y requerir tiempo.</t>
  </si>
  <si>
    <t>Ejercicio practico</t>
  </si>
  <si>
    <t>Se les solicitará a los estudiantes realizar un programa en consola que sea capaz de parsear un archivo con formato csv utilizando únicamente funciones nativas del lenguaje de programación</t>
  </si>
  <si>
    <t>Autoconocimiento</t>
  </si>
  <si>
    <t>Permite al estudiante identificar sus fortalezas, intereses y aspectos personales relevantes.</t>
  </si>
  <si>
    <t>El autoconocimiento permite al estudiante reflexionar sobre su proceso de aprendizaje al enfrentar conceptos abstractos como autómatas, gramáticas y análisis léxico/sintáctico.</t>
  </si>
  <si>
    <t>40 minutos</t>
  </si>
  <si>
    <t>Construir e implementar AFD en codigo</t>
  </si>
  <si>
    <t>Curiosidad</t>
  </si>
  <si>
    <t>Se estimula al presentarse contenidos nuevos que despiertan interés por aprender.</t>
  </si>
  <si>
    <t>La curiosidad es fundamental en el estudio de lenguajes formales porque impulsa al estudiante.</t>
  </si>
  <si>
    <t>Dibujar el árbol sintáctico de una expresión regular dada.</t>
  </si>
  <si>
    <t>Compromiso</t>
  </si>
  <si>
    <t>Se impulsa al conocer y aceptar activamente el programa del curso.</t>
  </si>
  <si>
    <t>El compromiso es esencial en el estudio de lenguajes formales porque este campo requiere:
Dedicación constante para dominar conceptos abstractos y secuenciales.</t>
  </si>
  <si>
    <t>Generar un diagrama de una AFD en formato DOT.</t>
  </si>
  <si>
    <t xml:space="preserve"> Aborda problemas complejos como los autómatas de pila sin rendirse.</t>
  </si>
  <si>
    <t>EXAMEN CORTO 3</t>
  </si>
  <si>
    <t>Autonomía</t>
  </si>
  <si>
    <t>Desarrolla aplicaciones de análisis sintáctico de forma independiente.</t>
  </si>
  <si>
    <t>El estudiante construye aplicaciones mediante el uso de analisis lexico y sintactico utilizando herramientas de procesamiento de lenguajes formales.</t>
  </si>
  <si>
    <t>Proyectos</t>
  </si>
  <si>
    <t>La sumatoria de los puntos de los proyectos debe superar el  70% del total de la nota, no puede ser un 100%</t>
  </si>
  <si>
    <t>1. Primer Proyecto</t>
  </si>
  <si>
    <t>Horas para realizarlo</t>
  </si>
  <si>
    <t>Titulo</t>
  </si>
  <si>
    <t>Analizador Léxico con Interfaz Gráfica</t>
  </si>
  <si>
    <t>Qué tecnologías, lenguajes de programación, plataformas, hardware o software se utilizaran</t>
  </si>
  <si>
    <t xml:space="preserve">Lenguaje de programación de propósito general (JavaScript, Python, Java), Bibliotecas para interfaz gráfica. </t>
  </si>
  <si>
    <t>Descripción de lo que se realizara</t>
  </si>
  <si>
    <t xml:space="preserve">
El estudiante desarrollará un analizador léxico con interfaz gráfica donde pueda cargar archivos de entrada, definir tokens y visualizar el resultado del análisis. El programa debe:
Permitir la definición de tokens 
Leer código fuente desde archivo
Identificar y clasificar lexemas
Generar tabla de tokens
Detectar y reportar errores léxicos
Mostrar el AFD correspondiente</t>
  </si>
  <si>
    <t>2. Segundo Proyecto</t>
  </si>
  <si>
    <t>Traductor con Análisis Léxico y Sintáctico</t>
  </si>
  <si>
    <t>Lenguaje de programación de propósito general (JavaScript, Python, Java)
Bibliotecas para generación de reportes y visualización</t>
  </si>
  <si>
    <t>El estudiante desarrollará un compilador completo que integre las fases de análisis léxico y sintáctico para un lenguaje formal específico. El programa debe:
Realizar análisis léxico completo
Implementar análisis sintáctico mediante gramáticas libres de contexto
Detectar y reportar errores léxicos y sintácticos con línea y columna
Generar reportes de análisis (HTML)
Incluir casos de prueba que demuestren el manejo de recursividad y ambigüedad</t>
  </si>
  <si>
    <t>3. Tercer Proyecto</t>
  </si>
  <si>
    <t>Optativa</t>
  </si>
  <si>
    <t>Practicas</t>
  </si>
  <si>
    <t>La sumatoria de los puntos de los practicas debe no debe super el  20%</t>
  </si>
  <si>
    <t>1. Primera Practica</t>
  </si>
  <si>
    <t>Obligatoria</t>
  </si>
  <si>
    <t>Lectura y procesamiento básico de archivos en JavaScript</t>
  </si>
  <si>
    <t>JavaScript</t>
  </si>
  <si>
    <t>El estudiante desarrollará un programa en JavaScript que:
1. Lea un archivo de texto con datos separados por comas (CSV).
2. Procese los datos aplicando la función split(',') para separarlos en campos.
3. Almacene los datos en estructuras adecuadas (listas, arreglos u objetos).
4. Genere un reporte básico en consola que muestre la información organizada, por ejemplo: listado de elementos, conteo de registros o agrupaciones simples.</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</si>
  <si>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</si>
  <si>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</si>
  <si>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</si>
  <si>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</si>
  <si>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</si>
  <si>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</si>
  <si>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</si>
  <si>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</si>
  <si>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</si>
  <si>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Abstracción de Objetos</t>
  </si>
  <si>
    <t>Se utilizará el lenguaje de Programación JavaScript.</t>
  </si>
  <si>
    <t>Se solicita a los estudiantes la abstracción de un objeto de su preferencia en el lenguaje de programación JavaScript. Definirán las clases necesarias y crearán al menos 2 instancias del objeto, en donde deberán ejecutar al menos 2 métodos del objeto.</t>
  </si>
  <si>
    <t>2. Segunda Tarea</t>
  </si>
  <si>
    <t>Manejo de Archivos</t>
  </si>
  <si>
    <t>Se solicita a los estudiantes la lectura de un archivo de texto plano con un formato preestablecido. Deberán leer el archivo y generar un reporte html con la información obtenida.</t>
  </si>
  <si>
    <t>3. Tercera Tarea</t>
  </si>
  <si>
    <t>Optimización de Estados</t>
  </si>
  <si>
    <t>No aplica</t>
  </si>
  <si>
    <t>En esta tarea, el estudiante aplicará técnicas de partición para optimizar un autómata finito determinista (AFD), identificando y agrupando estados equivalentes con el fin de reducir su complejidad sin alterar el lenguaje que reconoce. El proceso se realizará de forma manual para reforzar la comprensión de la minimización de estados.</t>
  </si>
  <si>
    <t>4. Cuarta Tarea</t>
  </si>
  <si>
    <t>Generación de gramática libre del contexto para reconocimiento de expresiones aritméticas</t>
  </si>
  <si>
    <t>En esta tarea, el estudiante diseñará una gramática libre de contexto que permita reconocer expresiones aritméticas con operadores y paréntesis. Posteriormente, aplicará análisis sintáctico utilizando técnicas de parsing (descendente o ascendente) para construir árboles sintácticos, validando la correcta estructuración de dichas expresiones según las reglas definidas.</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</si>
  <si>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</si>
  <si>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</si>
  <si>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</si>
  <si>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</si>
  <si>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</si>
  <si>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</si>
  <si>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</si>
  <si>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</si>
  <si>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</si>
  <si>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</si>
  <si>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</si>
  <si>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</si>
  <si>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Exámenes Cortos</t>
  </si>
  <si>
    <t>Sumatoria de todas las semas</t>
  </si>
  <si>
    <t>Examen Final</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</si>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</sst>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rgb="FF0000FF"/>
      <name val="Arial"/>
    </font>
    <font>
      <b/>
      <sz val="12.0"/>
      <color rgb="FFFF6D01"/>
      <name val="Arial"/>
    </font>
    <font>
      <b/>
      <sz val="12.0"/>
      <color rgb="FFFFFFFF"/>
      <name val="Arial"/>
    </font>
    <font>
      <color rgb="FFD9D9D9"/>
      <name val="Arial"/>
    </font>
    <font>
      <b/>
      <sz val="12.0"/>
      <color theme="1"/>
      <name val="Arial"/>
    </font>
    <font>
      <sz val="12.0"/>
      <color rgb="FFFFFFFF"/>
      <name val="Arial"/>
    </font>
    <font>
      <sz val="12.0"/>
      <color theme="4"/>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2" fillId="0" fontId="4" numFmtId="0" xfId="0" applyAlignment="1" applyBorder="1" applyFont="1">
      <alignment readingOrder="0"/>
    </xf>
    <xf borderId="0" fillId="0" fontId="9" numFmtId="0" xfId="0" applyFont="1"/>
    <xf borderId="0" fillId="0" fontId="10" numFmtId="0" xfId="0" applyAlignment="1" applyFont="1">
      <alignment shrinkToFit="0" wrapText="1"/>
    </xf>
    <xf borderId="0" fillId="3" fontId="1" numFmtId="0" xfId="0" applyAlignment="1" applyFill="1" applyFont="1">
      <alignment readingOrder="0"/>
    </xf>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1" fillId="4" fontId="4" numFmtId="0" xfId="0" applyAlignment="1" applyBorder="1" applyFont="1">
      <alignment readingOrder="0" shrinkToFit="0" vertical="bottom" wrapText="1"/>
    </xf>
    <xf borderId="0" fillId="0" fontId="4" numFmtId="0" xfId="0" applyAlignment="1" applyFont="1">
      <alignment horizontal="center" shrinkToFit="0" vertical="center" wrapText="1"/>
    </xf>
    <xf borderId="1" fillId="4" fontId="4" numFmtId="0" xfId="0" applyAlignment="1" applyBorder="1" applyFont="1">
      <alignment shrinkToFit="0" wrapText="1"/>
    </xf>
    <xf borderId="1" fillId="4" fontId="4" numFmtId="0" xfId="0" applyBorder="1" applyFont="1"/>
    <xf borderId="0" fillId="0" fontId="12" numFmtId="0" xfId="0" applyFont="1"/>
    <xf borderId="1" fillId="4" fontId="4" numFmtId="0" xfId="0" applyAlignment="1" applyBorder="1" applyFont="1">
      <alignment shrinkToFit="0" vertical="center" wrapText="1"/>
    </xf>
    <xf borderId="0" fillId="0" fontId="4" numFmtId="0" xfId="0" applyAlignment="1" applyFont="1">
      <alignment horizontal="center" readingOrder="0" shrinkToFit="0" vertical="center" wrapText="1"/>
    </xf>
    <xf borderId="0" fillId="0" fontId="13" numFmtId="0" xfId="0" applyAlignment="1" applyFont="1">
      <alignment shrinkToFit="0" wrapText="1"/>
    </xf>
    <xf borderId="0" fillId="0" fontId="4" numFmtId="0" xfId="0" applyAlignment="1" applyFont="1">
      <alignment horizontal="left" shrinkToFit="0" vertical="center" wrapText="1"/>
    </xf>
    <xf borderId="2" fillId="0" fontId="4" numFmtId="0" xfId="0" applyAlignment="1" applyBorder="1" applyFont="1">
      <alignment readingOrder="0" shrinkToFit="0" vertical="bottom" wrapText="1"/>
    </xf>
    <xf borderId="0" fillId="3" fontId="1" numFmtId="0" xfId="0" applyFont="1"/>
    <xf borderId="0" fillId="0" fontId="14" numFmtId="0" xfId="0" applyFont="1"/>
    <xf borderId="2" fillId="0" fontId="15" numFmtId="0" xfId="0" applyAlignment="1" applyBorder="1" applyFont="1">
      <alignment readingOrder="0" vertical="bottom"/>
    </xf>
    <xf borderId="0" fillId="0" fontId="4" numFmtId="0" xfId="0" applyAlignment="1" applyFont="1">
      <alignment readingOrder="0" shrinkToFit="0" vertical="center" wrapText="1"/>
    </xf>
    <xf borderId="2" fillId="0" fontId="4" numFmtId="0" xfId="0" applyAlignment="1" applyBorder="1" applyFont="1">
      <alignment readingOrder="0" shrinkToFit="0" vertical="center" wrapText="1"/>
    </xf>
    <xf borderId="0" fillId="0" fontId="16" numFmtId="0" xfId="0" applyFont="1"/>
    <xf borderId="1" fillId="0" fontId="4" numFmtId="0" xfId="0" applyAlignment="1" applyBorder="1" applyFont="1">
      <alignment shrinkToFit="0" wrapText="1"/>
    </xf>
    <xf borderId="0" fillId="0" fontId="13" numFmtId="0" xfId="0" applyFont="1"/>
    <xf borderId="0" fillId="5" fontId="17" numFmtId="0" xfId="0" applyAlignment="1" applyFill="1" applyFont="1">
      <alignment readingOrder="0"/>
    </xf>
    <xf borderId="2" fillId="4" fontId="4" numFmtId="0" xfId="0" applyBorder="1" applyFont="1"/>
    <xf borderId="5" fillId="0" fontId="4" numFmtId="0" xfId="0" applyAlignment="1" applyBorder="1" applyFont="1">
      <alignment readingOrder="0" shrinkToFit="0" vertical="center" wrapText="1"/>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2" fillId="0" fontId="4" numFmtId="0" xfId="0" applyAlignment="1" applyBorder="1" applyFont="1">
      <alignment readingOrder="0" shrinkToFit="0" wrapText="1"/>
    </xf>
    <xf borderId="0" fillId="0" fontId="10" numFmtId="0" xfId="0" applyFont="1"/>
    <xf borderId="1" fillId="6" fontId="4" numFmtId="0" xfId="0" applyBorder="1" applyFill="1" applyFont="1"/>
    <xf borderId="2" fillId="6" fontId="4" numFmtId="0" xfId="0" applyBorder="1" applyFont="1"/>
    <xf borderId="1" fillId="0" fontId="4" numFmtId="164" xfId="0" applyBorder="1" applyFont="1" applyNumberFormat="1"/>
    <xf borderId="2" fillId="0" fontId="4" numFmtId="164" xfId="0" applyBorder="1" applyFont="1" applyNumberFormat="1"/>
    <xf borderId="2" fillId="0" fontId="4" numFmtId="164" xfId="0" applyAlignment="1" applyBorder="1" applyFont="1" applyNumberFormat="1">
      <alignment readingOrder="0"/>
    </xf>
    <xf borderId="1" fillId="7" fontId="4" numFmtId="0" xfId="0" applyBorder="1" applyFill="1" applyFont="1"/>
    <xf borderId="2" fillId="7" fontId="4" numFmtId="0" xfId="0" applyBorder="1" applyFont="1"/>
    <xf borderId="1" fillId="0" fontId="4" numFmtId="0" xfId="0" applyAlignment="1" applyBorder="1" applyFont="1">
      <alignment readingOrder="0"/>
    </xf>
    <xf borderId="2" fillId="0" fontId="14" numFmtId="0" xfId="0" applyBorder="1" applyFont="1"/>
    <xf borderId="5" fillId="0" fontId="4" numFmtId="0" xfId="0" applyAlignment="1" applyBorder="1" applyFont="1">
      <alignment readingOrder="0" vertical="center"/>
    </xf>
    <xf borderId="11" fillId="0" fontId="8" numFmtId="0" xfId="0" applyBorder="1" applyFont="1"/>
    <xf borderId="12" fillId="0" fontId="8" numFmtId="0" xfId="0" applyBorder="1" applyFont="1"/>
    <xf borderId="0" fillId="0" fontId="18" numFmtId="0" xfId="0" applyFont="1"/>
    <xf borderId="5" fillId="0" fontId="4" numFmtId="0" xfId="0" applyBorder="1" applyFont="1"/>
    <xf borderId="2" fillId="0" fontId="14" numFmtId="0" xfId="0" applyAlignment="1" applyBorder="1" applyFont="1">
      <alignment readingOrder="0"/>
    </xf>
    <xf borderId="5" fillId="0" fontId="4" numFmtId="0" xfId="0" applyAlignment="1" applyBorder="1" applyFont="1">
      <alignment readingOrder="0" shrinkToFit="0" wrapText="1"/>
    </xf>
    <xf borderId="0" fillId="5" fontId="17" numFmtId="0" xfId="0" applyFont="1"/>
    <xf borderId="5" fillId="0" fontId="4" numFmtId="0" xfId="0" applyAlignment="1" applyBorder="1" applyFont="1">
      <alignment readingOrder="0" shrinkToFit="0" vertical="top" wrapText="1"/>
    </xf>
    <xf borderId="5" fillId="0" fontId="4" numFmtId="0" xfId="0" applyAlignment="1" applyBorder="1" applyFont="1">
      <alignment readingOrder="0" vertical="top"/>
    </xf>
    <xf borderId="5" fillId="0" fontId="4" numFmtId="0" xfId="0" applyAlignment="1" applyBorder="1" applyFont="1">
      <alignment vertical="top"/>
    </xf>
    <xf borderId="2" fillId="0" fontId="4" numFmtId="0" xfId="0" applyAlignment="1" applyBorder="1" applyFont="1">
      <alignment readingOrder="0" shrinkToFit="0" vertical="top" wrapText="1"/>
    </xf>
    <xf borderId="2" fillId="0" fontId="4" numFmtId="0" xfId="0" applyAlignment="1" applyBorder="1" applyFont="1">
      <alignment shrinkToFit="0" vertical="top" wrapText="1"/>
    </xf>
    <xf borderId="5" fillId="0" fontId="4" numFmtId="0" xfId="0" applyAlignment="1" applyBorder="1" applyFont="1">
      <alignment shrinkToFit="0" vertical="top" wrapText="1"/>
    </xf>
    <xf borderId="5" fillId="0" fontId="4" numFmtId="0" xfId="0" applyAlignment="1" applyBorder="1" applyFont="1">
      <alignment readingOrder="0"/>
    </xf>
    <xf borderId="5" fillId="0" fontId="4" numFmtId="0" xfId="0" applyAlignment="1" applyBorder="1" applyFont="1">
      <alignment horizontal="left" readingOrder="0"/>
    </xf>
    <xf borderId="0" fillId="0" fontId="19" numFmtId="0" xfId="0" applyFont="1"/>
    <xf borderId="0" fillId="3" fontId="20" numFmtId="0" xfId="0" applyFont="1"/>
    <xf borderId="0" fillId="3" fontId="20" numFmtId="0" xfId="0" applyAlignment="1" applyFont="1">
      <alignment readingOrder="0"/>
    </xf>
    <xf borderId="0" fillId="0" fontId="21" numFmtId="0" xfId="0" applyFont="1"/>
    <xf borderId="0" fillId="0" fontId="5" numFmtId="0" xfId="0" applyAlignment="1" applyFont="1">
      <alignment shrinkToFit="0" wrapText="1"/>
    </xf>
    <xf borderId="0" fillId="0" fontId="22" numFmtId="0" xfId="0" applyAlignment="1" applyFont="1">
      <alignment shrinkToFit="0" wrapText="1"/>
    </xf>
    <xf borderId="0" fillId="0" fontId="22" numFmtId="0" xfId="0" applyFont="1"/>
    <xf borderId="1" fillId="6" fontId="22" numFmtId="0" xfId="0" applyAlignment="1" applyBorder="1" applyFont="1">
      <alignment shrinkToFit="0" wrapText="1"/>
    </xf>
    <xf borderId="1" fillId="6" fontId="22" numFmtId="0" xfId="0" applyBorder="1" applyFont="1"/>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171450</xdr:colOff>
      <xdr:row>10</xdr:row>
      <xdr:rowOff>247650</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247650</xdr:colOff>
      <xdr:row>19</xdr:row>
      <xdr:rowOff>0</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247650</xdr:colOff>
      <xdr:row>26</xdr:row>
      <xdr:rowOff>295275</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171450</xdr:colOff>
      <xdr:row>32</xdr:row>
      <xdr:rowOff>123825</xdr:rowOff>
    </xdr:from>
    <xdr:ext cx="1590675" cy="942975"/>
    <xdr:sp>
      <xdr:nvSpPr>
        <xdr:cNvPr id="3" name="Shape 3"/>
        <xdr:cNvSpPr/>
      </xdr:nvSpPr>
      <xdr:spPr>
        <a:xfrm rot="10800000">
          <a:off x="4555425" y="3313275"/>
          <a:ext cx="1581150" cy="93345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ezpR5Cb647UspVHTA"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77.25"/>
    <col customWidth="1" min="4" max="4" width="26.63"/>
    <col customWidth="1" min="5" max="5" width="41.38"/>
    <col customWidth="1" min="6" max="6" width="56.38"/>
  </cols>
  <sheetData>
    <row r="1" ht="15.75" customHeight="1"/>
    <row r="2" ht="15.75" customHeight="1">
      <c r="A2" s="1">
        <f>VALUE(LEFT(C4,FIND(" - ",C4)-1))</f>
        <v>796</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c r="B9" s="10">
        <v>1.0</v>
      </c>
      <c r="C9" s="11" t="s">
        <v>12</v>
      </c>
      <c r="D9" s="12" t="s">
        <v>13</v>
      </c>
      <c r="E9" s="11" t="s">
        <v>14</v>
      </c>
      <c r="F9" s="11" t="s">
        <v>15</v>
      </c>
      <c r="G9" s="12" t="s">
        <v>16</v>
      </c>
      <c r="H9" s="5">
        <v>2.0</v>
      </c>
    </row>
    <row r="10">
      <c r="B10" s="10">
        <v>2.0</v>
      </c>
      <c r="C10" s="11" t="s">
        <v>12</v>
      </c>
      <c r="D10" s="12" t="s">
        <v>13</v>
      </c>
      <c r="E10" s="11" t="s">
        <v>14</v>
      </c>
      <c r="F10" s="13" t="s">
        <v>17</v>
      </c>
      <c r="G10" s="10" t="s">
        <v>16</v>
      </c>
      <c r="H10" s="12">
        <v>2.0</v>
      </c>
    </row>
    <row r="11">
      <c r="B11" s="10">
        <v>3.0</v>
      </c>
      <c r="C11" s="11" t="s">
        <v>12</v>
      </c>
      <c r="D11" s="12" t="s">
        <v>13</v>
      </c>
      <c r="E11" s="11" t="s">
        <v>14</v>
      </c>
      <c r="F11" s="13" t="s">
        <v>18</v>
      </c>
      <c r="G11" s="12" t="s">
        <v>16</v>
      </c>
      <c r="H11" s="12">
        <v>2.0</v>
      </c>
    </row>
    <row r="12">
      <c r="B12" s="10">
        <v>4.0</v>
      </c>
      <c r="C12" s="11" t="s">
        <v>12</v>
      </c>
      <c r="D12" s="12" t="s">
        <v>13</v>
      </c>
      <c r="E12" s="11" t="s">
        <v>14</v>
      </c>
      <c r="F12" s="13" t="s">
        <v>19</v>
      </c>
      <c r="G12" s="10" t="s">
        <v>16</v>
      </c>
      <c r="H12" s="12">
        <v>2.0</v>
      </c>
    </row>
    <row r="13">
      <c r="B13" s="10">
        <v>5.0</v>
      </c>
      <c r="C13" s="11" t="s">
        <v>12</v>
      </c>
      <c r="D13" s="12" t="s">
        <v>13</v>
      </c>
      <c r="E13" s="13" t="s">
        <v>20</v>
      </c>
      <c r="F13" s="13" t="s">
        <v>21</v>
      </c>
      <c r="G13" s="12" t="s">
        <v>16</v>
      </c>
      <c r="H13" s="12">
        <v>3.0</v>
      </c>
    </row>
    <row r="14">
      <c r="B14" s="10">
        <v>6.0</v>
      </c>
      <c r="C14" s="11" t="s">
        <v>12</v>
      </c>
      <c r="D14" s="12" t="s">
        <v>13</v>
      </c>
      <c r="E14" s="13" t="s">
        <v>20</v>
      </c>
      <c r="F14" s="13" t="s">
        <v>22</v>
      </c>
      <c r="G14" s="12" t="s">
        <v>16</v>
      </c>
      <c r="H14" s="12">
        <v>3.0</v>
      </c>
    </row>
    <row r="15">
      <c r="B15" s="10">
        <v>7.0</v>
      </c>
      <c r="C15" s="11" t="s">
        <v>12</v>
      </c>
      <c r="D15" s="12" t="s">
        <v>13</v>
      </c>
      <c r="E15" s="13" t="s">
        <v>20</v>
      </c>
      <c r="F15" s="13" t="s">
        <v>23</v>
      </c>
      <c r="G15" s="10" t="s">
        <v>16</v>
      </c>
      <c r="H15" s="12">
        <v>3.0</v>
      </c>
    </row>
    <row r="16">
      <c r="B16" s="10">
        <v>8.0</v>
      </c>
      <c r="C16" s="11" t="s">
        <v>12</v>
      </c>
      <c r="D16" s="12" t="s">
        <v>13</v>
      </c>
      <c r="E16" s="13" t="s">
        <v>20</v>
      </c>
      <c r="F16" s="13" t="s">
        <v>24</v>
      </c>
      <c r="G16" s="12" t="s">
        <v>16</v>
      </c>
      <c r="H16" s="12">
        <v>3.0</v>
      </c>
    </row>
    <row r="17">
      <c r="B17" s="10">
        <v>9.0</v>
      </c>
      <c r="C17" s="11" t="s">
        <v>12</v>
      </c>
      <c r="D17" s="12" t="s">
        <v>13</v>
      </c>
      <c r="E17" s="13" t="s">
        <v>20</v>
      </c>
      <c r="F17" s="13" t="s">
        <v>25</v>
      </c>
      <c r="G17" s="10" t="s">
        <v>16</v>
      </c>
      <c r="H17" s="12">
        <v>3.0</v>
      </c>
    </row>
    <row r="18">
      <c r="B18" s="10">
        <v>10.0</v>
      </c>
      <c r="C18" s="11" t="s">
        <v>12</v>
      </c>
      <c r="D18" s="12" t="s">
        <v>13</v>
      </c>
      <c r="E18" s="13" t="s">
        <v>26</v>
      </c>
      <c r="F18" s="13" t="s">
        <v>27</v>
      </c>
      <c r="G18" s="12" t="s">
        <v>28</v>
      </c>
      <c r="H18" s="12">
        <v>4.0</v>
      </c>
    </row>
    <row r="19">
      <c r="B19" s="10">
        <v>11.0</v>
      </c>
      <c r="C19" s="11" t="s">
        <v>12</v>
      </c>
      <c r="D19" s="12" t="s">
        <v>13</v>
      </c>
      <c r="E19" s="13" t="s">
        <v>26</v>
      </c>
      <c r="F19" s="13" t="s">
        <v>29</v>
      </c>
      <c r="G19" s="12" t="s">
        <v>28</v>
      </c>
      <c r="H19" s="12">
        <v>4.0</v>
      </c>
    </row>
    <row r="20">
      <c r="B20" s="10">
        <v>12.0</v>
      </c>
      <c r="C20" s="11" t="s">
        <v>12</v>
      </c>
      <c r="D20" s="12" t="s">
        <v>13</v>
      </c>
      <c r="E20" s="13" t="s">
        <v>26</v>
      </c>
      <c r="F20" s="13" t="s">
        <v>30</v>
      </c>
      <c r="G20" s="12" t="s">
        <v>28</v>
      </c>
      <c r="H20" s="12">
        <v>4.0</v>
      </c>
    </row>
    <row r="21">
      <c r="B21" s="10">
        <v>13.0</v>
      </c>
      <c r="C21" s="11" t="s">
        <v>12</v>
      </c>
      <c r="D21" s="12" t="s">
        <v>13</v>
      </c>
      <c r="E21" s="13" t="s">
        <v>26</v>
      </c>
      <c r="F21" s="13" t="s">
        <v>31</v>
      </c>
      <c r="G21" s="12" t="s">
        <v>28</v>
      </c>
      <c r="H21" s="12">
        <v>4.0</v>
      </c>
    </row>
    <row r="22">
      <c r="B22" s="10">
        <v>14.0</v>
      </c>
      <c r="C22" s="11" t="s">
        <v>12</v>
      </c>
      <c r="D22" s="12" t="s">
        <v>13</v>
      </c>
      <c r="E22" s="13" t="s">
        <v>26</v>
      </c>
      <c r="F22" s="13" t="s">
        <v>32</v>
      </c>
      <c r="G22" s="12" t="s">
        <v>28</v>
      </c>
      <c r="H22" s="12">
        <v>4.0</v>
      </c>
    </row>
    <row r="23">
      <c r="B23" s="10">
        <v>15.0</v>
      </c>
      <c r="C23" s="11" t="s">
        <v>33</v>
      </c>
      <c r="D23" s="10" t="s">
        <v>34</v>
      </c>
      <c r="E23" s="13" t="s">
        <v>35</v>
      </c>
      <c r="F23" s="13" t="s">
        <v>36</v>
      </c>
      <c r="G23" s="12" t="s">
        <v>28</v>
      </c>
      <c r="H23" s="12">
        <v>5.0</v>
      </c>
    </row>
    <row r="24">
      <c r="B24" s="10">
        <v>16.0</v>
      </c>
      <c r="C24" s="11" t="s">
        <v>33</v>
      </c>
      <c r="D24" s="10" t="s">
        <v>34</v>
      </c>
      <c r="E24" s="13" t="s">
        <v>35</v>
      </c>
      <c r="F24" s="13" t="s">
        <v>34</v>
      </c>
      <c r="G24" s="12" t="s">
        <v>28</v>
      </c>
      <c r="H24" s="12">
        <v>5.0</v>
      </c>
    </row>
    <row r="25">
      <c r="B25" s="10">
        <v>17.0</v>
      </c>
      <c r="C25" s="11" t="s">
        <v>33</v>
      </c>
      <c r="D25" s="10" t="s">
        <v>34</v>
      </c>
      <c r="E25" s="13" t="s">
        <v>35</v>
      </c>
      <c r="F25" s="13" t="s">
        <v>13</v>
      </c>
      <c r="G25" s="12" t="s">
        <v>28</v>
      </c>
      <c r="H25" s="12">
        <v>5.0</v>
      </c>
    </row>
    <row r="26">
      <c r="B26" s="10">
        <v>18.0</v>
      </c>
      <c r="C26" s="11" t="s">
        <v>33</v>
      </c>
      <c r="D26" s="10" t="s">
        <v>34</v>
      </c>
      <c r="E26" s="13" t="s">
        <v>35</v>
      </c>
      <c r="F26" s="13" t="s">
        <v>37</v>
      </c>
      <c r="G26" s="12" t="s">
        <v>28</v>
      </c>
      <c r="H26" s="12">
        <v>5.0</v>
      </c>
    </row>
    <row r="27">
      <c r="B27" s="10">
        <v>19.0</v>
      </c>
      <c r="C27" s="11" t="s">
        <v>33</v>
      </c>
      <c r="D27" s="10" t="s">
        <v>34</v>
      </c>
      <c r="E27" s="13" t="s">
        <v>35</v>
      </c>
      <c r="F27" s="13" t="s">
        <v>38</v>
      </c>
      <c r="G27" s="12" t="s">
        <v>28</v>
      </c>
      <c r="H27" s="12">
        <v>5.0</v>
      </c>
    </row>
    <row r="28">
      <c r="B28" s="10">
        <v>20.0</v>
      </c>
      <c r="C28" s="11" t="s">
        <v>33</v>
      </c>
      <c r="D28" s="10" t="s">
        <v>34</v>
      </c>
      <c r="E28" s="13" t="s">
        <v>35</v>
      </c>
      <c r="F28" s="13" t="s">
        <v>39</v>
      </c>
      <c r="G28" s="12" t="s">
        <v>28</v>
      </c>
      <c r="H28" s="12">
        <v>5.0</v>
      </c>
    </row>
    <row r="29">
      <c r="B29" s="10">
        <v>21.0</v>
      </c>
      <c r="C29" s="11" t="s">
        <v>12</v>
      </c>
      <c r="D29" s="10" t="s">
        <v>34</v>
      </c>
      <c r="E29" s="13" t="s">
        <v>40</v>
      </c>
      <c r="F29" s="13" t="s">
        <v>41</v>
      </c>
      <c r="G29" s="12" t="s">
        <v>28</v>
      </c>
      <c r="H29" s="12">
        <v>6.0</v>
      </c>
    </row>
    <row r="30">
      <c r="B30" s="10">
        <v>22.0</v>
      </c>
      <c r="C30" s="11" t="s">
        <v>12</v>
      </c>
      <c r="D30" s="10" t="s">
        <v>34</v>
      </c>
      <c r="E30" s="13" t="s">
        <v>40</v>
      </c>
      <c r="F30" s="13" t="s">
        <v>42</v>
      </c>
      <c r="G30" s="12" t="s">
        <v>28</v>
      </c>
      <c r="H30" s="12">
        <v>6.0</v>
      </c>
    </row>
    <row r="31">
      <c r="B31" s="10">
        <v>23.0</v>
      </c>
      <c r="C31" s="11" t="s">
        <v>12</v>
      </c>
      <c r="D31" s="10" t="s">
        <v>34</v>
      </c>
      <c r="E31" s="13" t="s">
        <v>40</v>
      </c>
      <c r="F31" s="13" t="s">
        <v>43</v>
      </c>
      <c r="G31" s="12" t="s">
        <v>28</v>
      </c>
      <c r="H31" s="12">
        <v>6.0</v>
      </c>
    </row>
    <row r="32">
      <c r="B32" s="10">
        <v>24.0</v>
      </c>
      <c r="C32" s="11" t="s">
        <v>12</v>
      </c>
      <c r="D32" s="10" t="s">
        <v>34</v>
      </c>
      <c r="E32" s="13" t="s">
        <v>40</v>
      </c>
      <c r="F32" s="13" t="s">
        <v>44</v>
      </c>
      <c r="G32" s="12" t="s">
        <v>28</v>
      </c>
      <c r="H32" s="12">
        <v>6.0</v>
      </c>
    </row>
    <row r="33">
      <c r="B33" s="10">
        <v>25.0</v>
      </c>
      <c r="C33" s="11" t="s">
        <v>12</v>
      </c>
      <c r="D33" s="10" t="s">
        <v>34</v>
      </c>
      <c r="E33" s="13" t="s">
        <v>40</v>
      </c>
      <c r="F33" s="13" t="s">
        <v>45</v>
      </c>
      <c r="G33" s="12" t="s">
        <v>28</v>
      </c>
      <c r="H33" s="12">
        <v>6.0</v>
      </c>
    </row>
    <row r="34">
      <c r="B34" s="10">
        <v>26.0</v>
      </c>
      <c r="C34" s="11" t="s">
        <v>12</v>
      </c>
      <c r="D34" s="10" t="s">
        <v>34</v>
      </c>
      <c r="E34" s="13" t="s">
        <v>40</v>
      </c>
      <c r="F34" s="13" t="s">
        <v>46</v>
      </c>
      <c r="G34" s="12" t="s">
        <v>28</v>
      </c>
      <c r="H34" s="12">
        <v>6.0</v>
      </c>
    </row>
    <row r="35">
      <c r="B35" s="10">
        <v>27.0</v>
      </c>
      <c r="C35" s="11" t="s">
        <v>12</v>
      </c>
      <c r="D35" s="10" t="s">
        <v>34</v>
      </c>
      <c r="E35" s="13" t="s">
        <v>40</v>
      </c>
      <c r="F35" s="13" t="s">
        <v>47</v>
      </c>
      <c r="G35" s="12" t="s">
        <v>28</v>
      </c>
      <c r="H35" s="12">
        <v>6.0</v>
      </c>
    </row>
    <row r="36">
      <c r="B36" s="10">
        <v>28.0</v>
      </c>
      <c r="C36" s="11" t="s">
        <v>48</v>
      </c>
      <c r="D36" s="10" t="s">
        <v>49</v>
      </c>
      <c r="E36" s="13" t="s">
        <v>50</v>
      </c>
      <c r="F36" s="13" t="s">
        <v>51</v>
      </c>
      <c r="G36" s="12" t="s">
        <v>28</v>
      </c>
      <c r="H36" s="12">
        <v>7.0</v>
      </c>
    </row>
    <row r="37">
      <c r="B37" s="10">
        <v>29.0</v>
      </c>
      <c r="C37" s="11" t="s">
        <v>48</v>
      </c>
      <c r="D37" s="10" t="s">
        <v>49</v>
      </c>
      <c r="E37" s="13" t="s">
        <v>50</v>
      </c>
      <c r="F37" s="13" t="s">
        <v>52</v>
      </c>
      <c r="G37" s="12" t="s">
        <v>28</v>
      </c>
      <c r="H37" s="12">
        <v>7.0</v>
      </c>
    </row>
    <row r="38">
      <c r="B38" s="10">
        <v>30.0</v>
      </c>
      <c r="C38" s="11" t="s">
        <v>48</v>
      </c>
      <c r="D38" s="10" t="s">
        <v>49</v>
      </c>
      <c r="E38" s="13" t="s">
        <v>50</v>
      </c>
      <c r="F38" s="13" t="s">
        <v>53</v>
      </c>
      <c r="G38" s="12" t="s">
        <v>28</v>
      </c>
      <c r="H38" s="12">
        <v>7.0</v>
      </c>
    </row>
    <row r="39">
      <c r="B39" s="10">
        <v>31.0</v>
      </c>
      <c r="C39" s="11" t="s">
        <v>48</v>
      </c>
      <c r="D39" s="10" t="s">
        <v>49</v>
      </c>
      <c r="E39" s="13" t="s">
        <v>50</v>
      </c>
      <c r="F39" s="13" t="s">
        <v>54</v>
      </c>
      <c r="G39" s="12" t="s">
        <v>28</v>
      </c>
      <c r="H39" s="12">
        <v>7.0</v>
      </c>
    </row>
    <row r="40">
      <c r="B40" s="10">
        <v>32.0</v>
      </c>
      <c r="C40" s="11" t="s">
        <v>48</v>
      </c>
      <c r="D40" s="10" t="s">
        <v>49</v>
      </c>
      <c r="E40" s="13" t="s">
        <v>50</v>
      </c>
      <c r="F40" s="13" t="s">
        <v>55</v>
      </c>
      <c r="G40" s="12" t="s">
        <v>28</v>
      </c>
      <c r="H40" s="12">
        <v>7.0</v>
      </c>
    </row>
    <row r="41">
      <c r="B41" s="10">
        <v>33.0</v>
      </c>
      <c r="C41" s="11" t="s">
        <v>48</v>
      </c>
      <c r="D41" s="10" t="s">
        <v>49</v>
      </c>
      <c r="E41" s="13" t="s">
        <v>56</v>
      </c>
      <c r="F41" s="13" t="s">
        <v>57</v>
      </c>
      <c r="G41" s="12" t="s">
        <v>28</v>
      </c>
      <c r="H41" s="12">
        <v>7.0</v>
      </c>
    </row>
    <row r="42">
      <c r="B42" s="10">
        <v>34.0</v>
      </c>
      <c r="C42" s="11" t="s">
        <v>48</v>
      </c>
      <c r="D42" s="10" t="s">
        <v>49</v>
      </c>
      <c r="E42" s="13" t="s">
        <v>56</v>
      </c>
      <c r="F42" s="13" t="s">
        <v>58</v>
      </c>
      <c r="G42" s="12" t="s">
        <v>28</v>
      </c>
      <c r="H42" s="12">
        <v>7.0</v>
      </c>
    </row>
    <row r="43">
      <c r="B43" s="10">
        <v>35.0</v>
      </c>
      <c r="C43" s="11" t="s">
        <v>48</v>
      </c>
      <c r="D43" s="10" t="s">
        <v>49</v>
      </c>
      <c r="E43" s="13" t="s">
        <v>56</v>
      </c>
      <c r="F43" s="13" t="s">
        <v>59</v>
      </c>
      <c r="G43" s="12" t="s">
        <v>28</v>
      </c>
      <c r="H43" s="12">
        <v>7.0</v>
      </c>
    </row>
    <row r="44">
      <c r="B44" s="10">
        <v>36.0</v>
      </c>
      <c r="C44" s="11" t="s">
        <v>48</v>
      </c>
      <c r="D44" s="10" t="s">
        <v>49</v>
      </c>
      <c r="E44" s="13" t="s">
        <v>56</v>
      </c>
      <c r="F44" s="13" t="s">
        <v>60</v>
      </c>
      <c r="G44" s="12" t="s">
        <v>28</v>
      </c>
      <c r="H44" s="12">
        <v>7.0</v>
      </c>
    </row>
    <row r="45">
      <c r="B45" s="10">
        <v>37.0</v>
      </c>
      <c r="C45" s="11" t="s">
        <v>48</v>
      </c>
      <c r="D45" s="10" t="s">
        <v>49</v>
      </c>
      <c r="E45" s="13" t="s">
        <v>56</v>
      </c>
      <c r="F45" s="13" t="s">
        <v>61</v>
      </c>
      <c r="G45" s="12" t="s">
        <v>28</v>
      </c>
      <c r="H45" s="12">
        <v>7.0</v>
      </c>
    </row>
    <row r="46">
      <c r="B46" s="10">
        <v>38.0</v>
      </c>
      <c r="C46" s="11" t="s">
        <v>48</v>
      </c>
      <c r="D46" s="10" t="s">
        <v>49</v>
      </c>
      <c r="E46" s="13" t="s">
        <v>56</v>
      </c>
      <c r="F46" s="13" t="s">
        <v>62</v>
      </c>
      <c r="G46" s="12" t="s">
        <v>28</v>
      </c>
      <c r="H46" s="12">
        <v>7.0</v>
      </c>
    </row>
    <row r="47">
      <c r="B47" s="10">
        <v>39.0</v>
      </c>
      <c r="C47" s="11" t="s">
        <v>48</v>
      </c>
      <c r="D47" s="10" t="s">
        <v>49</v>
      </c>
      <c r="E47" s="13" t="s">
        <v>56</v>
      </c>
      <c r="F47" s="13" t="s">
        <v>63</v>
      </c>
      <c r="G47" s="12" t="s">
        <v>28</v>
      </c>
      <c r="H47" s="12">
        <v>7.0</v>
      </c>
    </row>
    <row r="48">
      <c r="B48" s="10">
        <v>40.0</v>
      </c>
      <c r="C48" s="11" t="s">
        <v>48</v>
      </c>
      <c r="D48" s="10" t="s">
        <v>49</v>
      </c>
      <c r="E48" s="13" t="s">
        <v>56</v>
      </c>
      <c r="F48" s="13" t="s">
        <v>64</v>
      </c>
      <c r="G48" s="12" t="s">
        <v>28</v>
      </c>
      <c r="H48" s="12">
        <v>7.0</v>
      </c>
    </row>
    <row r="49">
      <c r="B49" s="10">
        <v>41.0</v>
      </c>
      <c r="C49" s="11" t="s">
        <v>48</v>
      </c>
      <c r="D49" s="10" t="s">
        <v>49</v>
      </c>
      <c r="E49" s="13" t="s">
        <v>65</v>
      </c>
      <c r="F49" s="13" t="s">
        <v>66</v>
      </c>
      <c r="G49" s="10" t="s">
        <v>67</v>
      </c>
      <c r="H49" s="12">
        <v>8.0</v>
      </c>
    </row>
    <row r="50">
      <c r="B50" s="10">
        <v>42.0</v>
      </c>
      <c r="C50" s="11" t="s">
        <v>48</v>
      </c>
      <c r="D50" s="10" t="s">
        <v>49</v>
      </c>
      <c r="E50" s="13" t="s">
        <v>65</v>
      </c>
      <c r="F50" s="13" t="s">
        <v>68</v>
      </c>
      <c r="G50" s="10" t="s">
        <v>67</v>
      </c>
      <c r="H50" s="12">
        <v>8.0</v>
      </c>
    </row>
    <row r="51">
      <c r="B51" s="10">
        <v>43.0</v>
      </c>
      <c r="C51" s="11" t="s">
        <v>48</v>
      </c>
      <c r="D51" s="10" t="s">
        <v>49</v>
      </c>
      <c r="E51" s="13" t="s">
        <v>65</v>
      </c>
      <c r="F51" s="13" t="s">
        <v>69</v>
      </c>
      <c r="G51" s="10" t="s">
        <v>67</v>
      </c>
      <c r="H51" s="12">
        <v>8.0</v>
      </c>
    </row>
    <row r="52">
      <c r="B52" s="10">
        <v>44.0</v>
      </c>
      <c r="C52" s="11" t="s">
        <v>48</v>
      </c>
      <c r="D52" s="10" t="s">
        <v>49</v>
      </c>
      <c r="E52" s="13" t="s">
        <v>65</v>
      </c>
      <c r="F52" s="13" t="s">
        <v>70</v>
      </c>
      <c r="G52" s="10" t="s">
        <v>67</v>
      </c>
      <c r="H52" s="12">
        <v>8.0</v>
      </c>
    </row>
    <row r="53">
      <c r="B53" s="10">
        <v>45.0</v>
      </c>
      <c r="C53" s="11" t="s">
        <v>48</v>
      </c>
      <c r="D53" s="10" t="s">
        <v>49</v>
      </c>
      <c r="E53" s="13" t="s">
        <v>65</v>
      </c>
      <c r="F53" s="13" t="s">
        <v>71</v>
      </c>
      <c r="G53" s="10" t="s">
        <v>67</v>
      </c>
      <c r="H53" s="12">
        <v>8.0</v>
      </c>
    </row>
    <row r="54">
      <c r="B54" s="10">
        <v>46.0</v>
      </c>
      <c r="C54" s="11" t="s">
        <v>48</v>
      </c>
      <c r="D54" s="10" t="s">
        <v>49</v>
      </c>
      <c r="E54" s="13" t="s">
        <v>65</v>
      </c>
      <c r="F54" s="13" t="s">
        <v>72</v>
      </c>
      <c r="G54" s="10" t="s">
        <v>67</v>
      </c>
      <c r="H54" s="12">
        <v>8.0</v>
      </c>
    </row>
    <row r="55">
      <c r="B55" s="10">
        <v>47.0</v>
      </c>
      <c r="C55" s="11" t="s">
        <v>48</v>
      </c>
      <c r="D55" s="10" t="s">
        <v>49</v>
      </c>
      <c r="E55" s="13" t="s">
        <v>73</v>
      </c>
      <c r="F55" s="13" t="s">
        <v>74</v>
      </c>
      <c r="G55" s="10" t="s">
        <v>67</v>
      </c>
      <c r="H55" s="12">
        <v>9.0</v>
      </c>
    </row>
    <row r="56">
      <c r="B56" s="10">
        <v>48.0</v>
      </c>
      <c r="C56" s="11" t="s">
        <v>48</v>
      </c>
      <c r="D56" s="10" t="s">
        <v>49</v>
      </c>
      <c r="E56" s="13" t="s">
        <v>73</v>
      </c>
      <c r="F56" s="13" t="s">
        <v>75</v>
      </c>
      <c r="G56" s="10" t="s">
        <v>67</v>
      </c>
      <c r="H56" s="12">
        <v>9.0</v>
      </c>
    </row>
    <row r="57">
      <c r="B57" s="10">
        <v>49.0</v>
      </c>
      <c r="C57" s="11" t="s">
        <v>48</v>
      </c>
      <c r="D57" s="10" t="s">
        <v>49</v>
      </c>
      <c r="E57" s="13" t="s">
        <v>73</v>
      </c>
      <c r="F57" s="13" t="s">
        <v>76</v>
      </c>
      <c r="G57" s="10" t="s">
        <v>67</v>
      </c>
      <c r="H57" s="12">
        <v>9.0</v>
      </c>
    </row>
    <row r="58">
      <c r="B58" s="10">
        <v>50.0</v>
      </c>
      <c r="C58" s="11" t="s">
        <v>48</v>
      </c>
      <c r="D58" s="10" t="s">
        <v>49</v>
      </c>
      <c r="E58" s="13" t="s">
        <v>77</v>
      </c>
      <c r="F58" s="13" t="s">
        <v>78</v>
      </c>
      <c r="G58" s="10" t="s">
        <v>79</v>
      </c>
      <c r="H58" s="12">
        <v>10.0</v>
      </c>
    </row>
    <row r="59">
      <c r="B59" s="10">
        <v>51.0</v>
      </c>
      <c r="C59" s="11" t="s">
        <v>48</v>
      </c>
      <c r="D59" s="10" t="s">
        <v>49</v>
      </c>
      <c r="E59" s="13" t="s">
        <v>77</v>
      </c>
      <c r="F59" s="13" t="s">
        <v>80</v>
      </c>
      <c r="G59" s="10" t="s">
        <v>79</v>
      </c>
      <c r="H59" s="12">
        <v>10.0</v>
      </c>
    </row>
    <row r="60">
      <c r="B60" s="10">
        <v>52.0</v>
      </c>
      <c r="C60" s="11" t="s">
        <v>48</v>
      </c>
      <c r="D60" s="10" t="s">
        <v>49</v>
      </c>
      <c r="E60" s="13" t="s">
        <v>77</v>
      </c>
      <c r="F60" s="13" t="s">
        <v>81</v>
      </c>
      <c r="G60" s="10" t="s">
        <v>79</v>
      </c>
      <c r="H60" s="12">
        <v>10.0</v>
      </c>
    </row>
    <row r="61">
      <c r="B61" s="10">
        <v>53.0</v>
      </c>
      <c r="C61" s="11" t="s">
        <v>48</v>
      </c>
      <c r="D61" s="10" t="s">
        <v>49</v>
      </c>
      <c r="E61" s="13" t="s">
        <v>77</v>
      </c>
      <c r="F61" s="13" t="s">
        <v>82</v>
      </c>
      <c r="G61" s="10" t="s">
        <v>79</v>
      </c>
      <c r="H61" s="12">
        <v>10.0</v>
      </c>
    </row>
    <row r="62">
      <c r="B62" s="10">
        <v>54.0</v>
      </c>
      <c r="C62" s="11" t="s">
        <v>83</v>
      </c>
      <c r="D62" s="10" t="s">
        <v>84</v>
      </c>
      <c r="E62" s="13" t="s">
        <v>85</v>
      </c>
      <c r="F62" s="13" t="s">
        <v>86</v>
      </c>
      <c r="G62" s="10" t="s">
        <v>79</v>
      </c>
      <c r="H62" s="12">
        <v>10.0</v>
      </c>
    </row>
    <row r="63">
      <c r="B63" s="10">
        <v>55.0</v>
      </c>
      <c r="C63" s="11" t="s">
        <v>83</v>
      </c>
      <c r="D63" s="10" t="s">
        <v>84</v>
      </c>
      <c r="E63" s="13" t="s">
        <v>85</v>
      </c>
      <c r="F63" s="13" t="s">
        <v>87</v>
      </c>
      <c r="G63" s="10" t="s">
        <v>79</v>
      </c>
      <c r="H63" s="12">
        <v>10.0</v>
      </c>
    </row>
    <row r="64">
      <c r="B64" s="10">
        <v>56.0</v>
      </c>
      <c r="C64" s="11" t="s">
        <v>83</v>
      </c>
      <c r="D64" s="10" t="s">
        <v>84</v>
      </c>
      <c r="E64" s="13" t="s">
        <v>85</v>
      </c>
      <c r="F64" s="13" t="s">
        <v>88</v>
      </c>
      <c r="G64" s="10" t="s">
        <v>79</v>
      </c>
      <c r="H64" s="12">
        <v>10.0</v>
      </c>
    </row>
    <row r="65">
      <c r="B65" s="10">
        <v>57.0</v>
      </c>
      <c r="C65" s="11" t="s">
        <v>83</v>
      </c>
      <c r="D65" s="10" t="s">
        <v>84</v>
      </c>
      <c r="E65" s="13" t="s">
        <v>85</v>
      </c>
      <c r="F65" s="13" t="s">
        <v>89</v>
      </c>
      <c r="G65" s="10" t="s">
        <v>79</v>
      </c>
      <c r="H65" s="12">
        <v>10.0</v>
      </c>
    </row>
    <row r="66">
      <c r="B66" s="10">
        <v>58.0</v>
      </c>
      <c r="C66" s="11" t="s">
        <v>83</v>
      </c>
      <c r="D66" s="10" t="s">
        <v>84</v>
      </c>
      <c r="E66" s="13" t="s">
        <v>85</v>
      </c>
      <c r="F66" s="13" t="s">
        <v>90</v>
      </c>
      <c r="G66" s="10" t="s">
        <v>79</v>
      </c>
      <c r="H66" s="12">
        <v>10.0</v>
      </c>
    </row>
    <row r="67">
      <c r="B67" s="10">
        <v>59.0</v>
      </c>
      <c r="C67" s="11" t="s">
        <v>83</v>
      </c>
      <c r="D67" s="10" t="s">
        <v>84</v>
      </c>
      <c r="E67" s="13" t="s">
        <v>85</v>
      </c>
      <c r="F67" s="13" t="s">
        <v>91</v>
      </c>
      <c r="G67" s="10" t="s">
        <v>79</v>
      </c>
      <c r="H67" s="12">
        <v>10.0</v>
      </c>
    </row>
    <row r="68">
      <c r="B68" s="10">
        <v>60.0</v>
      </c>
      <c r="C68" s="11" t="s">
        <v>92</v>
      </c>
      <c r="D68" s="10" t="s">
        <v>84</v>
      </c>
      <c r="E68" s="13" t="s">
        <v>93</v>
      </c>
      <c r="F68" s="13" t="s">
        <v>94</v>
      </c>
      <c r="G68" s="10" t="s">
        <v>79</v>
      </c>
      <c r="H68" s="12">
        <v>10.0</v>
      </c>
    </row>
    <row r="69">
      <c r="B69" s="10">
        <v>61.0</v>
      </c>
      <c r="C69" s="11" t="s">
        <v>92</v>
      </c>
      <c r="D69" s="10" t="s">
        <v>84</v>
      </c>
      <c r="E69" s="13" t="s">
        <v>93</v>
      </c>
      <c r="F69" s="13" t="s">
        <v>95</v>
      </c>
      <c r="G69" s="10" t="s">
        <v>79</v>
      </c>
      <c r="H69" s="12">
        <v>10.0</v>
      </c>
    </row>
    <row r="70">
      <c r="B70" s="10">
        <v>62.0</v>
      </c>
      <c r="C70" s="11" t="s">
        <v>92</v>
      </c>
      <c r="D70" s="10" t="s">
        <v>84</v>
      </c>
      <c r="E70" s="13" t="s">
        <v>93</v>
      </c>
      <c r="F70" s="13" t="s">
        <v>96</v>
      </c>
      <c r="G70" s="10" t="s">
        <v>79</v>
      </c>
      <c r="H70" s="12">
        <v>10.0</v>
      </c>
    </row>
    <row r="71">
      <c r="B71" s="10">
        <v>63.0</v>
      </c>
      <c r="C71" s="11" t="s">
        <v>92</v>
      </c>
      <c r="D71" s="10" t="s">
        <v>84</v>
      </c>
      <c r="E71" s="13" t="s">
        <v>93</v>
      </c>
      <c r="F71" s="13" t="s">
        <v>97</v>
      </c>
      <c r="G71" s="10" t="s">
        <v>79</v>
      </c>
      <c r="H71" s="12">
        <v>10.0</v>
      </c>
    </row>
    <row r="72">
      <c r="B72" s="10">
        <v>64.0</v>
      </c>
      <c r="C72" s="11" t="s">
        <v>92</v>
      </c>
      <c r="D72" s="10" t="s">
        <v>84</v>
      </c>
      <c r="E72" s="13" t="s">
        <v>93</v>
      </c>
      <c r="F72" s="13" t="s">
        <v>98</v>
      </c>
      <c r="G72" s="10" t="s">
        <v>79</v>
      </c>
      <c r="H72" s="12">
        <v>10.0</v>
      </c>
    </row>
    <row r="73">
      <c r="B73" s="10">
        <v>65.0</v>
      </c>
      <c r="C73" s="11" t="s">
        <v>92</v>
      </c>
      <c r="D73" s="10" t="s">
        <v>84</v>
      </c>
      <c r="E73" s="13" t="s">
        <v>93</v>
      </c>
      <c r="F73" s="13" t="s">
        <v>99</v>
      </c>
      <c r="G73" s="10" t="s">
        <v>79</v>
      </c>
      <c r="H73" s="12">
        <v>10.0</v>
      </c>
    </row>
    <row r="74">
      <c r="B74" s="10">
        <v>66.0</v>
      </c>
      <c r="C74" s="11" t="s">
        <v>92</v>
      </c>
      <c r="D74" s="10" t="s">
        <v>84</v>
      </c>
      <c r="E74" s="13" t="s">
        <v>100</v>
      </c>
      <c r="F74" s="13" t="s">
        <v>101</v>
      </c>
      <c r="G74" s="10" t="s">
        <v>79</v>
      </c>
      <c r="H74" s="12">
        <v>11.0</v>
      </c>
    </row>
    <row r="75">
      <c r="B75" s="10">
        <v>67.0</v>
      </c>
      <c r="C75" s="11" t="s">
        <v>92</v>
      </c>
      <c r="D75" s="10" t="s">
        <v>84</v>
      </c>
      <c r="E75" s="13" t="s">
        <v>100</v>
      </c>
      <c r="F75" s="13" t="s">
        <v>102</v>
      </c>
      <c r="G75" s="10" t="s">
        <v>79</v>
      </c>
      <c r="H75" s="12">
        <v>11.0</v>
      </c>
    </row>
    <row r="76">
      <c r="B76" s="10">
        <v>68.0</v>
      </c>
      <c r="C76" s="11" t="s">
        <v>92</v>
      </c>
      <c r="D76" s="10" t="s">
        <v>84</v>
      </c>
      <c r="E76" s="13" t="s">
        <v>100</v>
      </c>
      <c r="F76" s="13" t="s">
        <v>103</v>
      </c>
      <c r="G76" s="10" t="s">
        <v>79</v>
      </c>
      <c r="H76" s="12">
        <v>11.0</v>
      </c>
    </row>
    <row r="77">
      <c r="B77" s="10">
        <v>69.0</v>
      </c>
      <c r="C77" s="11" t="s">
        <v>92</v>
      </c>
      <c r="D77" s="10" t="s">
        <v>84</v>
      </c>
      <c r="E77" s="13" t="s">
        <v>100</v>
      </c>
      <c r="F77" s="13" t="s">
        <v>104</v>
      </c>
      <c r="G77" s="10" t="s">
        <v>79</v>
      </c>
      <c r="H77" s="12">
        <v>11.0</v>
      </c>
    </row>
    <row r="78">
      <c r="B78" s="10">
        <v>70.0</v>
      </c>
      <c r="C78" s="11" t="s">
        <v>92</v>
      </c>
      <c r="D78" s="10" t="s">
        <v>84</v>
      </c>
      <c r="E78" s="13" t="s">
        <v>100</v>
      </c>
      <c r="F78" s="13" t="s">
        <v>105</v>
      </c>
      <c r="G78" s="10" t="s">
        <v>79</v>
      </c>
      <c r="H78" s="12">
        <v>11.0</v>
      </c>
    </row>
    <row r="79">
      <c r="B79" s="10">
        <v>71.0</v>
      </c>
      <c r="C79" s="11" t="s">
        <v>92</v>
      </c>
      <c r="D79" s="10" t="s">
        <v>84</v>
      </c>
      <c r="E79" s="13" t="s">
        <v>100</v>
      </c>
      <c r="F79" s="13" t="s">
        <v>106</v>
      </c>
      <c r="G79" s="10" t="s">
        <v>79</v>
      </c>
      <c r="H79" s="12">
        <v>11.0</v>
      </c>
    </row>
    <row r="80">
      <c r="B80" s="10">
        <v>72.0</v>
      </c>
      <c r="C80" s="11" t="s">
        <v>92</v>
      </c>
      <c r="D80" s="10" t="s">
        <v>84</v>
      </c>
      <c r="E80" s="13" t="s">
        <v>100</v>
      </c>
      <c r="F80" s="13" t="s">
        <v>107</v>
      </c>
      <c r="G80" s="10" t="s">
        <v>79</v>
      </c>
      <c r="H80" s="12">
        <v>11.0</v>
      </c>
    </row>
    <row r="81">
      <c r="B81" s="10">
        <v>73.0</v>
      </c>
      <c r="C81" s="11" t="s">
        <v>92</v>
      </c>
      <c r="D81" s="10" t="s">
        <v>84</v>
      </c>
      <c r="E81" s="13" t="s">
        <v>100</v>
      </c>
      <c r="F81" s="13" t="s">
        <v>108</v>
      </c>
      <c r="G81" s="10" t="s">
        <v>79</v>
      </c>
      <c r="H81" s="12">
        <v>11.0</v>
      </c>
    </row>
    <row r="82">
      <c r="B82" s="10">
        <v>74.0</v>
      </c>
      <c r="C82" s="11" t="s">
        <v>83</v>
      </c>
      <c r="D82" s="10" t="s">
        <v>84</v>
      </c>
      <c r="E82" s="13" t="s">
        <v>109</v>
      </c>
      <c r="F82" s="13" t="s">
        <v>110</v>
      </c>
      <c r="G82" s="10" t="s">
        <v>79</v>
      </c>
      <c r="H82" s="12">
        <v>11.0</v>
      </c>
    </row>
    <row r="83">
      <c r="B83" s="10">
        <v>75.0</v>
      </c>
      <c r="C83" s="11" t="s">
        <v>83</v>
      </c>
      <c r="D83" s="10" t="s">
        <v>84</v>
      </c>
      <c r="E83" s="13" t="s">
        <v>109</v>
      </c>
      <c r="F83" s="13" t="s">
        <v>111</v>
      </c>
      <c r="G83" s="10" t="s">
        <v>79</v>
      </c>
      <c r="H83" s="12">
        <v>11.0</v>
      </c>
    </row>
    <row r="84">
      <c r="B84" s="10">
        <v>76.0</v>
      </c>
      <c r="C84" s="11" t="s">
        <v>83</v>
      </c>
      <c r="D84" s="10" t="s">
        <v>84</v>
      </c>
      <c r="E84" s="13" t="s">
        <v>109</v>
      </c>
      <c r="F84" s="13" t="s">
        <v>112</v>
      </c>
      <c r="G84" s="10" t="s">
        <v>79</v>
      </c>
      <c r="H84" s="12">
        <v>11.0</v>
      </c>
    </row>
    <row r="85">
      <c r="B85" s="10">
        <v>77.0</v>
      </c>
      <c r="C85" s="11" t="s">
        <v>83</v>
      </c>
      <c r="D85" s="10" t="s">
        <v>84</v>
      </c>
      <c r="E85" s="13" t="s">
        <v>109</v>
      </c>
      <c r="F85" s="13" t="s">
        <v>113</v>
      </c>
      <c r="G85" s="10" t="s">
        <v>79</v>
      </c>
      <c r="H85" s="12">
        <v>11.0</v>
      </c>
    </row>
    <row r="86">
      <c r="B86" s="10">
        <v>78.0</v>
      </c>
      <c r="C86" s="11" t="s">
        <v>83</v>
      </c>
      <c r="D86" s="10" t="s">
        <v>84</v>
      </c>
      <c r="E86" s="13" t="s">
        <v>109</v>
      </c>
      <c r="F86" s="13" t="s">
        <v>114</v>
      </c>
      <c r="G86" s="10" t="s">
        <v>79</v>
      </c>
      <c r="H86" s="12">
        <v>11.0</v>
      </c>
    </row>
    <row r="87">
      <c r="B87" s="10">
        <v>79.0</v>
      </c>
      <c r="C87" s="11" t="s">
        <v>83</v>
      </c>
      <c r="D87" s="10" t="s">
        <v>84</v>
      </c>
      <c r="E87" s="13" t="s">
        <v>109</v>
      </c>
      <c r="F87" s="13" t="s">
        <v>115</v>
      </c>
      <c r="G87" s="10" t="s">
        <v>79</v>
      </c>
      <c r="H87" s="12">
        <v>11.0</v>
      </c>
    </row>
    <row r="88">
      <c r="B88" s="10">
        <v>80.0</v>
      </c>
      <c r="C88" s="11" t="s">
        <v>83</v>
      </c>
      <c r="D88" s="10" t="s">
        <v>84</v>
      </c>
      <c r="E88" s="13" t="s">
        <v>109</v>
      </c>
      <c r="F88" s="13" t="s">
        <v>116</v>
      </c>
      <c r="G88" s="10" t="s">
        <v>79</v>
      </c>
      <c r="H88" s="12">
        <v>11.0</v>
      </c>
    </row>
    <row r="89">
      <c r="B89" s="10">
        <v>81.0</v>
      </c>
      <c r="C89" s="11" t="s">
        <v>83</v>
      </c>
      <c r="D89" s="10" t="s">
        <v>84</v>
      </c>
      <c r="E89" s="13" t="s">
        <v>109</v>
      </c>
      <c r="F89" s="13" t="s">
        <v>117</v>
      </c>
      <c r="G89" s="10" t="s">
        <v>79</v>
      </c>
      <c r="H89" s="12">
        <v>11.0</v>
      </c>
    </row>
    <row r="90" ht="15.75" customHeight="1">
      <c r="C90" s="14"/>
      <c r="H90" s="5"/>
    </row>
    <row r="91" ht="15.75" customHeight="1">
      <c r="C91" s="14"/>
      <c r="H91" s="5"/>
    </row>
    <row r="92" ht="15.75" customHeight="1">
      <c r="C92" s="14"/>
      <c r="H92" s="5"/>
    </row>
    <row r="93" ht="15.75" customHeight="1">
      <c r="C93" s="14"/>
      <c r="H93" s="5"/>
    </row>
    <row r="94" ht="15.75" customHeight="1">
      <c r="C94" s="14"/>
      <c r="H94" s="5"/>
    </row>
    <row r="95" ht="15.75" customHeight="1">
      <c r="C95" s="14"/>
      <c r="H95" s="5"/>
    </row>
    <row r="96" ht="15.75" customHeight="1">
      <c r="C96" s="14"/>
      <c r="H96" s="5"/>
    </row>
    <row r="97" ht="15.75" customHeight="1">
      <c r="C97" s="14"/>
      <c r="H97" s="5"/>
    </row>
    <row r="98" ht="15.75" customHeight="1">
      <c r="C98" s="14"/>
      <c r="H98" s="5"/>
    </row>
    <row r="99" ht="15.75" customHeight="1">
      <c r="C99" s="14"/>
      <c r="H99" s="5"/>
    </row>
    <row r="100" ht="15.75" customHeight="1">
      <c r="C100" s="14"/>
      <c r="H100" s="5"/>
    </row>
    <row r="101" ht="15.75" customHeight="1">
      <c r="C101" s="14"/>
      <c r="H101" s="5"/>
    </row>
    <row r="102" ht="15.75" customHeight="1">
      <c r="C102" s="14"/>
      <c r="H102" s="5"/>
    </row>
    <row r="103" ht="15.75" customHeight="1">
      <c r="C103" s="14"/>
    </row>
    <row r="104" ht="15.75" customHeight="1">
      <c r="C104" s="14"/>
    </row>
    <row r="105" ht="15.75" customHeight="1">
      <c r="C105" s="14"/>
    </row>
    <row r="106" ht="15.75" customHeight="1">
      <c r="C106" s="14"/>
    </row>
    <row r="107" ht="15.75" customHeight="1">
      <c r="C107" s="14"/>
    </row>
    <row r="108" ht="15.75" customHeight="1">
      <c r="C108" s="14"/>
    </row>
    <row r="109" ht="15.75" customHeight="1">
      <c r="C109" s="14"/>
    </row>
    <row r="110" ht="15.75" customHeight="1">
      <c r="C110" s="14"/>
    </row>
    <row r="111" ht="15.75" customHeight="1">
      <c r="C111" s="14"/>
    </row>
    <row r="112" ht="15.75" customHeight="1">
      <c r="C112" s="14"/>
    </row>
    <row r="113" ht="15.75" customHeight="1">
      <c r="C113" s="14"/>
    </row>
    <row r="114" ht="15.75" customHeight="1">
      <c r="C114" s="14"/>
    </row>
    <row r="115" ht="15.75" customHeight="1">
      <c r="C115" s="14"/>
    </row>
    <row r="116" ht="15.75" customHeight="1">
      <c r="C116" s="14"/>
    </row>
    <row r="117" ht="15.75" customHeight="1">
      <c r="C117" s="14"/>
    </row>
    <row r="118" ht="15.75" customHeight="1">
      <c r="C118" s="14"/>
    </row>
    <row r="119" ht="15.75" customHeight="1">
      <c r="C119" s="14"/>
    </row>
    <row r="120" ht="15.75" customHeight="1">
      <c r="C120" s="14"/>
    </row>
    <row r="121" ht="15.75" customHeight="1">
      <c r="C121" s="14"/>
    </row>
    <row r="122" ht="15.75" customHeight="1">
      <c r="C122" s="14"/>
    </row>
    <row r="123" ht="15.75" customHeight="1">
      <c r="C123" s="14"/>
    </row>
    <row r="124" ht="15.75" customHeight="1">
      <c r="C124" s="14"/>
    </row>
    <row r="125" ht="15.75" customHeight="1">
      <c r="C125" s="14"/>
    </row>
    <row r="126" ht="15.75" customHeight="1">
      <c r="C126" s="14"/>
    </row>
    <row r="127" ht="15.75" customHeight="1">
      <c r="C127" s="14"/>
    </row>
    <row r="128" ht="15.75" customHeight="1">
      <c r="C128" s="14"/>
    </row>
    <row r="129" ht="15.75" customHeight="1">
      <c r="C129" s="14"/>
    </row>
    <row r="130" ht="15.75" customHeight="1">
      <c r="C130" s="14"/>
    </row>
    <row r="131" ht="15.75" customHeight="1">
      <c r="C131" s="14"/>
    </row>
    <row r="132" ht="15.75" customHeight="1">
      <c r="C132" s="14"/>
    </row>
    <row r="133" ht="15.75" customHeight="1">
      <c r="C133" s="14"/>
    </row>
    <row r="134" ht="15.75" customHeight="1">
      <c r="C134" s="14"/>
    </row>
    <row r="135" ht="15.75" customHeight="1">
      <c r="C135" s="14"/>
    </row>
    <row r="136" ht="15.75" customHeight="1">
      <c r="C136" s="14"/>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7" max="7" width="14.88"/>
    <col customWidth="1" min="8" max="8" width="43.5"/>
  </cols>
  <sheetData>
    <row r="1" ht="15.75" customHeight="1"/>
    <row r="2" ht="15.75" customHeight="1">
      <c r="B2" s="2" t="s">
        <v>0</v>
      </c>
    </row>
    <row r="3" ht="15.75" customHeight="1"/>
    <row r="4" ht="15.75" customHeight="1">
      <c r="B4" s="15" t="s">
        <v>1</v>
      </c>
      <c r="C4" s="16" t="str">
        <f>'Diseño'!C4</f>
        <v>796 - Lenguajes Formales y de Programación</v>
      </c>
      <c r="D4" s="17"/>
      <c r="E4" s="17"/>
      <c r="F4" s="17"/>
      <c r="G4" s="18"/>
    </row>
    <row r="5" ht="15.75" customHeight="1">
      <c r="B5" s="19" t="s">
        <v>11</v>
      </c>
      <c r="C5" s="16">
        <v>1.0</v>
      </c>
      <c r="D5" s="17"/>
      <c r="E5" s="17"/>
      <c r="F5" s="17"/>
      <c r="G5" s="18"/>
    </row>
    <row r="6" ht="15.75" customHeight="1">
      <c r="B6" s="19" t="s">
        <v>118</v>
      </c>
      <c r="C6" s="20">
        <v>100.0</v>
      </c>
      <c r="D6" s="17"/>
      <c r="E6" s="17"/>
      <c r="F6" s="17"/>
      <c r="G6" s="18"/>
    </row>
    <row r="7" ht="15.75" customHeight="1"/>
    <row r="8" ht="15.75" customHeight="1"/>
    <row r="9" ht="15.75" customHeight="1">
      <c r="A9" s="21" t="s">
        <v>119</v>
      </c>
      <c r="G9" s="22" t="s">
        <v>120</v>
      </c>
      <c r="H9" s="23">
        <v>10.0</v>
      </c>
    </row>
    <row r="10" ht="15.75" customHeight="1">
      <c r="G10" s="24" t="s">
        <v>121</v>
      </c>
    </row>
    <row r="11" ht="30.75" customHeight="1">
      <c r="A11" s="25" t="s">
        <v>122</v>
      </c>
      <c r="B11" s="26" t="s">
        <v>123</v>
      </c>
      <c r="C11" s="17"/>
      <c r="D11" s="17"/>
      <c r="E11" s="17"/>
      <c r="F11" s="17"/>
      <c r="G11" s="17"/>
      <c r="H11" s="18"/>
    </row>
    <row r="12" ht="33.0" customHeight="1">
      <c r="A12" s="27" t="s">
        <v>124</v>
      </c>
      <c r="B12" s="26" t="s">
        <v>125</v>
      </c>
      <c r="C12" s="17"/>
      <c r="D12" s="17"/>
      <c r="E12" s="17"/>
      <c r="F12" s="17"/>
      <c r="G12" s="17"/>
      <c r="H12" s="18"/>
      <c r="K12" s="28" t="s">
        <v>126</v>
      </c>
    </row>
    <row r="13" ht="48.0" customHeight="1">
      <c r="A13" s="29" t="s">
        <v>127</v>
      </c>
      <c r="B13" s="20" t="s">
        <v>128</v>
      </c>
      <c r="C13" s="17"/>
      <c r="D13" s="17"/>
      <c r="E13" s="17"/>
      <c r="F13" s="17"/>
      <c r="G13" s="17"/>
      <c r="H13" s="18"/>
    </row>
    <row r="14" ht="32.25" customHeight="1">
      <c r="A14" s="29" t="s">
        <v>129</v>
      </c>
      <c r="B14" s="20" t="s">
        <v>130</v>
      </c>
      <c r="C14" s="17"/>
      <c r="D14" s="17"/>
      <c r="E14" s="17"/>
      <c r="F14" s="17"/>
      <c r="G14" s="17"/>
      <c r="H14" s="18"/>
    </row>
    <row r="15" ht="30.0" customHeight="1">
      <c r="A15" s="30" t="s">
        <v>131</v>
      </c>
      <c r="B15" s="20">
        <v>10.0</v>
      </c>
      <c r="C15" s="17"/>
      <c r="D15" s="17"/>
      <c r="E15" s="17"/>
      <c r="F15" s="17"/>
      <c r="G15" s="17"/>
      <c r="H15" s="18"/>
    </row>
    <row r="16" ht="15.75" customHeight="1"/>
    <row r="17" ht="15.75" customHeight="1"/>
    <row r="18" ht="15.75" customHeight="1">
      <c r="A18" s="31" t="s">
        <v>132</v>
      </c>
      <c r="G18" s="22" t="s">
        <v>120</v>
      </c>
      <c r="H18" s="23">
        <v>30.0</v>
      </c>
    </row>
    <row r="19" ht="15.75" customHeight="1">
      <c r="G19" s="24" t="s">
        <v>133</v>
      </c>
    </row>
    <row r="20" ht="421.5" customHeight="1">
      <c r="A20" s="32" t="s">
        <v>134</v>
      </c>
      <c r="B20" s="26" t="s">
        <v>135</v>
      </c>
      <c r="C20" s="17"/>
      <c r="D20" s="17"/>
      <c r="E20" s="17"/>
      <c r="F20" s="17"/>
      <c r="G20" s="17"/>
      <c r="H20" s="18"/>
      <c r="K20" s="33" t="s">
        <v>136</v>
      </c>
    </row>
    <row r="21" ht="15.75" customHeight="1">
      <c r="A21" s="25" t="s">
        <v>137</v>
      </c>
      <c r="B21" s="26" t="s">
        <v>138</v>
      </c>
      <c r="C21" s="17"/>
      <c r="D21" s="17"/>
      <c r="E21" s="17"/>
      <c r="F21" s="17"/>
      <c r="G21" s="17"/>
      <c r="H21" s="18"/>
    </row>
    <row r="22" ht="15.75" customHeight="1">
      <c r="A22" s="30" t="s">
        <v>131</v>
      </c>
      <c r="B22" s="20">
        <v>30.0</v>
      </c>
      <c r="C22" s="17"/>
      <c r="D22" s="17"/>
      <c r="E22" s="17"/>
      <c r="F22" s="17"/>
      <c r="G22" s="17"/>
      <c r="H22" s="18"/>
    </row>
    <row r="23" ht="15.75" customHeight="1"/>
    <row r="24" ht="15.75" customHeight="1"/>
    <row r="25" ht="15.75" customHeight="1">
      <c r="A25" s="31" t="s">
        <v>139</v>
      </c>
      <c r="G25" s="34" t="s">
        <v>120</v>
      </c>
      <c r="H25" s="23">
        <v>15.0</v>
      </c>
    </row>
    <row r="26" ht="15.75" customHeight="1">
      <c r="G26" s="24" t="s">
        <v>140</v>
      </c>
      <c r="H26" s="24"/>
      <c r="I26" s="24"/>
      <c r="J26" s="24"/>
    </row>
    <row r="27" ht="39.75" customHeight="1">
      <c r="A27" s="25" t="s">
        <v>141</v>
      </c>
      <c r="B27" s="26" t="s">
        <v>142</v>
      </c>
      <c r="C27" s="17"/>
      <c r="D27" s="17"/>
      <c r="E27" s="17"/>
      <c r="F27" s="17"/>
      <c r="G27" s="17"/>
      <c r="H27" s="18"/>
      <c r="K27" s="35" t="s">
        <v>143</v>
      </c>
    </row>
    <row r="28" ht="113.25" customHeight="1">
      <c r="A28" s="32" t="s">
        <v>144</v>
      </c>
      <c r="B28" s="36" t="s">
        <v>145</v>
      </c>
      <c r="C28" s="17"/>
      <c r="D28" s="17"/>
      <c r="E28" s="17"/>
      <c r="F28" s="17"/>
      <c r="G28" s="17"/>
      <c r="H28" s="18"/>
    </row>
    <row r="29" ht="15.75" customHeight="1">
      <c r="A29" s="30" t="s">
        <v>131</v>
      </c>
      <c r="B29" s="20">
        <v>15.0</v>
      </c>
      <c r="C29" s="17"/>
      <c r="D29" s="17"/>
      <c r="E29" s="17"/>
      <c r="F29" s="17"/>
      <c r="G29" s="17"/>
      <c r="H29" s="18"/>
    </row>
    <row r="30" ht="15.75" customHeight="1"/>
    <row r="31" ht="15.75" customHeight="1"/>
    <row r="32" ht="15.75" customHeight="1">
      <c r="A32" s="31" t="s">
        <v>146</v>
      </c>
      <c r="G32" s="34" t="s">
        <v>120</v>
      </c>
      <c r="H32" s="37">
        <f>B36</f>
        <v>5</v>
      </c>
    </row>
    <row r="33" ht="15.75" customHeight="1">
      <c r="A33" s="6" t="s">
        <v>147</v>
      </c>
      <c r="G33" s="6" t="s">
        <v>148</v>
      </c>
      <c r="H33" s="38"/>
      <c r="I33" s="38"/>
    </row>
    <row r="34" ht="36.75" customHeight="1">
      <c r="A34" s="25" t="s">
        <v>149</v>
      </c>
      <c r="B34" s="39" t="s">
        <v>150</v>
      </c>
      <c r="C34" s="17"/>
      <c r="D34" s="17"/>
      <c r="E34" s="17"/>
      <c r="F34" s="17"/>
      <c r="G34" s="17"/>
      <c r="H34" s="18"/>
      <c r="K34" s="40" t="s">
        <v>151</v>
      </c>
    </row>
    <row r="35" ht="41.25" customHeight="1">
      <c r="A35" s="25" t="s">
        <v>152</v>
      </c>
      <c r="B35" s="41" t="s">
        <v>153</v>
      </c>
      <c r="C35" s="17"/>
      <c r="D35" s="17"/>
      <c r="E35" s="17"/>
      <c r="F35" s="17"/>
      <c r="G35" s="17"/>
      <c r="H35" s="18"/>
    </row>
    <row r="36" ht="15.75" customHeight="1">
      <c r="A36" s="30" t="s">
        <v>131</v>
      </c>
      <c r="B36" s="20">
        <v>5.0</v>
      </c>
      <c r="C36" s="17"/>
      <c r="D36" s="17"/>
      <c r="E36" s="17"/>
      <c r="F36" s="17"/>
      <c r="G36" s="17"/>
      <c r="H36" s="18"/>
    </row>
    <row r="37" ht="15.75" customHeight="1"/>
    <row r="38" ht="15.75" customHeight="1"/>
    <row r="39" ht="15.75" customHeight="1">
      <c r="A39" s="31" t="s">
        <v>154</v>
      </c>
      <c r="G39" s="34" t="s">
        <v>120</v>
      </c>
      <c r="H39" s="23"/>
    </row>
    <row r="40" ht="15.75" customHeight="1">
      <c r="G40" s="24" t="s">
        <v>155</v>
      </c>
    </row>
    <row r="41" ht="15.75" customHeight="1">
      <c r="A41" s="30" t="s">
        <v>131</v>
      </c>
      <c r="B41" s="20">
        <v>25.0</v>
      </c>
      <c r="C41" s="17"/>
      <c r="D41" s="17"/>
      <c r="E41" s="17"/>
      <c r="F41" s="17"/>
      <c r="G41" s="17"/>
      <c r="H41" s="18"/>
    </row>
    <row r="42" ht="15.75" customHeight="1"/>
    <row r="43" ht="15.75" customHeight="1"/>
    <row r="44" ht="15.75" customHeight="1">
      <c r="A44" s="31" t="s">
        <v>156</v>
      </c>
      <c r="G44" s="34" t="s">
        <v>120</v>
      </c>
      <c r="H44" s="23"/>
    </row>
    <row r="45" ht="15.75" customHeight="1">
      <c r="G45" s="24" t="s">
        <v>121</v>
      </c>
    </row>
    <row r="46">
      <c r="A46" s="32" t="s">
        <v>157</v>
      </c>
      <c r="B46" s="36" t="s">
        <v>158</v>
      </c>
      <c r="C46" s="17"/>
      <c r="D46" s="17"/>
      <c r="E46" s="17"/>
      <c r="F46" s="17"/>
      <c r="G46" s="17"/>
      <c r="H46" s="18"/>
    </row>
    <row r="47" ht="15.75" customHeight="1">
      <c r="A47" s="30" t="s">
        <v>131</v>
      </c>
      <c r="B47" s="20">
        <v>15.0</v>
      </c>
      <c r="C47" s="17"/>
      <c r="D47" s="17"/>
      <c r="E47" s="17"/>
      <c r="F47" s="17"/>
      <c r="G47" s="17"/>
      <c r="H47" s="18"/>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2.75"/>
    <col customWidth="1" min="8" max="8" width="30.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2.0</v>
      </c>
      <c r="D5" s="17"/>
      <c r="E5" s="17"/>
      <c r="F5" s="17"/>
      <c r="G5" s="18"/>
    </row>
    <row r="6" ht="15.75" customHeight="1">
      <c r="B6" s="43" t="s">
        <v>118</v>
      </c>
      <c r="C6" s="20">
        <f>H10+H21+H44+H68</f>
        <v>105</v>
      </c>
      <c r="D6" s="17"/>
      <c r="E6" s="17"/>
      <c r="F6" s="17"/>
      <c r="G6" s="18"/>
      <c r="I6" s="5"/>
    </row>
    <row r="7" ht="15.75" customHeight="1">
      <c r="B7" s="43" t="s">
        <v>160</v>
      </c>
      <c r="C7" s="16">
        <f>B49+B60</f>
        <v>0</v>
      </c>
      <c r="D7" s="17"/>
      <c r="E7" s="17"/>
      <c r="F7" s="17"/>
      <c r="G7" s="18"/>
    </row>
    <row r="8" ht="27.0"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165</v>
      </c>
      <c r="C12" s="17"/>
      <c r="D12" s="17"/>
      <c r="E12" s="17"/>
      <c r="F12" s="17"/>
      <c r="G12" s="17"/>
      <c r="H12" s="18"/>
    </row>
    <row r="13" ht="15.75" customHeight="1">
      <c r="A13" s="30" t="s">
        <v>120</v>
      </c>
      <c r="B13" s="20">
        <v>5.0</v>
      </c>
      <c r="C13" s="17"/>
      <c r="D13" s="17"/>
      <c r="E13" s="17"/>
      <c r="F13" s="17"/>
      <c r="G13" s="17"/>
      <c r="H13" s="18"/>
    </row>
    <row r="14" ht="15.75" customHeight="1">
      <c r="A14" s="46" t="s">
        <v>166</v>
      </c>
      <c r="B14" s="17"/>
      <c r="C14" s="17"/>
      <c r="D14" s="17"/>
      <c r="E14" s="17"/>
      <c r="F14" s="17"/>
      <c r="G14" s="17"/>
      <c r="H14" s="18"/>
    </row>
    <row r="15" ht="15.75" customHeight="1">
      <c r="A15" s="47" t="s">
        <v>167</v>
      </c>
      <c r="B15" s="48"/>
      <c r="C15" s="48"/>
      <c r="D15" s="48"/>
      <c r="E15" s="48"/>
      <c r="F15" s="48"/>
      <c r="G15" s="48"/>
      <c r="H15" s="49"/>
    </row>
    <row r="16" ht="32.25" customHeight="1">
      <c r="A16" s="50"/>
      <c r="B16" s="51"/>
      <c r="C16" s="51"/>
      <c r="D16" s="51"/>
      <c r="E16" s="51"/>
      <c r="F16" s="51"/>
      <c r="G16" s="51"/>
      <c r="H16" s="52"/>
    </row>
    <row r="17" ht="15.75" customHeight="1">
      <c r="A17" s="46" t="s">
        <v>168</v>
      </c>
      <c r="B17" s="17"/>
      <c r="C17" s="17"/>
      <c r="D17" s="17"/>
      <c r="E17" s="17"/>
      <c r="F17" s="17"/>
      <c r="G17" s="17"/>
      <c r="H17" s="18"/>
    </row>
    <row r="18" ht="15.75" customHeight="1">
      <c r="A18" s="47" t="s">
        <v>169</v>
      </c>
      <c r="B18" s="48"/>
      <c r="C18" s="48"/>
      <c r="D18" s="48"/>
      <c r="E18" s="48"/>
      <c r="F18" s="48"/>
      <c r="G18" s="48"/>
      <c r="H18" s="49"/>
    </row>
    <row r="19" ht="69.0"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34.5" customHeight="1">
      <c r="A23" s="29" t="s">
        <v>172</v>
      </c>
      <c r="B23" s="53" t="s">
        <v>12</v>
      </c>
      <c r="C23" s="17"/>
      <c r="D23" s="17"/>
      <c r="E23" s="17"/>
      <c r="F23" s="17"/>
      <c r="G23" s="17"/>
      <c r="H23" s="18"/>
    </row>
    <row r="24" ht="36.0" customHeight="1">
      <c r="A24" s="29" t="s">
        <v>172</v>
      </c>
      <c r="B24" s="53" t="s">
        <v>173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57">
        <v>1.0</v>
      </c>
      <c r="B28" s="58" t="str">
        <f>IFERROR(__xludf.DUMMYFUNCTION("FILTER('Diseño'!D:D,'Diseño'!H:H=$C$5)"),"#REF!")</f>
        <v>#REF!</v>
      </c>
      <c r="C28" s="18"/>
      <c r="D28" s="58" t="str">
        <f>IFERROR(__xludf.DUMMYFUNCTION("FILTER('Diseño'!E:E,'Diseño'!H:H=$C$5)"),"Introduccion al lenguaje de Programacion")</f>
        <v>Introduccion al lenguaje de Programacion</v>
      </c>
      <c r="E28" s="18"/>
      <c r="F28" s="58" t="str">
        <f>IFERROR(__xludf.DUMMYFUNCTION("FILTER('Diseño'!F:F,'Diseño'!H:H=$C$5)"),"Historia de la Programacion")</f>
        <v>Historia de la Programacion</v>
      </c>
      <c r="G28" s="17"/>
      <c r="H28" s="18"/>
    </row>
    <row r="29" ht="15.75" customHeight="1">
      <c r="A29" s="57">
        <v>2.0</v>
      </c>
      <c r="B29" s="58"/>
      <c r="C29" s="18"/>
      <c r="D29" s="58" t="str">
        <f>IFERROR(__xludf.DUMMYFUNCTION("""COMPUTED_VALUE"""),"Introduccion al lenguaje de Programacion")</f>
        <v>Introduccion al lenguaje de Programacion</v>
      </c>
      <c r="E29" s="18"/>
      <c r="F29" s="58" t="str">
        <f>IFERROR(__xludf.DUMMYFUNCTION("""COMPUTED_VALUE"""),"Aspectos Basicos de la Programacion")</f>
        <v>Aspectos Basicos de la Programacion</v>
      </c>
      <c r="G29" s="17"/>
      <c r="H29" s="18"/>
    </row>
    <row r="30" ht="15.75" customHeight="1">
      <c r="A30" s="57">
        <v>3.0</v>
      </c>
      <c r="B30" s="59">
        <v>35.0</v>
      </c>
      <c r="C30" s="18"/>
      <c r="D30" s="58" t="str">
        <f>IFERROR(__xludf.DUMMYFUNCTION("""COMPUTED_VALUE"""),"Introduccion al lenguaje de Programacion")</f>
        <v>Introduccion al lenguaje de Programacion</v>
      </c>
      <c r="E30" s="18"/>
      <c r="F30" s="58" t="str">
        <f>IFERROR(__xludf.DUMMYFUNCTION("""COMPUTED_VALUE"""),"Reglas de Sintaxis")</f>
        <v>Reglas de Sintaxis</v>
      </c>
      <c r="G30" s="17"/>
      <c r="H30" s="18"/>
    </row>
    <row r="31" ht="15.75" customHeight="1">
      <c r="A31" s="57">
        <v>4.0</v>
      </c>
      <c r="B31" s="58"/>
      <c r="C31" s="18"/>
      <c r="D31" s="58" t="str">
        <f>IFERROR(__xludf.DUMMYFUNCTION("""COMPUTED_VALUE"""),"Introduccion al lenguaje de Programacion")</f>
        <v>Introduccion al lenguaje de Programacion</v>
      </c>
      <c r="E31" s="18"/>
      <c r="F31" s="58" t="str">
        <f>IFERROR(__xludf.DUMMYFUNCTION("""COMPUTED_VALUE"""),"Estructura de un programa")</f>
        <v>Estructura de un programa</v>
      </c>
      <c r="G31" s="17"/>
      <c r="H31" s="18"/>
    </row>
    <row r="32" ht="15.75" customHeight="1">
      <c r="A32" s="19">
        <v>5.0</v>
      </c>
      <c r="B32" s="16"/>
      <c r="C32" s="18"/>
      <c r="D32" s="16"/>
      <c r="E32" s="18"/>
      <c r="F32" s="16"/>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60" t="s">
        <v>181</v>
      </c>
      <c r="D38" s="61" t="s">
        <v>120</v>
      </c>
      <c r="E38" s="17"/>
      <c r="F38" s="17"/>
      <c r="G38" s="17"/>
      <c r="H38" s="18"/>
    </row>
    <row r="39" ht="15.75" customHeight="1">
      <c r="A39" s="19" t="s">
        <v>182</v>
      </c>
      <c r="B39" s="19" t="s">
        <v>183</v>
      </c>
      <c r="C39" s="62"/>
      <c r="D39" s="20">
        <v>25.0</v>
      </c>
      <c r="E39" s="17"/>
      <c r="F39" s="17"/>
      <c r="G39" s="17"/>
      <c r="H39" s="18"/>
    </row>
    <row r="40" ht="15.75" customHeight="1">
      <c r="A40" s="19" t="s">
        <v>184</v>
      </c>
      <c r="B40" s="19" t="s">
        <v>183</v>
      </c>
      <c r="C40" s="19" t="s">
        <v>185</v>
      </c>
      <c r="D40" s="20">
        <v>10.0</v>
      </c>
      <c r="E40" s="17"/>
      <c r="F40" s="17"/>
      <c r="G40" s="17"/>
      <c r="H40" s="18"/>
    </row>
    <row r="41" ht="15.75" customHeight="1">
      <c r="A41" s="19" t="s">
        <v>186</v>
      </c>
      <c r="B41" s="19" t="s">
        <v>187</v>
      </c>
      <c r="C41" s="19"/>
      <c r="D41" s="20">
        <v>15.0</v>
      </c>
      <c r="E41" s="17"/>
      <c r="F41" s="17"/>
      <c r="G41" s="17"/>
      <c r="H41" s="18"/>
    </row>
    <row r="42" ht="15.75" customHeight="1">
      <c r="A42" s="19" t="s">
        <v>188</v>
      </c>
      <c r="B42" s="19" t="s">
        <v>183</v>
      </c>
      <c r="C42" s="62"/>
      <c r="D42" s="20">
        <v>10.0</v>
      </c>
      <c r="E42" s="17"/>
      <c r="F42" s="17"/>
      <c r="G42" s="17"/>
      <c r="H42" s="18"/>
    </row>
    <row r="43" ht="15.75" customHeight="1"/>
    <row r="44" ht="15.75" customHeight="1">
      <c r="A44" s="44" t="s">
        <v>189</v>
      </c>
      <c r="G44" s="34" t="s">
        <v>120</v>
      </c>
      <c r="H44" s="45">
        <v>35.0</v>
      </c>
    </row>
    <row r="45" ht="15.75" customHeight="1">
      <c r="G45" s="24" t="s">
        <v>190</v>
      </c>
    </row>
    <row r="46" ht="15.75" customHeight="1">
      <c r="A46" s="24" t="s">
        <v>191</v>
      </c>
    </row>
    <row r="47" ht="39.0" customHeight="1">
      <c r="A47" s="29" t="s">
        <v>192</v>
      </c>
      <c r="B47" s="53" t="s">
        <v>12</v>
      </c>
      <c r="C47" s="17"/>
      <c r="D47" s="17"/>
      <c r="E47" s="17"/>
      <c r="F47" s="17"/>
      <c r="G47" s="17"/>
      <c r="H47" s="18"/>
    </row>
    <row r="48" ht="15.75" customHeight="1">
      <c r="A48" s="29" t="s">
        <v>193</v>
      </c>
      <c r="B48" s="20" t="s">
        <v>194</v>
      </c>
      <c r="C48" s="17"/>
      <c r="D48" s="17"/>
      <c r="E48" s="17"/>
      <c r="F48" s="17"/>
      <c r="G48" s="17"/>
      <c r="H48" s="18"/>
    </row>
    <row r="49" ht="15.75" customHeight="1">
      <c r="A49" s="29" t="s">
        <v>160</v>
      </c>
      <c r="B49" s="63">
        <v>0.0</v>
      </c>
      <c r="C49" s="17"/>
      <c r="D49" s="17"/>
      <c r="E49" s="17"/>
      <c r="F49" s="17"/>
      <c r="G49" s="17"/>
      <c r="H49" s="18"/>
    </row>
    <row r="50" ht="15.75" customHeight="1">
      <c r="A50" s="29" t="s">
        <v>120</v>
      </c>
      <c r="B50" s="20">
        <v>35.0</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64" t="s">
        <v>197</v>
      </c>
      <c r="B53" s="48"/>
      <c r="C53" s="48"/>
      <c r="D53" s="48"/>
      <c r="E53" s="48"/>
      <c r="F53" s="48"/>
      <c r="G53" s="48"/>
      <c r="H53" s="49"/>
    </row>
    <row r="54" ht="15.75" customHeight="1">
      <c r="A54" s="65"/>
      <c r="H54" s="66"/>
    </row>
    <row r="55" ht="15.75" customHeight="1">
      <c r="A55" s="50"/>
      <c r="B55" s="51"/>
      <c r="C55" s="51"/>
      <c r="D55" s="51"/>
      <c r="E55" s="51"/>
      <c r="F55" s="51"/>
      <c r="G55" s="51"/>
      <c r="H55" s="52"/>
    </row>
    <row r="56" ht="15.75" customHeight="1"/>
    <row r="57" ht="15.75" customHeight="1">
      <c r="A57" s="24" t="s">
        <v>198</v>
      </c>
    </row>
    <row r="58" ht="30.0"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3"/>
      <c r="C60" s="17"/>
      <c r="D60" s="17"/>
      <c r="E60" s="17"/>
      <c r="F60" s="17"/>
      <c r="G60" s="17"/>
      <c r="H60" s="18"/>
    </row>
    <row r="61" ht="15.75" customHeight="1">
      <c r="A61" s="29" t="s">
        <v>120</v>
      </c>
      <c r="B61" s="63"/>
      <c r="C61" s="17"/>
      <c r="D61" s="17"/>
      <c r="E61" s="17"/>
      <c r="F61" s="17"/>
      <c r="G61" s="17"/>
      <c r="H61" s="18"/>
    </row>
    <row r="62" ht="15.75" customHeight="1">
      <c r="A62" s="67" t="s">
        <v>199</v>
      </c>
      <c r="B62" s="5"/>
      <c r="C62" s="5"/>
      <c r="D62" s="5"/>
      <c r="E62" s="5"/>
      <c r="F62" s="5"/>
      <c r="G62" s="5"/>
      <c r="H62" s="5"/>
    </row>
    <row r="63" ht="15.75" customHeight="1">
      <c r="A63" s="46" t="s">
        <v>196</v>
      </c>
      <c r="B63" s="17"/>
      <c r="C63" s="17"/>
      <c r="D63" s="17"/>
      <c r="E63" s="17"/>
      <c r="F63" s="17"/>
      <c r="G63" s="17"/>
      <c r="H63" s="18"/>
    </row>
    <row r="64" ht="15.75" customHeight="1">
      <c r="A64" s="68"/>
      <c r="B64" s="48"/>
      <c r="C64" s="48"/>
      <c r="D64" s="48"/>
      <c r="E64" s="48"/>
      <c r="F64" s="48"/>
      <c r="G64" s="48"/>
      <c r="H64" s="49"/>
    </row>
    <row r="65" ht="15.75" customHeight="1">
      <c r="A65" s="65"/>
      <c r="H65" s="66"/>
    </row>
    <row r="66" ht="15.75" customHeight="1">
      <c r="A66" s="50"/>
      <c r="B66" s="51"/>
      <c r="C66" s="51"/>
      <c r="D66" s="51"/>
      <c r="E66" s="51"/>
      <c r="F66" s="51"/>
      <c r="G66" s="51"/>
      <c r="H66" s="52"/>
    </row>
    <row r="67" ht="15.75" customHeight="1"/>
    <row r="68" ht="15.75" customHeight="1">
      <c r="A68" s="44" t="s">
        <v>200</v>
      </c>
      <c r="G68" s="34" t="s">
        <v>120</v>
      </c>
      <c r="H68" s="45">
        <v>5.0</v>
      </c>
    </row>
    <row r="69" ht="15.75" customHeight="1">
      <c r="G69" s="24" t="s">
        <v>201</v>
      </c>
    </row>
    <row r="70" ht="15.75" customHeight="1">
      <c r="A70" s="29" t="s">
        <v>120</v>
      </c>
      <c r="B70" s="69">
        <v>5.0</v>
      </c>
      <c r="C70" s="17"/>
      <c r="D70" s="17"/>
      <c r="E70" s="17"/>
      <c r="F70" s="17"/>
      <c r="G70" s="17"/>
      <c r="H70" s="18"/>
    </row>
    <row r="71" ht="15.75" customHeight="1">
      <c r="A71" s="61" t="s">
        <v>202</v>
      </c>
      <c r="B71" s="17"/>
      <c r="C71" s="17"/>
      <c r="D71" s="17"/>
      <c r="E71" s="17"/>
      <c r="F71" s="17"/>
      <c r="G71" s="17"/>
      <c r="H71" s="18"/>
    </row>
    <row r="72" ht="15.75" customHeight="1">
      <c r="A72" s="68"/>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8.0"/>
    <col customWidth="1" min="8" max="8" width="13.88"/>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3.0</v>
      </c>
      <c r="D5" s="17"/>
      <c r="E5" s="17"/>
      <c r="F5" s="17"/>
      <c r="G5" s="18"/>
    </row>
    <row r="6" ht="15.75" customHeight="1">
      <c r="B6" s="43" t="s">
        <v>118</v>
      </c>
      <c r="C6" s="16">
        <f>H10+H21+H44+H68</f>
        <v>105</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204</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70" t="s">
        <v>206</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0" t="s">
        <v>207</v>
      </c>
      <c r="B18" s="48"/>
      <c r="C18" s="48"/>
      <c r="D18" s="48"/>
      <c r="E18" s="48"/>
      <c r="F18" s="48"/>
      <c r="G18" s="48"/>
      <c r="H18" s="49"/>
    </row>
    <row r="19" ht="35.25" customHeight="1">
      <c r="A19" s="50"/>
      <c r="B19" s="51"/>
      <c r="C19" s="51"/>
      <c r="D19" s="51"/>
      <c r="E19" s="51"/>
      <c r="F19" s="51"/>
      <c r="G19" s="51"/>
      <c r="H19" s="52"/>
    </row>
    <row r="20" ht="15.75" customHeight="1"/>
    <row r="21" ht="15.75" customHeight="1">
      <c r="A21" s="44" t="s">
        <v>170</v>
      </c>
      <c r="G21" s="34" t="s">
        <v>120</v>
      </c>
      <c r="H21" s="71">
        <f>D39+D40+D41+D42</f>
        <v>60</v>
      </c>
      <c r="I21" s="5"/>
    </row>
    <row r="22" ht="15.75" customHeight="1">
      <c r="G22" s="24" t="s">
        <v>171</v>
      </c>
    </row>
    <row r="23" ht="15.75" customHeight="1">
      <c r="A23" s="29" t="s">
        <v>172</v>
      </c>
      <c r="B23" s="20" t="s">
        <v>33</v>
      </c>
      <c r="C23" s="17"/>
      <c r="D23" s="17"/>
      <c r="E23" s="17"/>
      <c r="F23" s="17"/>
      <c r="G23" s="17"/>
      <c r="H23" s="18"/>
    </row>
    <row r="24" ht="15.75" customHeight="1">
      <c r="A24" s="29" t="s">
        <v>172</v>
      </c>
      <c r="B24" s="16"/>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de Programacion")</f>
        <v>Lenguajes de Programacion</v>
      </c>
      <c r="C28" s="18"/>
      <c r="D28" s="16" t="str">
        <f>IFERROR(__xludf.DUMMYFUNCTION("FILTER('Diseño'!E:E,'Diseño'!H:H=$C$5)"),"Buenas Practicas y funciones en Programacion")</f>
        <v>Buenas Practicas y funciones en Programacion</v>
      </c>
      <c r="E28" s="18"/>
      <c r="F28" s="16" t="str">
        <f>IFERROR(__xludf.DUMMYFUNCTION("FILTER('Diseño'!F:F,'Diseño'!H:H=$C$5)"),"Convenciones de nombres y estilo de código")</f>
        <v>Convenciones de nombres y estilo de código</v>
      </c>
      <c r="G28" s="17"/>
      <c r="H28" s="18"/>
    </row>
    <row r="29" ht="15.75" customHeight="1">
      <c r="A29" s="19">
        <v>2.0</v>
      </c>
      <c r="B29" s="16" t="str">
        <f>IFERROR(__xludf.DUMMYFUNCTION("""COMPUTED_VALUE"""),"Lenguajes de Programacion")</f>
        <v>Lenguajes de Programacion</v>
      </c>
      <c r="C29" s="18"/>
      <c r="D29" s="16" t="str">
        <f>IFERROR(__xludf.DUMMYFUNCTION("""COMPUTED_VALUE"""),"Buenas Practicas y funciones en Programacion")</f>
        <v>Buenas Practicas y funciones en Programacion</v>
      </c>
      <c r="E29" s="18"/>
      <c r="F29" s="16" t="str">
        <f>IFERROR(__xludf.DUMMYFUNCTION("""COMPUTED_VALUE"""),"Gestión de memoria y optimización")</f>
        <v>Gestión de memoria y optimización</v>
      </c>
      <c r="G29" s="17"/>
      <c r="H29" s="18"/>
    </row>
    <row r="30" ht="15.75" customHeight="1">
      <c r="A30" s="19">
        <v>3.0</v>
      </c>
      <c r="B30" s="16" t="str">
        <f>IFERROR(__xludf.DUMMYFUNCTION("""COMPUTED_VALUE"""),"Lenguajes de Programacion")</f>
        <v>Lenguajes de Programacion</v>
      </c>
      <c r="C30" s="18"/>
      <c r="D30" s="16" t="str">
        <f>IFERROR(__xludf.DUMMYFUNCTION("""COMPUTED_VALUE"""),"Buenas Practicas y funciones en Programacion")</f>
        <v>Buenas Practicas y funciones en Programacion</v>
      </c>
      <c r="E30" s="18"/>
      <c r="F30" s="16" t="str">
        <f>IFERROR(__xludf.DUMMYFUNCTION("""COMPUTED_VALUE"""),"Definición y uso de métodos y funciones")</f>
        <v>Definición y uso de métodos y funciones</v>
      </c>
      <c r="G30" s="17"/>
      <c r="H30" s="18"/>
    </row>
    <row r="31" ht="15.75" customHeight="1">
      <c r="A31" s="19">
        <v>4.0</v>
      </c>
      <c r="B31" s="16" t="str">
        <f>IFERROR(__xludf.DUMMYFUNCTION("""COMPUTED_VALUE"""),"Lenguajes de Programacion")</f>
        <v>Lenguajes de Programacion</v>
      </c>
      <c r="C31" s="18"/>
      <c r="D31" s="16" t="str">
        <f>IFERROR(__xludf.DUMMYFUNCTION("""COMPUTED_VALUE"""),"Buenas Practicas y funciones en Programacion")</f>
        <v>Buenas Practicas y funciones en Programacion</v>
      </c>
      <c r="E31" s="18"/>
      <c r="F31" s="16" t="str">
        <f>IFERROR(__xludf.DUMMYFUNCTION("""COMPUTED_VALUE"""),"Creación y uso de clases")</f>
        <v>Creación y uso de clases</v>
      </c>
      <c r="G31" s="17"/>
      <c r="H31" s="18"/>
    </row>
    <row r="32" ht="15.75" customHeight="1">
      <c r="A32" s="19">
        <v>5.0</v>
      </c>
      <c r="B32" s="16" t="str">
        <f>IFERROR(__xludf.DUMMYFUNCTION("""COMPUTED_VALUE"""),"Lenguajes de Programacion")</f>
        <v>Lenguajes de Programacion</v>
      </c>
      <c r="C32" s="18"/>
      <c r="D32" s="16" t="str">
        <f>IFERROR(__xludf.DUMMYFUNCTION("""COMPUTED_VALUE"""),"Buenas Practicas y funciones en Programacion")</f>
        <v>Buenas Practicas y funciones en Programacion</v>
      </c>
      <c r="E32" s="18"/>
      <c r="F32" s="16" t="str">
        <f>IFERROR(__xludf.DUMMYFUNCTION("""COMPUTED_VALUE"""),"Diferencias entre métodos y funciones")</f>
        <v>Diferencias entre métodos y funciones</v>
      </c>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60" t="s">
        <v>181</v>
      </c>
      <c r="D38" s="61" t="s">
        <v>120</v>
      </c>
      <c r="E38" s="17"/>
      <c r="F38" s="17"/>
      <c r="G38" s="17"/>
      <c r="H38" s="18"/>
    </row>
    <row r="39" ht="15.75" customHeight="1">
      <c r="A39" s="19" t="s">
        <v>182</v>
      </c>
      <c r="B39" s="19" t="s">
        <v>183</v>
      </c>
      <c r="C39" s="19"/>
      <c r="D39" s="20">
        <v>25.0</v>
      </c>
      <c r="E39" s="17"/>
      <c r="F39" s="17"/>
      <c r="G39" s="17"/>
      <c r="H39" s="18"/>
    </row>
    <row r="40" ht="15.75" customHeight="1">
      <c r="A40" s="19" t="s">
        <v>184</v>
      </c>
      <c r="B40" s="19" t="s">
        <v>183</v>
      </c>
      <c r="C40" s="19" t="s">
        <v>185</v>
      </c>
      <c r="D40" s="20">
        <v>10.0</v>
      </c>
      <c r="E40" s="17"/>
      <c r="F40" s="17"/>
      <c r="G40" s="17"/>
      <c r="H40" s="18"/>
    </row>
    <row r="41" ht="15.75" customHeight="1">
      <c r="A41" s="19" t="s">
        <v>186</v>
      </c>
      <c r="B41" s="19" t="s">
        <v>187</v>
      </c>
      <c r="C41" s="19"/>
      <c r="D41" s="20">
        <v>15.0</v>
      </c>
      <c r="E41" s="17"/>
      <c r="F41" s="17"/>
      <c r="G41" s="17"/>
      <c r="H41" s="18"/>
    </row>
    <row r="42" ht="15.75" customHeight="1">
      <c r="A42" s="19" t="s">
        <v>188</v>
      </c>
      <c r="B42" s="19" t="s">
        <v>183</v>
      </c>
      <c r="C42" s="19"/>
      <c r="D42" s="20">
        <v>10.0</v>
      </c>
      <c r="E42" s="17"/>
      <c r="F42" s="17"/>
      <c r="G42" s="17"/>
      <c r="H42" s="18"/>
    </row>
    <row r="43" ht="15.75" customHeight="1"/>
    <row r="44" ht="15.75" customHeight="1">
      <c r="A44" s="44" t="s">
        <v>189</v>
      </c>
      <c r="G44" s="34" t="s">
        <v>120</v>
      </c>
      <c r="H44" s="71">
        <f>B50+B61</f>
        <v>35</v>
      </c>
    </row>
    <row r="45" ht="15.75" customHeight="1">
      <c r="G45" s="24" t="s">
        <v>190</v>
      </c>
    </row>
    <row r="46" ht="15.75" customHeight="1">
      <c r="A46" s="24" t="s">
        <v>191</v>
      </c>
    </row>
    <row r="47" ht="31.5" customHeight="1">
      <c r="A47" s="29" t="s">
        <v>192</v>
      </c>
      <c r="B47" s="53" t="s">
        <v>12</v>
      </c>
      <c r="C47" s="17"/>
      <c r="D47" s="17"/>
      <c r="E47" s="17"/>
      <c r="F47" s="17"/>
      <c r="G47" s="17"/>
      <c r="H47" s="18"/>
    </row>
    <row r="48" ht="15.75" customHeight="1">
      <c r="A48" s="29" t="s">
        <v>193</v>
      </c>
      <c r="B48" s="16" t="s">
        <v>208</v>
      </c>
      <c r="C48" s="17"/>
      <c r="D48" s="17"/>
      <c r="E48" s="17"/>
      <c r="F48" s="17"/>
      <c r="G48" s="17"/>
      <c r="H48" s="18"/>
    </row>
    <row r="49" ht="15.75" customHeight="1">
      <c r="A49" s="29" t="s">
        <v>160</v>
      </c>
      <c r="B49" s="63">
        <v>0.0</v>
      </c>
      <c r="C49" s="17"/>
      <c r="D49" s="17"/>
      <c r="E49" s="17"/>
      <c r="F49" s="17"/>
      <c r="G49" s="17"/>
      <c r="H49" s="18"/>
    </row>
    <row r="50" ht="15.75" customHeight="1">
      <c r="A50" s="29" t="s">
        <v>120</v>
      </c>
      <c r="B50" s="20">
        <v>35.0</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64" t="s">
        <v>209</v>
      </c>
      <c r="B53" s="48"/>
      <c r="C53" s="48"/>
      <c r="D53" s="48"/>
      <c r="E53" s="48"/>
      <c r="F53" s="48"/>
      <c r="G53" s="48"/>
      <c r="H53" s="49"/>
    </row>
    <row r="54" ht="15.75" customHeight="1">
      <c r="A54" s="65"/>
      <c r="H54" s="66"/>
    </row>
    <row r="55" ht="15.75" customHeight="1">
      <c r="A55" s="50"/>
      <c r="B55" s="51"/>
      <c r="C55" s="51"/>
      <c r="D55" s="51"/>
      <c r="E55" s="51"/>
      <c r="F55" s="51"/>
      <c r="G55" s="51"/>
      <c r="H55" s="52"/>
    </row>
    <row r="56" ht="15.75" customHeight="1"/>
    <row r="57" ht="15.75" customHeight="1">
      <c r="A57" s="24" t="s">
        <v>198</v>
      </c>
    </row>
    <row r="58" ht="35.2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3"/>
      <c r="C60" s="17"/>
      <c r="D60" s="17"/>
      <c r="E60" s="17"/>
      <c r="F60" s="17"/>
      <c r="G60" s="17"/>
      <c r="H60" s="18"/>
    </row>
    <row r="61" ht="15.75" customHeight="1">
      <c r="A61" s="29" t="s">
        <v>120</v>
      </c>
      <c r="B61" s="63"/>
      <c r="C61" s="17"/>
      <c r="D61" s="17"/>
      <c r="E61" s="17"/>
      <c r="F61" s="17"/>
      <c r="G61" s="17"/>
      <c r="H61" s="18"/>
    </row>
    <row r="62" ht="15.75" customHeight="1">
      <c r="A62" s="67" t="s">
        <v>199</v>
      </c>
      <c r="B62" s="5"/>
      <c r="C62" s="5"/>
      <c r="D62" s="5"/>
      <c r="E62" s="5"/>
      <c r="F62" s="5"/>
      <c r="G62" s="5"/>
      <c r="H62" s="5"/>
    </row>
    <row r="63" ht="15.75" customHeight="1">
      <c r="A63" s="46" t="s">
        <v>196</v>
      </c>
      <c r="B63" s="17"/>
      <c r="C63" s="17"/>
      <c r="D63" s="17"/>
      <c r="E63" s="17"/>
      <c r="F63" s="17"/>
      <c r="G63" s="17"/>
      <c r="H63" s="18"/>
    </row>
    <row r="64" ht="15.75" customHeight="1">
      <c r="A64" s="68"/>
      <c r="B64" s="48"/>
      <c r="C64" s="48"/>
      <c r="D64" s="48"/>
      <c r="E64" s="48"/>
      <c r="F64" s="48"/>
      <c r="G64" s="48"/>
      <c r="H64" s="49"/>
    </row>
    <row r="65" ht="15.75" customHeight="1">
      <c r="A65" s="65"/>
      <c r="H65" s="66"/>
    </row>
    <row r="66" ht="15.75" customHeight="1">
      <c r="A66" s="50"/>
      <c r="B66" s="51"/>
      <c r="C66" s="51"/>
      <c r="D66" s="51"/>
      <c r="E66" s="51"/>
      <c r="F66" s="51"/>
      <c r="G66" s="51"/>
      <c r="H66" s="52"/>
    </row>
    <row r="67" ht="15.75" customHeight="1"/>
    <row r="68" ht="15.75" customHeight="1">
      <c r="A68" s="44" t="s">
        <v>200</v>
      </c>
      <c r="G68" s="34" t="s">
        <v>120</v>
      </c>
      <c r="H68" s="45">
        <f>B70</f>
        <v>5</v>
      </c>
    </row>
    <row r="69" ht="15.75" customHeight="1">
      <c r="G69" s="24" t="s">
        <v>201</v>
      </c>
    </row>
    <row r="70" ht="15.75" customHeight="1">
      <c r="A70" s="29" t="s">
        <v>120</v>
      </c>
      <c r="B70" s="69">
        <v>5.0</v>
      </c>
      <c r="C70" s="17"/>
      <c r="D70" s="17"/>
      <c r="E70" s="17"/>
      <c r="F70" s="17"/>
      <c r="G70" s="17"/>
      <c r="H70" s="18"/>
    </row>
    <row r="71" ht="15.75" customHeight="1">
      <c r="A71" s="61" t="s">
        <v>202</v>
      </c>
      <c r="B71" s="17"/>
      <c r="C71" s="17"/>
      <c r="D71" s="17"/>
      <c r="E71" s="17"/>
      <c r="F71" s="17"/>
      <c r="G71" s="17"/>
      <c r="H71" s="18"/>
    </row>
    <row r="72" ht="15.75" customHeight="1">
      <c r="A72" s="68"/>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4.0</v>
      </c>
      <c r="D5" s="17"/>
      <c r="E5" s="17"/>
      <c r="F5" s="17"/>
      <c r="G5" s="18"/>
    </row>
    <row r="6" ht="15.75" customHeight="1">
      <c r="B6" s="43" t="s">
        <v>118</v>
      </c>
      <c r="C6" s="16">
        <f>H10+H21+H44+H68</f>
        <v>104</v>
      </c>
      <c r="D6" s="17"/>
      <c r="E6" s="17"/>
      <c r="F6" s="17"/>
      <c r="G6" s="18"/>
      <c r="I6" s="5"/>
    </row>
    <row r="7" ht="15.75" customHeight="1">
      <c r="B7" s="43" t="s">
        <v>160</v>
      </c>
      <c r="C7" s="16">
        <f>B49+B60</f>
        <v>2</v>
      </c>
      <c r="D7" s="17"/>
      <c r="E7" s="17"/>
      <c r="F7" s="17"/>
      <c r="G7" s="18"/>
    </row>
    <row r="8" ht="25.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2.0</v>
      </c>
    </row>
    <row r="11" ht="15.75" customHeight="1">
      <c r="G11" s="24" t="s">
        <v>163</v>
      </c>
    </row>
    <row r="12" ht="15.75" customHeight="1">
      <c r="A12" s="29" t="s">
        <v>164</v>
      </c>
      <c r="B12" s="20" t="s">
        <v>210</v>
      </c>
      <c r="C12" s="17"/>
      <c r="D12" s="17"/>
      <c r="E12" s="17"/>
      <c r="F12" s="17"/>
      <c r="G12" s="17"/>
      <c r="H12" s="18"/>
    </row>
    <row r="13" ht="15.75" customHeight="1">
      <c r="A13" s="30" t="s">
        <v>120</v>
      </c>
      <c r="B13" s="20" t="s">
        <v>211</v>
      </c>
      <c r="C13" s="17"/>
      <c r="D13" s="17"/>
      <c r="E13" s="17"/>
      <c r="F13" s="17"/>
      <c r="G13" s="17"/>
      <c r="H13" s="18"/>
    </row>
    <row r="14" ht="15.75" customHeight="1">
      <c r="A14" s="46" t="s">
        <v>166</v>
      </c>
      <c r="B14" s="17"/>
      <c r="C14" s="17"/>
      <c r="D14" s="17"/>
      <c r="E14" s="17"/>
      <c r="F14" s="17"/>
      <c r="G14" s="17"/>
      <c r="H14" s="18"/>
    </row>
    <row r="15" ht="15.75" customHeight="1">
      <c r="A15" s="72" t="s">
        <v>212</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2" t="s">
        <v>213</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c r="A23" s="29" t="s">
        <v>172</v>
      </c>
      <c r="B23" s="53" t="s">
        <v>12</v>
      </c>
      <c r="C23" s="17"/>
      <c r="D23" s="17"/>
      <c r="E23" s="17"/>
      <c r="F23" s="17"/>
      <c r="G23" s="17"/>
      <c r="H23" s="18"/>
    </row>
    <row r="24">
      <c r="A24" s="29" t="s">
        <v>172</v>
      </c>
      <c r="B24" s="53" t="s">
        <v>33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de Programacion")</f>
        <v>Lenguajes de Programacion</v>
      </c>
      <c r="C28" s="18"/>
      <c r="D28" s="16" t="str">
        <f>IFERROR(__xludf.DUMMYFUNCTION("FILTER('Diseño'!E:E,'Diseño'!H:H=$C$5)"),"Estructuras de Datos y Control en Programacion")</f>
        <v>Estructuras de Datos y Control en Programacion</v>
      </c>
      <c r="E28" s="18"/>
      <c r="F28" s="16" t="str">
        <f>IFERROR(__xludf.DUMMYFUNCTION("FILTER('Diseño'!F:F,'Diseño'!H:H=$C$5)"),"Arreglos en Java")</f>
        <v>Arreglos en Java</v>
      </c>
      <c r="G28" s="17"/>
      <c r="H28" s="18"/>
    </row>
    <row r="29" ht="15.75" customHeight="1">
      <c r="A29" s="19">
        <v>2.0</v>
      </c>
      <c r="B29" s="16" t="str">
        <f>IFERROR(__xludf.DUMMYFUNCTION("""COMPUTED_VALUE"""),"Lenguajes de Programacion")</f>
        <v>Lenguajes de Programacion</v>
      </c>
      <c r="C29" s="18"/>
      <c r="D29" s="16" t="str">
        <f>IFERROR(__xludf.DUMMYFUNCTION("""COMPUTED_VALUE"""),"Estructuras de Datos y Control en Programacion")</f>
        <v>Estructuras de Datos y Control en Programacion</v>
      </c>
      <c r="E29" s="18"/>
      <c r="F29" s="16" t="str">
        <f>IFERROR(__xludf.DUMMYFUNCTION("""COMPUTED_VALUE"""),"Diccionarios y estructuras de Datos")</f>
        <v>Diccionarios y estructuras de Datos</v>
      </c>
      <c r="G29" s="17"/>
      <c r="H29" s="18"/>
    </row>
    <row r="30" ht="15.75" customHeight="1">
      <c r="A30" s="19">
        <v>3.0</v>
      </c>
      <c r="B30" s="16" t="str">
        <f>IFERROR(__xludf.DUMMYFUNCTION("""COMPUTED_VALUE"""),"Lenguajes de Programacion")</f>
        <v>Lenguajes de Programacion</v>
      </c>
      <c r="C30" s="18"/>
      <c r="D30" s="16" t="str">
        <f>IFERROR(__xludf.DUMMYFUNCTION("""COMPUTED_VALUE"""),"Estructuras de Datos y Control en Programacion")</f>
        <v>Estructuras de Datos y Control en Programacion</v>
      </c>
      <c r="E30" s="18"/>
      <c r="F30" s="16" t="str">
        <f>IFERROR(__xludf.DUMMYFUNCTION("""COMPUTED_VALUE"""),"Iteracion en Java")</f>
        <v>Iteracion en Java</v>
      </c>
      <c r="G30" s="17"/>
      <c r="H30" s="18"/>
    </row>
    <row r="31" ht="15.75" customHeight="1">
      <c r="A31" s="19">
        <v>4.0</v>
      </c>
      <c r="B31" s="16" t="str">
        <f>IFERROR(__xludf.DUMMYFUNCTION("""COMPUTED_VALUE"""),"Lenguajes de Programacion")</f>
        <v>Lenguajes de Programacion</v>
      </c>
      <c r="C31" s="18"/>
      <c r="D31" s="16" t="str">
        <f>IFERROR(__xludf.DUMMYFUNCTION("""COMPUTED_VALUE"""),"Estructuras de Datos y Control en Programacion")</f>
        <v>Estructuras de Datos y Control en Programacion</v>
      </c>
      <c r="E31" s="18"/>
      <c r="F31" s="16" t="str">
        <f>IFERROR(__xludf.DUMMYFUNCTION("""COMPUTED_VALUE"""),"Lectura de Archivos")</f>
        <v>Lectura de Archivos</v>
      </c>
      <c r="G31" s="17"/>
      <c r="H31" s="18"/>
    </row>
    <row r="32" ht="15.75" customHeight="1">
      <c r="A32" s="19">
        <v>5.0</v>
      </c>
      <c r="B32" s="16" t="str">
        <f>IFERROR(__xludf.DUMMYFUNCTION("""COMPUTED_VALUE"""),"Lenguajes de Programacion")</f>
        <v>Lenguajes de Programacion</v>
      </c>
      <c r="C32" s="18"/>
      <c r="D32" s="16" t="str">
        <f>IFERROR(__xludf.DUMMYFUNCTION("""COMPUTED_VALUE"""),"Estructuras de Datos y Control en Programacion")</f>
        <v>Estructuras de Datos y Control en Programacion</v>
      </c>
      <c r="E32" s="18"/>
      <c r="F32" s="16" t="str">
        <f>IFERROR(__xludf.DUMMYFUNCTION("""COMPUTED_VALUE"""),"Escritura de Archivos")</f>
        <v>Escritura de Archivos</v>
      </c>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60" t="s">
        <v>181</v>
      </c>
      <c r="D38" s="61" t="s">
        <v>120</v>
      </c>
      <c r="E38" s="17"/>
      <c r="F38" s="17"/>
      <c r="G38" s="17"/>
      <c r="H38" s="18"/>
    </row>
    <row r="39" ht="15.75" customHeight="1">
      <c r="A39" s="19" t="s">
        <v>182</v>
      </c>
      <c r="B39" s="19" t="s">
        <v>183</v>
      </c>
      <c r="C39" s="62" t="s">
        <v>214</v>
      </c>
      <c r="D39" s="20" t="s">
        <v>215</v>
      </c>
      <c r="E39" s="17"/>
      <c r="F39" s="17"/>
      <c r="G39" s="17"/>
      <c r="H39" s="18"/>
    </row>
    <row r="40" ht="15.75" customHeight="1">
      <c r="A40" s="19" t="s">
        <v>184</v>
      </c>
      <c r="B40" s="19" t="s">
        <v>183</v>
      </c>
      <c r="C40" s="62" t="s">
        <v>216</v>
      </c>
      <c r="D40" s="20" t="s">
        <v>217</v>
      </c>
      <c r="E40" s="17"/>
      <c r="F40" s="17"/>
      <c r="G40" s="17"/>
      <c r="H40" s="18"/>
    </row>
    <row r="41" ht="15.75" customHeight="1">
      <c r="A41" s="19" t="s">
        <v>186</v>
      </c>
      <c r="B41" s="19" t="s">
        <v>187</v>
      </c>
      <c r="C41" s="62" t="s">
        <v>218</v>
      </c>
      <c r="D41" s="20" t="s">
        <v>219</v>
      </c>
      <c r="E41" s="17"/>
      <c r="F41" s="17"/>
      <c r="G41" s="17"/>
      <c r="H41" s="18"/>
    </row>
    <row r="42" ht="15.75" customHeight="1">
      <c r="A42" s="19" t="s">
        <v>188</v>
      </c>
      <c r="B42" s="19" t="s">
        <v>183</v>
      </c>
      <c r="C42" s="62"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c r="A47" s="29" t="s">
        <v>192</v>
      </c>
      <c r="B47" s="53" t="s">
        <v>33</v>
      </c>
      <c r="C47" s="17"/>
      <c r="D47" s="17"/>
      <c r="E47" s="17"/>
      <c r="F47" s="17"/>
      <c r="G47" s="17"/>
      <c r="H47" s="18"/>
    </row>
    <row r="48" ht="15.75" customHeight="1">
      <c r="A48" s="29" t="s">
        <v>193</v>
      </c>
      <c r="B48" s="20" t="s">
        <v>194</v>
      </c>
      <c r="C48" s="17"/>
      <c r="D48" s="17"/>
      <c r="E48" s="17"/>
      <c r="F48" s="17"/>
      <c r="G48" s="17"/>
      <c r="H48" s="18"/>
    </row>
    <row r="49" ht="15.75" customHeight="1">
      <c r="A49" s="29" t="s">
        <v>160</v>
      </c>
      <c r="B49" s="69">
        <v>2.0</v>
      </c>
      <c r="C49" s="17"/>
      <c r="D49" s="17"/>
      <c r="E49" s="17"/>
      <c r="F49" s="17"/>
      <c r="G49" s="17"/>
      <c r="H49" s="18"/>
    </row>
    <row r="50" ht="15.75" customHeight="1">
      <c r="A50" s="29" t="s">
        <v>120</v>
      </c>
      <c r="B50" s="20" t="s">
        <v>215</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3" t="s">
        <v>220</v>
      </c>
      <c r="B53" s="48"/>
      <c r="C53" s="48"/>
      <c r="D53" s="48"/>
      <c r="E53" s="48"/>
      <c r="F53" s="48"/>
      <c r="G53" s="48"/>
      <c r="H53" s="49"/>
    </row>
    <row r="54" ht="15.75" customHeight="1">
      <c r="A54" s="65"/>
      <c r="H54" s="66"/>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3"/>
      <c r="C60" s="17"/>
      <c r="D60" s="17"/>
      <c r="E60" s="17"/>
      <c r="F60" s="17"/>
      <c r="G60" s="17"/>
      <c r="H60" s="18"/>
    </row>
    <row r="61" ht="15.75" customHeight="1">
      <c r="A61" s="29" t="s">
        <v>120</v>
      </c>
      <c r="B61" s="63"/>
      <c r="C61" s="17"/>
      <c r="D61" s="17"/>
      <c r="E61" s="17"/>
      <c r="F61" s="17"/>
      <c r="G61" s="17"/>
      <c r="H61" s="18"/>
    </row>
    <row r="62" ht="15.75" customHeight="1">
      <c r="A62" s="67" t="s">
        <v>199</v>
      </c>
      <c r="B62" s="5"/>
      <c r="C62" s="5"/>
      <c r="D62" s="5"/>
      <c r="E62" s="5"/>
      <c r="F62" s="5"/>
      <c r="G62" s="5"/>
      <c r="H62" s="5"/>
    </row>
    <row r="63" ht="15.75" customHeight="1">
      <c r="A63" s="46" t="s">
        <v>196</v>
      </c>
      <c r="B63" s="17"/>
      <c r="C63" s="17"/>
      <c r="D63" s="17"/>
      <c r="E63" s="17"/>
      <c r="F63" s="17"/>
      <c r="G63" s="17"/>
      <c r="H63" s="18"/>
    </row>
    <row r="64" ht="15.75" customHeight="1">
      <c r="A64" s="68"/>
      <c r="B64" s="48"/>
      <c r="C64" s="48"/>
      <c r="D64" s="48"/>
      <c r="E64" s="48"/>
      <c r="F64" s="48"/>
      <c r="G64" s="48"/>
      <c r="H64" s="49"/>
    </row>
    <row r="65" ht="15.75" customHeight="1">
      <c r="A65" s="65"/>
      <c r="H65" s="66"/>
    </row>
    <row r="66" ht="15.75" customHeight="1">
      <c r="A66" s="50"/>
      <c r="B66" s="51"/>
      <c r="C66" s="51"/>
      <c r="D66" s="51"/>
      <c r="E66" s="51"/>
      <c r="F66" s="51"/>
      <c r="G66" s="51"/>
      <c r="H66" s="52"/>
    </row>
    <row r="67" ht="15.75" customHeight="1"/>
    <row r="68" ht="15.75" customHeight="1">
      <c r="A68" s="44" t="s">
        <v>200</v>
      </c>
      <c r="G68" s="34" t="s">
        <v>120</v>
      </c>
      <c r="H68" s="45">
        <v>2.0</v>
      </c>
    </row>
    <row r="69" ht="15.75" customHeight="1">
      <c r="G69" s="24" t="s">
        <v>201</v>
      </c>
    </row>
    <row r="70" ht="15.75" customHeight="1">
      <c r="A70" s="29" t="s">
        <v>120</v>
      </c>
      <c r="B70" s="69" t="s">
        <v>211</v>
      </c>
      <c r="C70" s="17"/>
      <c r="D70" s="17"/>
      <c r="E70" s="17"/>
      <c r="F70" s="17"/>
      <c r="G70" s="17"/>
      <c r="H70" s="18"/>
    </row>
    <row r="71" ht="15.75" customHeight="1">
      <c r="A71" s="61" t="s">
        <v>202</v>
      </c>
      <c r="B71" s="17"/>
      <c r="C71" s="17"/>
      <c r="D71" s="17"/>
      <c r="E71" s="17"/>
      <c r="F71" s="17"/>
      <c r="G71" s="17"/>
      <c r="H71" s="18"/>
    </row>
    <row r="72" ht="15.75" customHeight="1">
      <c r="A72" s="68"/>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5.0</v>
      </c>
      <c r="D5" s="17"/>
      <c r="E5" s="17"/>
      <c r="F5" s="17"/>
      <c r="G5" s="18"/>
    </row>
    <row r="6" ht="15.75" customHeight="1">
      <c r="B6" s="43" t="s">
        <v>118</v>
      </c>
      <c r="C6" s="16">
        <f>H10+H21+H44+H68</f>
        <v>104</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2.0</v>
      </c>
    </row>
    <row r="11" ht="15.75" customHeight="1">
      <c r="G11" s="24" t="s">
        <v>163</v>
      </c>
    </row>
    <row r="12" ht="15.75" customHeight="1">
      <c r="A12" s="29" t="s">
        <v>164</v>
      </c>
      <c r="B12" s="20" t="s">
        <v>221</v>
      </c>
      <c r="C12" s="17"/>
      <c r="D12" s="17"/>
      <c r="E12" s="17"/>
      <c r="F12" s="17"/>
      <c r="G12" s="17"/>
      <c r="H12" s="18"/>
    </row>
    <row r="13" ht="15.75" customHeight="1">
      <c r="A13" s="30" t="s">
        <v>120</v>
      </c>
      <c r="B13" s="20" t="s">
        <v>211</v>
      </c>
      <c r="C13" s="17"/>
      <c r="D13" s="17"/>
      <c r="E13" s="17"/>
      <c r="F13" s="17"/>
      <c r="G13" s="17"/>
      <c r="H13" s="18"/>
    </row>
    <row r="14" ht="15.75" customHeight="1">
      <c r="A14" s="46" t="s">
        <v>166</v>
      </c>
      <c r="B14" s="17"/>
      <c r="C14" s="17"/>
      <c r="D14" s="17"/>
      <c r="E14" s="17"/>
      <c r="F14" s="17"/>
      <c r="G14" s="17"/>
      <c r="H14" s="18"/>
    </row>
    <row r="15" ht="15.75" customHeight="1">
      <c r="A15" s="72" t="s">
        <v>222</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2" t="s">
        <v>223</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c r="A23" s="29" t="s">
        <v>172</v>
      </c>
      <c r="B23" s="53" t="s">
        <v>12</v>
      </c>
      <c r="C23" s="17"/>
      <c r="D23" s="17"/>
      <c r="E23" s="17"/>
      <c r="F23" s="17"/>
      <c r="G23" s="17"/>
      <c r="H23" s="18"/>
    </row>
    <row r="24">
      <c r="A24" s="29" t="s">
        <v>172</v>
      </c>
      <c r="B24" s="53" t="s">
        <v>33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Formales")</f>
        <v>Lenguajes Formales</v>
      </c>
      <c r="C28" s="18"/>
      <c r="D28" s="16" t="str">
        <f>IFERROR(__xludf.DUMMYFUNCTION("FILTER('Diseño'!E:E,'Diseño'!H:H=$C$5)"),"Lenguajes")</f>
        <v>Lenguajes</v>
      </c>
      <c r="E28" s="18"/>
      <c r="F28" s="16" t="str">
        <f>IFERROR(__xludf.DUMMYFUNCTION("FILTER('Diseño'!F:F,'Diseño'!H:H=$C$5)"),"Lenguajes Natural")</f>
        <v>Lenguajes Natural</v>
      </c>
      <c r="G28" s="17"/>
      <c r="H28" s="18"/>
    </row>
    <row r="29" ht="15.75" customHeight="1">
      <c r="A29" s="19">
        <v>2.0</v>
      </c>
      <c r="B29" s="16" t="str">
        <f>IFERROR(__xludf.DUMMYFUNCTION("""COMPUTED_VALUE"""),"Lenguajes Formales")</f>
        <v>Lenguajes Formales</v>
      </c>
      <c r="C29" s="18"/>
      <c r="D29" s="16" t="str">
        <f>IFERROR(__xludf.DUMMYFUNCTION("""COMPUTED_VALUE"""),"Lenguajes")</f>
        <v>Lenguajes</v>
      </c>
      <c r="E29" s="18"/>
      <c r="F29" s="16" t="str">
        <f>IFERROR(__xludf.DUMMYFUNCTION("""COMPUTED_VALUE"""),"Lenguajes Formales")</f>
        <v>Lenguajes Formales</v>
      </c>
      <c r="G29" s="17"/>
      <c r="H29" s="18"/>
    </row>
    <row r="30" ht="15.75" customHeight="1">
      <c r="A30" s="19">
        <v>3.0</v>
      </c>
      <c r="B30" s="16" t="str">
        <f>IFERROR(__xludf.DUMMYFUNCTION("""COMPUTED_VALUE"""),"Lenguajes Formales")</f>
        <v>Lenguajes Formales</v>
      </c>
      <c r="C30" s="18"/>
      <c r="D30" s="16" t="str">
        <f>IFERROR(__xludf.DUMMYFUNCTION("""COMPUTED_VALUE"""),"Lenguajes")</f>
        <v>Lenguajes</v>
      </c>
      <c r="E30" s="18"/>
      <c r="F30" s="16" t="str">
        <f>IFERROR(__xludf.DUMMYFUNCTION("""COMPUTED_VALUE"""),"Lenguajes de Programacion")</f>
        <v>Lenguajes de Programacion</v>
      </c>
      <c r="G30" s="17"/>
      <c r="H30" s="18"/>
    </row>
    <row r="31" ht="15.75" customHeight="1">
      <c r="A31" s="19">
        <v>4.0</v>
      </c>
      <c r="B31" s="16" t="str">
        <f>IFERROR(__xludf.DUMMYFUNCTION("""COMPUTED_VALUE"""),"Lenguajes Formales")</f>
        <v>Lenguajes Formales</v>
      </c>
      <c r="C31" s="18"/>
      <c r="D31" s="16" t="str">
        <f>IFERROR(__xludf.DUMMYFUNCTION("""COMPUTED_VALUE"""),"Lenguajes")</f>
        <v>Lenguajes</v>
      </c>
      <c r="E31" s="18"/>
      <c r="F31" s="16" t="str">
        <f>IFERROR(__xludf.DUMMYFUNCTION("""COMPUTED_VALUE"""),"Evolucion de los Lenguajes de Programacion")</f>
        <v>Evolucion de los Lenguajes de Programacion</v>
      </c>
      <c r="G31" s="17"/>
      <c r="H31" s="18"/>
    </row>
    <row r="32" ht="15.75" customHeight="1">
      <c r="A32" s="19">
        <v>5.0</v>
      </c>
      <c r="B32" s="16" t="str">
        <f>IFERROR(__xludf.DUMMYFUNCTION("""COMPUTED_VALUE"""),"Lenguajes Formales")</f>
        <v>Lenguajes Formales</v>
      </c>
      <c r="C32" s="18"/>
      <c r="D32" s="16" t="str">
        <f>IFERROR(__xludf.DUMMYFUNCTION("""COMPUTED_VALUE"""),"Lenguajes")</f>
        <v>Lenguajes</v>
      </c>
      <c r="E32" s="18"/>
      <c r="F32" s="16" t="str">
        <f>IFERROR(__xludf.DUMMYFUNCTION("""COMPUTED_VALUE"""),"Paradigmas")</f>
        <v>Paradigmas</v>
      </c>
      <c r="G32" s="17"/>
      <c r="H32" s="18"/>
    </row>
    <row r="33" ht="15.75" customHeight="1">
      <c r="A33" s="19">
        <v>6.0</v>
      </c>
      <c r="B33" s="16" t="str">
        <f>IFERROR(__xludf.DUMMYFUNCTION("""COMPUTED_VALUE"""),"Lenguajes Formales")</f>
        <v>Lenguajes Formales</v>
      </c>
      <c r="C33" s="18"/>
      <c r="D33" s="16" t="str">
        <f>IFERROR(__xludf.DUMMYFUNCTION("""COMPUTED_VALUE"""),"Lenguajes")</f>
        <v>Lenguajes</v>
      </c>
      <c r="E33" s="18"/>
      <c r="F33" s="16" t="str">
        <f>IFERROR(__xludf.DUMMYFUNCTION("""COMPUTED_VALUE"""),"Generaciones de lenguajes de programación")</f>
        <v>Generaciones de lenguajes de programación</v>
      </c>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60" t="s">
        <v>181</v>
      </c>
      <c r="D38" s="61" t="s">
        <v>120</v>
      </c>
      <c r="E38" s="17"/>
      <c r="F38" s="17"/>
      <c r="G38" s="17"/>
      <c r="H38" s="18"/>
    </row>
    <row r="39" ht="15.75" customHeight="1">
      <c r="A39" s="19" t="s">
        <v>182</v>
      </c>
      <c r="B39" s="19" t="s">
        <v>183</v>
      </c>
      <c r="C39" s="62" t="s">
        <v>224</v>
      </c>
      <c r="D39" s="20" t="s">
        <v>215</v>
      </c>
      <c r="E39" s="17"/>
      <c r="F39" s="17"/>
      <c r="G39" s="17"/>
      <c r="H39" s="18"/>
    </row>
    <row r="40" ht="15.75" customHeight="1">
      <c r="A40" s="19" t="s">
        <v>184</v>
      </c>
      <c r="B40" s="19" t="s">
        <v>183</v>
      </c>
      <c r="C40" s="62" t="s">
        <v>216</v>
      </c>
      <c r="D40" s="20" t="s">
        <v>217</v>
      </c>
      <c r="E40" s="17"/>
      <c r="F40" s="17"/>
      <c r="G40" s="17"/>
      <c r="H40" s="18"/>
    </row>
    <row r="41" ht="15.75" customHeight="1">
      <c r="A41" s="19" t="s">
        <v>186</v>
      </c>
      <c r="B41" s="19" t="s">
        <v>187</v>
      </c>
      <c r="C41" s="62" t="s">
        <v>218</v>
      </c>
      <c r="D41" s="20" t="s">
        <v>219</v>
      </c>
      <c r="E41" s="17"/>
      <c r="F41" s="17"/>
      <c r="G41" s="17"/>
      <c r="H41" s="18"/>
    </row>
    <row r="42" ht="15.75" customHeight="1">
      <c r="A42" s="19" t="s">
        <v>188</v>
      </c>
      <c r="B42" s="19" t="s">
        <v>183</v>
      </c>
      <c r="C42" s="62"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ht="15.75" customHeight="1">
      <c r="A47" s="29" t="s">
        <v>192</v>
      </c>
      <c r="B47" s="20" t="s">
        <v>12</v>
      </c>
      <c r="C47" s="17"/>
      <c r="D47" s="17"/>
      <c r="E47" s="17"/>
      <c r="F47" s="17"/>
      <c r="G47" s="17"/>
      <c r="H47" s="18"/>
    </row>
    <row r="48" ht="15.75" customHeight="1">
      <c r="A48" s="29" t="s">
        <v>193</v>
      </c>
      <c r="B48" s="16" t="s">
        <v>208</v>
      </c>
      <c r="C48" s="17"/>
      <c r="D48" s="17"/>
      <c r="E48" s="17"/>
      <c r="F48" s="17"/>
      <c r="G48" s="17"/>
      <c r="H48" s="18"/>
    </row>
    <row r="49" ht="15.75" customHeight="1">
      <c r="A49" s="29" t="s">
        <v>160</v>
      </c>
      <c r="B49" s="63">
        <v>0.0</v>
      </c>
      <c r="C49" s="17"/>
      <c r="D49" s="17"/>
      <c r="E49" s="17"/>
      <c r="F49" s="17"/>
      <c r="G49" s="17"/>
      <c r="H49" s="18"/>
    </row>
    <row r="50" ht="15.75" customHeight="1">
      <c r="A50" s="29" t="s">
        <v>120</v>
      </c>
      <c r="B50" s="20" t="s">
        <v>215</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3" t="s">
        <v>225</v>
      </c>
      <c r="B53" s="48"/>
      <c r="C53" s="48"/>
      <c r="D53" s="48"/>
      <c r="E53" s="48"/>
      <c r="F53" s="48"/>
      <c r="G53" s="48"/>
      <c r="H53" s="49"/>
    </row>
    <row r="54" ht="15.75" customHeight="1">
      <c r="A54" s="65"/>
      <c r="H54" s="66"/>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3"/>
      <c r="C60" s="17"/>
      <c r="D60" s="17"/>
      <c r="E60" s="17"/>
      <c r="F60" s="17"/>
      <c r="G60" s="17"/>
      <c r="H60" s="18"/>
    </row>
    <row r="61" ht="15.75" customHeight="1">
      <c r="A61" s="29" t="s">
        <v>120</v>
      </c>
      <c r="B61" s="63"/>
      <c r="C61" s="17"/>
      <c r="D61" s="17"/>
      <c r="E61" s="17"/>
      <c r="F61" s="17"/>
      <c r="G61" s="17"/>
      <c r="H61" s="18"/>
    </row>
    <row r="62" ht="15.75" customHeight="1">
      <c r="A62" s="67" t="s">
        <v>199</v>
      </c>
      <c r="B62" s="5"/>
      <c r="C62" s="5"/>
      <c r="D62" s="5"/>
      <c r="E62" s="5"/>
      <c r="F62" s="5"/>
      <c r="G62" s="5"/>
      <c r="H62" s="5"/>
    </row>
    <row r="63" ht="15.75" customHeight="1">
      <c r="A63" s="46" t="s">
        <v>196</v>
      </c>
      <c r="B63" s="17"/>
      <c r="C63" s="17"/>
      <c r="D63" s="17"/>
      <c r="E63" s="17"/>
      <c r="F63" s="17"/>
      <c r="G63" s="17"/>
      <c r="H63" s="18"/>
    </row>
    <row r="64" ht="15.75" customHeight="1">
      <c r="A64" s="74"/>
      <c r="B64" s="48"/>
      <c r="C64" s="48"/>
      <c r="D64" s="48"/>
      <c r="E64" s="48"/>
      <c r="F64" s="48"/>
      <c r="G64" s="48"/>
      <c r="H64" s="49"/>
    </row>
    <row r="65" ht="15.75" customHeight="1">
      <c r="A65" s="65"/>
      <c r="H65" s="66"/>
    </row>
    <row r="66" ht="15.75" customHeight="1">
      <c r="A66" s="50"/>
      <c r="B66" s="51"/>
      <c r="C66" s="51"/>
      <c r="D66" s="51"/>
      <c r="E66" s="51"/>
      <c r="F66" s="51"/>
      <c r="G66" s="51"/>
      <c r="H66" s="52"/>
    </row>
    <row r="67" ht="15.75" customHeight="1"/>
    <row r="68" ht="15.75" customHeight="1">
      <c r="A68" s="44" t="s">
        <v>200</v>
      </c>
      <c r="G68" s="34" t="s">
        <v>120</v>
      </c>
      <c r="H68" s="45">
        <v>2.0</v>
      </c>
    </row>
    <row r="69" ht="15.75" customHeight="1">
      <c r="G69" s="24" t="s">
        <v>201</v>
      </c>
    </row>
    <row r="70" ht="15.75" customHeight="1">
      <c r="A70" s="29" t="s">
        <v>120</v>
      </c>
      <c r="B70" s="69" t="s">
        <v>211</v>
      </c>
      <c r="C70" s="17"/>
      <c r="D70" s="17"/>
      <c r="E70" s="17"/>
      <c r="F70" s="17"/>
      <c r="G70" s="17"/>
      <c r="H70" s="18"/>
    </row>
    <row r="71" ht="15.75" customHeight="1">
      <c r="A71" s="61" t="s">
        <v>202</v>
      </c>
      <c r="B71" s="17"/>
      <c r="C71" s="17"/>
      <c r="D71" s="17"/>
      <c r="E71" s="17"/>
      <c r="F71" s="17"/>
      <c r="G71" s="17"/>
      <c r="H71" s="18"/>
    </row>
    <row r="72" ht="15.75" customHeight="1">
      <c r="A72" s="74"/>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6.0</v>
      </c>
      <c r="D5" s="17"/>
      <c r="E5" s="17"/>
      <c r="F5" s="17"/>
      <c r="G5" s="18"/>
    </row>
    <row r="6" ht="15.75" customHeight="1">
      <c r="B6" s="43" t="s">
        <v>118</v>
      </c>
      <c r="C6" s="16">
        <f>H10+H21+H44+H68</f>
        <v>104</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2.0</v>
      </c>
    </row>
    <row r="11" ht="15.75" customHeight="1">
      <c r="G11" s="24" t="s">
        <v>163</v>
      </c>
    </row>
    <row r="12" ht="15.75" customHeight="1">
      <c r="A12" s="29" t="s">
        <v>164</v>
      </c>
      <c r="B12" s="20" t="s">
        <v>226</v>
      </c>
      <c r="C12" s="17"/>
      <c r="D12" s="17"/>
      <c r="E12" s="17"/>
      <c r="F12" s="17"/>
      <c r="G12" s="17"/>
      <c r="H12" s="18"/>
    </row>
    <row r="13" ht="15.75" customHeight="1">
      <c r="A13" s="30" t="s">
        <v>120</v>
      </c>
      <c r="B13" s="20" t="s">
        <v>211</v>
      </c>
      <c r="C13" s="17"/>
      <c r="D13" s="17"/>
      <c r="E13" s="17"/>
      <c r="F13" s="17"/>
      <c r="G13" s="17"/>
      <c r="H13" s="18"/>
    </row>
    <row r="14" ht="15.75" customHeight="1">
      <c r="A14" s="46" t="s">
        <v>166</v>
      </c>
      <c r="B14" s="17"/>
      <c r="C14" s="17"/>
      <c r="D14" s="17"/>
      <c r="E14" s="17"/>
      <c r="F14" s="17"/>
      <c r="G14" s="17"/>
      <c r="H14" s="18"/>
    </row>
    <row r="15" ht="15.75" customHeight="1">
      <c r="A15" s="72" t="s">
        <v>227</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2" t="s">
        <v>228</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c r="A23" s="29" t="s">
        <v>172</v>
      </c>
      <c r="B23" s="75" t="s">
        <v>12</v>
      </c>
      <c r="C23" s="17"/>
      <c r="D23" s="17"/>
      <c r="E23" s="17"/>
      <c r="F23" s="17"/>
      <c r="G23" s="17"/>
      <c r="H23" s="18"/>
    </row>
    <row r="24">
      <c r="A24" s="29" t="s">
        <v>172</v>
      </c>
      <c r="B24" s="75" t="s">
        <v>48</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IFERROR(__xludf.DUMMYFUNCTION("FILTER('Diseño'!D:D,'Diseño'!H:H=$C$5)"),"Lenguajes Formales")</f>
        <v>Lenguajes Formales</v>
      </c>
      <c r="C28" s="18"/>
      <c r="D28" s="16" t="str">
        <f>IFERROR(__xludf.DUMMYFUNCTION("FILTER('Diseño'!E:E,'Diseño'!H:H=$C$5)"),"Procesadores de Lenguaje")</f>
        <v>Procesadores de Lenguaje</v>
      </c>
      <c r="E28" s="18"/>
      <c r="F28" s="16" t="str">
        <f>IFERROR(__xludf.DUMMYFUNCTION("FILTER('Diseño'!F:F,'Diseño'!H:H=$C$5)"),"Interprete")</f>
        <v>Interprete</v>
      </c>
      <c r="G28" s="17"/>
      <c r="H28" s="18"/>
    </row>
    <row r="29" ht="15.75" customHeight="1">
      <c r="A29" s="19">
        <v>2.0</v>
      </c>
      <c r="B29" s="16" t="str">
        <f>IFERROR(__xludf.DUMMYFUNCTION("""COMPUTED_VALUE"""),"Lenguajes Formales")</f>
        <v>Lenguajes Formales</v>
      </c>
      <c r="C29" s="18"/>
      <c r="D29" s="16" t="str">
        <f>IFERROR(__xludf.DUMMYFUNCTION("""COMPUTED_VALUE"""),"Procesadores de Lenguaje")</f>
        <v>Procesadores de Lenguaje</v>
      </c>
      <c r="E29" s="18"/>
      <c r="F29" s="16" t="str">
        <f>IFERROR(__xludf.DUMMYFUNCTION("""COMPUTED_VALUE"""),"Compilador")</f>
        <v>Compilador</v>
      </c>
      <c r="G29" s="17"/>
      <c r="H29" s="18"/>
    </row>
    <row r="30" ht="15.75" customHeight="1">
      <c r="A30" s="19">
        <v>3.0</v>
      </c>
      <c r="B30" s="16" t="str">
        <f>IFERROR(__xludf.DUMMYFUNCTION("""COMPUTED_VALUE"""),"Lenguajes Formales")</f>
        <v>Lenguajes Formales</v>
      </c>
      <c r="C30" s="18"/>
      <c r="D30" s="16" t="str">
        <f>IFERROR(__xludf.DUMMYFUNCTION("""COMPUTED_VALUE"""),"Procesadores de Lenguaje")</f>
        <v>Procesadores de Lenguaje</v>
      </c>
      <c r="E30" s="18"/>
      <c r="F30" s="16" t="str">
        <f>IFERROR(__xludf.DUMMYFUNCTION("""COMPUTED_VALUE"""),"Estructura de un compilador")</f>
        <v>Estructura de un compilador</v>
      </c>
      <c r="G30" s="17"/>
      <c r="H30" s="18"/>
    </row>
    <row r="31" ht="15.75" customHeight="1">
      <c r="A31" s="19">
        <v>4.0</v>
      </c>
      <c r="B31" s="16" t="str">
        <f>IFERROR(__xludf.DUMMYFUNCTION("""COMPUTED_VALUE"""),"Lenguajes Formales")</f>
        <v>Lenguajes Formales</v>
      </c>
      <c r="C31" s="18"/>
      <c r="D31" s="16" t="str">
        <f>IFERROR(__xludf.DUMMYFUNCTION("""COMPUTED_VALUE"""),"Procesadores de Lenguaje")</f>
        <v>Procesadores de Lenguaje</v>
      </c>
      <c r="E31" s="18"/>
      <c r="F31" s="16" t="str">
        <f>IFERROR(__xludf.DUMMYFUNCTION("""COMPUTED_VALUE"""),"Diferencias y Ejemplos")</f>
        <v>Diferencias y Ejemplos</v>
      </c>
      <c r="G31" s="17"/>
      <c r="H31" s="18"/>
    </row>
    <row r="32" ht="15.75" customHeight="1">
      <c r="A32" s="19">
        <v>5.0</v>
      </c>
      <c r="B32" s="16" t="str">
        <f>IFERROR(__xludf.DUMMYFUNCTION("""COMPUTED_VALUE"""),"Lenguajes Formales")</f>
        <v>Lenguajes Formales</v>
      </c>
      <c r="C32" s="18"/>
      <c r="D32" s="16" t="str">
        <f>IFERROR(__xludf.DUMMYFUNCTION("""COMPUTED_VALUE"""),"Procesadores de Lenguaje")</f>
        <v>Procesadores de Lenguaje</v>
      </c>
      <c r="E32" s="18"/>
      <c r="F32" s="16" t="str">
        <f>IFERROR(__xludf.DUMMYFUNCTION("""COMPUTED_VALUE"""),"Herramientas")</f>
        <v>Herramientas</v>
      </c>
      <c r="G32" s="17"/>
      <c r="H32" s="18"/>
    </row>
    <row r="33" ht="15.75" customHeight="1">
      <c r="A33" s="19">
        <v>6.0</v>
      </c>
      <c r="B33" s="16" t="str">
        <f>IFERROR(__xludf.DUMMYFUNCTION("""COMPUTED_VALUE"""),"Lenguajes Formales")</f>
        <v>Lenguajes Formales</v>
      </c>
      <c r="C33" s="18"/>
      <c r="D33" s="16" t="str">
        <f>IFERROR(__xludf.DUMMYFUNCTION("""COMPUTED_VALUE"""),"Procesadores de Lenguaje")</f>
        <v>Procesadores de Lenguaje</v>
      </c>
      <c r="E33" s="18"/>
      <c r="F33" s="16" t="str">
        <f>IFERROR(__xludf.DUMMYFUNCTION("""COMPUTED_VALUE"""),"Jerarquia de Chosmky")</f>
        <v>Jerarquia de Chosmky</v>
      </c>
      <c r="G33" s="17"/>
      <c r="H33" s="18"/>
    </row>
    <row r="34" ht="15.75" customHeight="1">
      <c r="A34" s="19">
        <v>7.0</v>
      </c>
      <c r="B34" s="16" t="str">
        <f>IFERROR(__xludf.DUMMYFUNCTION("""COMPUTED_VALUE"""),"Lenguajes Formales")</f>
        <v>Lenguajes Formales</v>
      </c>
      <c r="C34" s="18"/>
      <c r="D34" s="16" t="str">
        <f>IFERROR(__xludf.DUMMYFUNCTION("""COMPUTED_VALUE"""),"Procesadores de Lenguaje")</f>
        <v>Procesadores de Lenguaje</v>
      </c>
      <c r="E34" s="18"/>
      <c r="F34" s="16" t="str">
        <f>IFERROR(__xludf.DUMMYFUNCTION("""COMPUTED_VALUE"""),"Clasificacion de Gramaticas")</f>
        <v>Clasificacion de Gramaticas</v>
      </c>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60" t="s">
        <v>181</v>
      </c>
      <c r="D38" s="61" t="s">
        <v>120</v>
      </c>
      <c r="E38" s="17"/>
      <c r="F38" s="17"/>
      <c r="G38" s="17"/>
      <c r="H38" s="18"/>
    </row>
    <row r="39" ht="15.75" customHeight="1">
      <c r="A39" s="19" t="s">
        <v>182</v>
      </c>
      <c r="B39" s="19" t="s">
        <v>183</v>
      </c>
      <c r="C39" s="62" t="s">
        <v>224</v>
      </c>
      <c r="D39" s="20" t="s">
        <v>215</v>
      </c>
      <c r="E39" s="17"/>
      <c r="F39" s="17"/>
      <c r="G39" s="17"/>
      <c r="H39" s="18"/>
    </row>
    <row r="40" ht="15.75" customHeight="1">
      <c r="A40" s="19" t="s">
        <v>184</v>
      </c>
      <c r="B40" s="19" t="s">
        <v>183</v>
      </c>
      <c r="C40" s="62" t="s">
        <v>216</v>
      </c>
      <c r="D40" s="20" t="s">
        <v>217</v>
      </c>
      <c r="E40" s="17"/>
      <c r="F40" s="17"/>
      <c r="G40" s="17"/>
      <c r="H40" s="18"/>
    </row>
    <row r="41" ht="15.75" customHeight="1">
      <c r="A41" s="19" t="s">
        <v>186</v>
      </c>
      <c r="B41" s="19" t="s">
        <v>187</v>
      </c>
      <c r="C41" s="62" t="s">
        <v>218</v>
      </c>
      <c r="D41" s="20" t="s">
        <v>219</v>
      </c>
      <c r="E41" s="17"/>
      <c r="F41" s="17"/>
      <c r="G41" s="17"/>
      <c r="H41" s="18"/>
    </row>
    <row r="42" ht="15.75" customHeight="1">
      <c r="A42" s="19" t="s">
        <v>188</v>
      </c>
      <c r="B42" s="19" t="s">
        <v>183</v>
      </c>
      <c r="C42" s="62"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c r="A47" s="29" t="s">
        <v>192</v>
      </c>
      <c r="B47" s="53" t="s">
        <v>48</v>
      </c>
      <c r="C47" s="17"/>
      <c r="D47" s="17"/>
      <c r="E47" s="17"/>
      <c r="F47" s="17"/>
      <c r="G47" s="17"/>
      <c r="H47" s="18"/>
    </row>
    <row r="48" ht="15.75" customHeight="1">
      <c r="A48" s="29" t="s">
        <v>193</v>
      </c>
      <c r="B48" s="20" t="s">
        <v>229</v>
      </c>
      <c r="C48" s="17"/>
      <c r="D48" s="17"/>
      <c r="E48" s="17"/>
      <c r="F48" s="17"/>
      <c r="G48" s="17"/>
      <c r="H48" s="18"/>
    </row>
    <row r="49" ht="15.75" customHeight="1">
      <c r="A49" s="29" t="s">
        <v>160</v>
      </c>
      <c r="B49" s="69">
        <v>0.0</v>
      </c>
      <c r="C49" s="17"/>
      <c r="D49" s="17"/>
      <c r="E49" s="17"/>
      <c r="F49" s="17"/>
      <c r="G49" s="17"/>
      <c r="H49" s="18"/>
    </row>
    <row r="50" ht="15.75" customHeight="1">
      <c r="A50" s="29" t="s">
        <v>120</v>
      </c>
      <c r="B50" s="20" t="s">
        <v>215</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2" t="s">
        <v>230</v>
      </c>
      <c r="B53" s="48"/>
      <c r="C53" s="48"/>
      <c r="D53" s="48"/>
      <c r="E53" s="48"/>
      <c r="F53" s="48"/>
      <c r="G53" s="48"/>
      <c r="H53" s="49"/>
    </row>
    <row r="54" ht="15.75" customHeight="1">
      <c r="A54" s="65"/>
      <c r="H54" s="66"/>
    </row>
    <row r="55" ht="15.75" customHeight="1">
      <c r="A55" s="50"/>
      <c r="B55" s="51"/>
      <c r="C55" s="51"/>
      <c r="D55" s="51"/>
      <c r="E55" s="51"/>
      <c r="F55" s="51"/>
      <c r="G55" s="51"/>
      <c r="H55" s="52"/>
    </row>
    <row r="56" ht="15.75" customHeight="1"/>
    <row r="57" ht="15.75" customHeight="1">
      <c r="A57" s="24" t="s">
        <v>198</v>
      </c>
    </row>
    <row r="58">
      <c r="A58" s="29" t="s">
        <v>192</v>
      </c>
      <c r="B58" s="76"/>
      <c r="C58" s="17"/>
      <c r="D58" s="17"/>
      <c r="E58" s="17"/>
      <c r="F58" s="17"/>
      <c r="G58" s="17"/>
      <c r="H58" s="18"/>
    </row>
    <row r="59" ht="15.75" customHeight="1">
      <c r="A59" s="29" t="s">
        <v>193</v>
      </c>
      <c r="B59" s="16"/>
      <c r="C59" s="17"/>
      <c r="D59" s="17"/>
      <c r="E59" s="17"/>
      <c r="F59" s="17"/>
      <c r="G59" s="17"/>
      <c r="H59" s="18"/>
    </row>
    <row r="60" ht="15.75" customHeight="1">
      <c r="A60" s="29" t="s">
        <v>160</v>
      </c>
      <c r="B60" s="63"/>
      <c r="C60" s="17"/>
      <c r="D60" s="17"/>
      <c r="E60" s="17"/>
      <c r="F60" s="17"/>
      <c r="G60" s="17"/>
      <c r="H60" s="18"/>
    </row>
    <row r="61" ht="15.75" customHeight="1">
      <c r="A61" s="29" t="s">
        <v>120</v>
      </c>
      <c r="B61" s="63"/>
      <c r="C61" s="17"/>
      <c r="D61" s="17"/>
      <c r="E61" s="17"/>
      <c r="F61" s="17"/>
      <c r="G61" s="17"/>
      <c r="H61" s="18"/>
    </row>
    <row r="62" ht="15.75" customHeight="1">
      <c r="A62" s="67" t="s">
        <v>199</v>
      </c>
      <c r="B62" s="5"/>
      <c r="C62" s="5"/>
      <c r="D62" s="5"/>
      <c r="E62" s="5"/>
      <c r="F62" s="5"/>
      <c r="G62" s="5"/>
      <c r="H62" s="5"/>
    </row>
    <row r="63" ht="15.75" customHeight="1">
      <c r="A63" s="46" t="s">
        <v>196</v>
      </c>
      <c r="B63" s="17"/>
      <c r="C63" s="17"/>
      <c r="D63" s="17"/>
      <c r="E63" s="17"/>
      <c r="F63" s="17"/>
      <c r="G63" s="17"/>
      <c r="H63" s="18"/>
    </row>
    <row r="64" ht="15.75" customHeight="1">
      <c r="A64" s="77"/>
      <c r="B64" s="48"/>
      <c r="C64" s="48"/>
      <c r="D64" s="48"/>
      <c r="E64" s="48"/>
      <c r="F64" s="48"/>
      <c r="G64" s="48"/>
      <c r="H64" s="49"/>
    </row>
    <row r="65" ht="15.75" customHeight="1">
      <c r="A65" s="65"/>
      <c r="H65" s="66"/>
    </row>
    <row r="66" ht="15.75" customHeight="1">
      <c r="A66" s="50"/>
      <c r="B66" s="51"/>
      <c r="C66" s="51"/>
      <c r="D66" s="51"/>
      <c r="E66" s="51"/>
      <c r="F66" s="51"/>
      <c r="G66" s="51"/>
      <c r="H66" s="52"/>
    </row>
    <row r="67" ht="15.75" customHeight="1"/>
    <row r="68" ht="15.75" customHeight="1">
      <c r="A68" s="44" t="s">
        <v>200</v>
      </c>
      <c r="G68" s="34" t="s">
        <v>120</v>
      </c>
      <c r="H68" s="45">
        <v>2.0</v>
      </c>
    </row>
    <row r="69" ht="15.75" customHeight="1">
      <c r="G69" s="24" t="s">
        <v>201</v>
      </c>
    </row>
    <row r="70" ht="15.75" customHeight="1">
      <c r="A70" s="29" t="s">
        <v>120</v>
      </c>
      <c r="B70" s="69" t="s">
        <v>211</v>
      </c>
      <c r="C70" s="17"/>
      <c r="D70" s="17"/>
      <c r="E70" s="17"/>
      <c r="F70" s="17"/>
      <c r="G70" s="17"/>
      <c r="H70" s="18"/>
    </row>
    <row r="71" ht="15.75" customHeight="1">
      <c r="A71" s="61" t="s">
        <v>202</v>
      </c>
      <c r="B71" s="17"/>
      <c r="C71" s="17"/>
      <c r="D71" s="17"/>
      <c r="E71" s="17"/>
      <c r="F71" s="17"/>
      <c r="G71" s="17"/>
      <c r="H71" s="18"/>
    </row>
    <row r="72" ht="15.75" customHeight="1">
      <c r="A72" s="77"/>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7.0</v>
      </c>
      <c r="D5" s="17"/>
      <c r="E5" s="17"/>
      <c r="F5" s="17"/>
      <c r="G5" s="18"/>
    </row>
    <row r="6" ht="15.75" customHeight="1">
      <c r="B6" s="43" t="s">
        <v>118</v>
      </c>
      <c r="C6" s="16">
        <f>H10+H21+H50+H74</f>
        <v>105</v>
      </c>
      <c r="D6" s="17"/>
      <c r="E6" s="17"/>
      <c r="F6" s="17"/>
      <c r="G6" s="18"/>
      <c r="I6" s="5"/>
    </row>
    <row r="7" ht="15.75" customHeight="1">
      <c r="B7" s="43" t="s">
        <v>160</v>
      </c>
      <c r="C7" s="16">
        <f>B55+B66</f>
        <v>2</v>
      </c>
      <c r="D7" s="17"/>
      <c r="E7" s="17"/>
      <c r="F7" s="17"/>
      <c r="G7" s="18"/>
    </row>
    <row r="8" ht="15.75" customHeight="1">
      <c r="B8" s="43" t="s">
        <v>161</v>
      </c>
      <c r="C8" s="16" t="str">
        <f>IF(H50&lt;=0, "❌ ERROR: La Actividad 1 debe tener un tiempo mayor a 0.", IF(H21&gt;60, "❌ ERROR: El 'Área de Conocimiento' no puede exceder los 60 min.", IF((H10+H21+H50)&lt;100,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231</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78" t="s">
        <v>232</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8" t="s">
        <v>233</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33</v>
      </c>
      <c r="C23" s="17"/>
      <c r="D23" s="17"/>
      <c r="E23" s="17"/>
      <c r="F23" s="17"/>
      <c r="G23" s="17"/>
      <c r="H23" s="18"/>
    </row>
    <row r="24" ht="15.75" customHeight="1">
      <c r="A24" s="29" t="s">
        <v>172</v>
      </c>
      <c r="B24" s="20" t="s">
        <v>48</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IFERROR(__xludf.DUMMYFUNCTION("FILTER('Diseño'!E:E,'Diseño'!H:H=$C$5)"),"Definicion y Funcion del analizador lexico")</f>
        <v>Definicion y Funcion del analizador lexico</v>
      </c>
      <c r="E28" s="18"/>
      <c r="F28" s="16" t="str">
        <f>IFERROR(__xludf.DUMMYFUNCTION("FILTER('Diseño'!F:F,'Diseño'!H:H=$C$5)"),"Patrones")</f>
        <v>Patrones</v>
      </c>
      <c r="G28" s="17"/>
      <c r="H28" s="18"/>
    </row>
    <row r="29" ht="15.75" customHeight="1">
      <c r="A29" s="19">
        <v>2.0</v>
      </c>
      <c r="B29" s="16" t="str">
        <f>IFERROR(__xludf.DUMMYFUNCTION("""COMPUTED_VALUE"""),"Analisis Lexico")</f>
        <v>Analisis Lexico</v>
      </c>
      <c r="C29" s="18"/>
      <c r="D29" s="16" t="str">
        <f>IFERROR(__xludf.DUMMYFUNCTION("""COMPUTED_VALUE"""),"Definicion y Funcion del analizador lexico")</f>
        <v>Definicion y Funcion del analizador lexico</v>
      </c>
      <c r="E29" s="18"/>
      <c r="F29" s="16" t="str">
        <f>IFERROR(__xludf.DUMMYFUNCTION("""COMPUTED_VALUE"""),"Tokens")</f>
        <v>Tokens</v>
      </c>
      <c r="G29" s="17"/>
      <c r="H29" s="18"/>
    </row>
    <row r="30" ht="15.75" customHeight="1">
      <c r="A30" s="19">
        <v>3.0</v>
      </c>
      <c r="B30" s="16" t="str">
        <f>IFERROR(__xludf.DUMMYFUNCTION("""COMPUTED_VALUE"""),"Analisis Lexico")</f>
        <v>Analisis Lexico</v>
      </c>
      <c r="C30" s="18"/>
      <c r="D30" s="16" t="str">
        <f>IFERROR(__xludf.DUMMYFUNCTION("""COMPUTED_VALUE"""),"Definicion y Funcion del analizador lexico")</f>
        <v>Definicion y Funcion del analizador lexico</v>
      </c>
      <c r="E30" s="18"/>
      <c r="F30" s="16" t="str">
        <f>IFERROR(__xludf.DUMMYFUNCTION("""COMPUTED_VALUE"""),"Lexemas")</f>
        <v>Lexemas</v>
      </c>
      <c r="G30" s="17"/>
      <c r="H30" s="18"/>
    </row>
    <row r="31" ht="15.75" customHeight="1">
      <c r="A31" s="19">
        <v>4.0</v>
      </c>
      <c r="B31" s="16" t="str">
        <f>IFERROR(__xludf.DUMMYFUNCTION("""COMPUTED_VALUE"""),"Analisis Lexico")</f>
        <v>Analisis Lexico</v>
      </c>
      <c r="C31" s="18"/>
      <c r="D31" s="16" t="str">
        <f>IFERROR(__xludf.DUMMYFUNCTION("""COMPUTED_VALUE"""),"Definicion y Funcion del analizador lexico")</f>
        <v>Definicion y Funcion del analizador lexico</v>
      </c>
      <c r="E31" s="18"/>
      <c r="F31" s="16" t="str">
        <f>IFERROR(__xludf.DUMMYFUNCTION("""COMPUTED_VALUE"""),"Errores Lexicos")</f>
        <v>Errores Lexicos</v>
      </c>
      <c r="G31" s="17"/>
      <c r="H31" s="18"/>
    </row>
    <row r="32" ht="15.75" customHeight="1">
      <c r="A32" s="19">
        <v>5.0</v>
      </c>
      <c r="B32" s="16" t="str">
        <f>IFERROR(__xludf.DUMMYFUNCTION("""COMPUTED_VALUE"""),"Analisis Lexico")</f>
        <v>Analisis Lexico</v>
      </c>
      <c r="C32" s="18"/>
      <c r="D32" s="16" t="str">
        <f>IFERROR(__xludf.DUMMYFUNCTION("""COMPUTED_VALUE"""),"Definicion y Funcion del analizador lexico")</f>
        <v>Definicion y Funcion del analizador lexico</v>
      </c>
      <c r="E32" s="18"/>
      <c r="F32" s="16" t="str">
        <f>IFERROR(__xludf.DUMMYFUNCTION("""COMPUTED_VALUE"""),"Ejemplos de tokens en diferentes lenguajes")</f>
        <v>Ejemplos de tokens en diferentes lenguajes</v>
      </c>
      <c r="G32" s="17"/>
      <c r="H32" s="18"/>
    </row>
    <row r="33" ht="15.75" customHeight="1">
      <c r="A33" s="19">
        <v>6.0</v>
      </c>
      <c r="B33" s="16" t="str">
        <f>IFERROR(__xludf.DUMMYFUNCTION("""COMPUTED_VALUE"""),"Analisis Lexico")</f>
        <v>Analisis Lexico</v>
      </c>
      <c r="C33" s="18"/>
      <c r="D33" s="16" t="str">
        <f>IFERROR(__xludf.DUMMYFUNCTION("""COMPUTED_VALUE"""),"Operaciones Entre Lenguajes y Expresiones regulares")</f>
        <v>Operaciones Entre Lenguajes y Expresiones regulares</v>
      </c>
      <c r="E33" s="18"/>
      <c r="F33" s="16" t="str">
        <f>IFERROR(__xludf.DUMMYFUNCTION("""COMPUTED_VALUE"""),"Interoperabilidad entre Lenguajes")</f>
        <v>Interoperabilidad entre Lenguajes</v>
      </c>
      <c r="G33" s="17"/>
      <c r="H33" s="18"/>
    </row>
    <row r="34" ht="15.75" customHeight="1">
      <c r="A34" s="19">
        <v>7.0</v>
      </c>
      <c r="B34" s="16" t="str">
        <f>IFERROR(__xludf.DUMMYFUNCTION("""COMPUTED_VALUE"""),"Analisis Lexico")</f>
        <v>Analisis Lexico</v>
      </c>
      <c r="C34" s="18"/>
      <c r="D34" s="16" t="str">
        <f>IFERROR(__xludf.DUMMYFUNCTION("""COMPUTED_VALUE"""),"Operaciones Entre Lenguajes y Expresiones regulares")</f>
        <v>Operaciones Entre Lenguajes y Expresiones regulares</v>
      </c>
      <c r="E34" s="18"/>
      <c r="F34" s="16" t="str">
        <f>IFERROR(__xludf.DUMMYFUNCTION("""COMPUTED_VALUE"""),"Concepto de interoperabilidad")</f>
        <v>Concepto de interoperabilidad</v>
      </c>
      <c r="G34" s="17"/>
      <c r="H34" s="18"/>
    </row>
    <row r="35" ht="15.75" customHeight="1">
      <c r="A35" s="19">
        <v>8.0</v>
      </c>
      <c r="B35" s="16" t="str">
        <f>IFERROR(__xludf.DUMMYFUNCTION("""COMPUTED_VALUE"""),"Analisis Lexico")</f>
        <v>Analisis Lexico</v>
      </c>
      <c r="C35" s="18"/>
      <c r="D35" s="16" t="str">
        <f>IFERROR(__xludf.DUMMYFUNCTION("""COMPUTED_VALUE"""),"Operaciones Entre Lenguajes y Expresiones regulares")</f>
        <v>Operaciones Entre Lenguajes y Expresiones regulares</v>
      </c>
      <c r="E35" s="18"/>
      <c r="F35" s="16" t="str">
        <f>IFERROR(__xludf.DUMMYFUNCTION("""COMPUTED_VALUE"""),"Traducción y Compilación:Proceso de traducción de un lenguaje a otro")</f>
        <v>Traducción y Compilación:Proceso de traducción de un lenguaje a otro</v>
      </c>
      <c r="G35" s="17"/>
      <c r="H35" s="18"/>
    </row>
    <row r="36" ht="15.75" customHeight="1">
      <c r="A36" s="19">
        <v>9.0</v>
      </c>
      <c r="B36" s="16" t="str">
        <f>IFERROR(__xludf.DUMMYFUNCTION("""COMPUTED_VALUE"""),"Analisis Lexico")</f>
        <v>Analisis Lexico</v>
      </c>
      <c r="C36" s="18"/>
      <c r="D36" s="16" t="str">
        <f>IFERROR(__xludf.DUMMYFUNCTION("""COMPUTED_VALUE"""),"Operaciones Entre Lenguajes y Expresiones regulares")</f>
        <v>Operaciones Entre Lenguajes y Expresiones regulares</v>
      </c>
      <c r="E36" s="18"/>
      <c r="F36" s="16" t="str">
        <f>IFERROR(__xludf.DUMMYFUNCTION("""COMPUTED_VALUE"""),"Buenas Prácticas en Interoperabilidad")</f>
        <v>Buenas Prácticas en Interoperabilidad</v>
      </c>
      <c r="G36" s="17"/>
      <c r="H36" s="18"/>
    </row>
    <row r="37" ht="15.75" customHeight="1">
      <c r="A37" s="19">
        <v>10.0</v>
      </c>
      <c r="B37" s="16" t="str">
        <f>IFERROR(__xludf.DUMMYFUNCTION("""COMPUTED_VALUE"""),"Analisis Lexico")</f>
        <v>Analisis Lexico</v>
      </c>
      <c r="C37" s="18"/>
      <c r="D37" s="16" t="str">
        <f>IFERROR(__xludf.DUMMYFUNCTION("""COMPUTED_VALUE"""),"Operaciones Entre Lenguajes y Expresiones regulares")</f>
        <v>Operaciones Entre Lenguajes y Expresiones regulares</v>
      </c>
      <c r="E37" s="18"/>
      <c r="F37" s="16" t="str">
        <f>IFERROR(__xludf.DUMMYFUNCTION("""COMPUTED_VALUE"""),"¿Qué son las expresiones regulares?")</f>
        <v>¿Qué son las expresiones regulares?</v>
      </c>
      <c r="G37" s="17"/>
      <c r="H37" s="18"/>
    </row>
    <row r="38" ht="15.75" customHeight="1">
      <c r="A38" s="19">
        <v>11.0</v>
      </c>
      <c r="B38" s="16" t="str">
        <f>IFERROR(__xludf.DUMMYFUNCTION("""COMPUTED_VALUE"""),"Analisis Lexico")</f>
        <v>Analisis Lexico</v>
      </c>
      <c r="C38" s="18"/>
      <c r="D38" s="16" t="str">
        <f>IFERROR(__xludf.DUMMYFUNCTION("""COMPUTED_VALUE"""),"Operaciones Entre Lenguajes y Expresiones regulares")</f>
        <v>Operaciones Entre Lenguajes y Expresiones regulares</v>
      </c>
      <c r="E38" s="18"/>
      <c r="F38" s="16" t="str">
        <f>IFERROR(__xludf.DUMMYFUNCTION("""COMPUTED_VALUE"""),"Aplicaciones de Expresiones Regulares en Análisis Léxico")</f>
        <v>Aplicaciones de Expresiones Regulares en Análisis Léxico</v>
      </c>
      <c r="G38" s="17"/>
      <c r="H38" s="18"/>
    </row>
    <row r="39" ht="15.75" customHeight="1">
      <c r="A39" s="19">
        <v>12.0</v>
      </c>
      <c r="B39" s="16" t="str">
        <f>IFERROR(__xludf.DUMMYFUNCTION("""COMPUTED_VALUE"""),"Analisis Lexico")</f>
        <v>Analisis Lexico</v>
      </c>
      <c r="C39" s="18"/>
      <c r="D39" s="16" t="str">
        <f>IFERROR(__xludf.DUMMYFUNCTION("""COMPUTED_VALUE"""),"Operaciones Entre Lenguajes y Expresiones regulares")</f>
        <v>Operaciones Entre Lenguajes y Expresiones regulares</v>
      </c>
      <c r="E39" s="18"/>
      <c r="F39" s="16" t="str">
        <f>IFERROR(__xludf.DUMMYFUNCTION("""COMPUTED_VALUE"""),"Diagrama de transición de estados")</f>
        <v>Diagrama de transición de estados</v>
      </c>
      <c r="G39" s="17"/>
      <c r="H39" s="18"/>
    </row>
    <row r="40" ht="15.75" customHeight="1">
      <c r="A40" s="19">
        <v>13.0</v>
      </c>
      <c r="B40" s="16" t="str">
        <f>IFERROR(__xludf.DUMMYFUNCTION("""COMPUTED_VALUE"""),"Analisis Lexico")</f>
        <v>Analisis Lexico</v>
      </c>
      <c r="C40" s="18"/>
      <c r="D40" s="16" t="str">
        <f>IFERROR(__xludf.DUMMYFUNCTION("""COMPUTED_VALUE"""),"Operaciones Entre Lenguajes y Expresiones regulares")</f>
        <v>Operaciones Entre Lenguajes y Expresiones regulares</v>
      </c>
      <c r="E40" s="18"/>
      <c r="F40" s="16" t="str">
        <f>IFERROR(__xludf.DUMMYFUNCTION("""COMPUTED_VALUE"""),"Tablas de Transicion")</f>
        <v>Tablas de Transicion</v>
      </c>
      <c r="G40" s="17"/>
      <c r="H40" s="18"/>
    </row>
    <row r="41" ht="15.75" customHeight="1"/>
    <row r="42" ht="15.75" customHeight="1">
      <c r="A42" s="54" t="s">
        <v>178</v>
      </c>
    </row>
    <row r="43" ht="15.75" customHeight="1">
      <c r="A43" s="5"/>
      <c r="B43" s="5"/>
      <c r="C43" s="5"/>
      <c r="D43" s="5"/>
      <c r="E43" s="5"/>
      <c r="F43" s="5"/>
      <c r="G43" s="5"/>
      <c r="H43" s="5"/>
    </row>
    <row r="44" ht="15.75" customHeight="1">
      <c r="A44" s="55" t="s">
        <v>179</v>
      </c>
      <c r="B44" s="55" t="s">
        <v>180</v>
      </c>
      <c r="C44" s="60" t="s">
        <v>181</v>
      </c>
      <c r="D44" s="61" t="s">
        <v>120</v>
      </c>
      <c r="E44" s="17"/>
      <c r="F44" s="17"/>
      <c r="G44" s="17"/>
      <c r="H44" s="18"/>
    </row>
    <row r="45" ht="15.75" customHeight="1">
      <c r="A45" s="19" t="s">
        <v>182</v>
      </c>
      <c r="B45" s="19" t="s">
        <v>183</v>
      </c>
      <c r="C45" s="62" t="s">
        <v>224</v>
      </c>
      <c r="D45" s="20" t="s">
        <v>215</v>
      </c>
      <c r="E45" s="17"/>
      <c r="F45" s="17"/>
      <c r="G45" s="17"/>
      <c r="H45" s="18"/>
    </row>
    <row r="46" ht="15.75" customHeight="1">
      <c r="A46" s="19" t="s">
        <v>184</v>
      </c>
      <c r="B46" s="19" t="s">
        <v>183</v>
      </c>
      <c r="C46" s="62" t="s">
        <v>216</v>
      </c>
      <c r="D46" s="20" t="s">
        <v>217</v>
      </c>
      <c r="E46" s="17"/>
      <c r="F46" s="17"/>
      <c r="G46" s="17"/>
      <c r="H46" s="18"/>
    </row>
    <row r="47" ht="15.75" customHeight="1">
      <c r="A47" s="19" t="s">
        <v>186</v>
      </c>
      <c r="B47" s="19" t="s">
        <v>187</v>
      </c>
      <c r="C47" s="62" t="s">
        <v>218</v>
      </c>
      <c r="D47" s="20" t="s">
        <v>219</v>
      </c>
      <c r="E47" s="17"/>
      <c r="F47" s="17"/>
      <c r="G47" s="17"/>
      <c r="H47" s="18"/>
    </row>
    <row r="48" ht="15.75" customHeight="1">
      <c r="A48" s="19" t="s">
        <v>188</v>
      </c>
      <c r="B48" s="19" t="s">
        <v>183</v>
      </c>
      <c r="C48" s="62" t="s">
        <v>216</v>
      </c>
      <c r="D48" s="20" t="s">
        <v>217</v>
      </c>
      <c r="E48" s="17"/>
      <c r="F48" s="17"/>
      <c r="G48" s="17"/>
      <c r="H48" s="18"/>
    </row>
    <row r="49" ht="15.75" customHeight="1"/>
    <row r="50" ht="15.75" customHeight="1">
      <c r="A50" s="44" t="s">
        <v>189</v>
      </c>
      <c r="G50" s="34" t="s">
        <v>120</v>
      </c>
      <c r="H50" s="45">
        <v>40.0</v>
      </c>
    </row>
    <row r="51" ht="15.75" customHeight="1">
      <c r="G51" s="24" t="s">
        <v>190</v>
      </c>
    </row>
    <row r="52" ht="15.75" customHeight="1">
      <c r="A52" s="24" t="s">
        <v>191</v>
      </c>
    </row>
    <row r="53" ht="15.75" customHeight="1">
      <c r="A53" s="29" t="s">
        <v>192</v>
      </c>
      <c r="B53" s="20" t="s">
        <v>48</v>
      </c>
      <c r="C53" s="17"/>
      <c r="D53" s="17"/>
      <c r="E53" s="17"/>
      <c r="F53" s="17"/>
      <c r="G53" s="17"/>
      <c r="H53" s="18"/>
    </row>
    <row r="54" ht="15.75" customHeight="1">
      <c r="A54" s="29" t="s">
        <v>193</v>
      </c>
      <c r="B54" s="20" t="s">
        <v>229</v>
      </c>
      <c r="C54" s="17"/>
      <c r="D54" s="17"/>
      <c r="E54" s="17"/>
      <c r="F54" s="17"/>
      <c r="G54" s="17"/>
      <c r="H54" s="18"/>
    </row>
    <row r="55" ht="15.75" customHeight="1">
      <c r="A55" s="29" t="s">
        <v>160</v>
      </c>
      <c r="B55" s="69">
        <v>2.0</v>
      </c>
      <c r="C55" s="17"/>
      <c r="D55" s="17"/>
      <c r="E55" s="17"/>
      <c r="F55" s="17"/>
      <c r="G55" s="17"/>
      <c r="H55" s="18"/>
    </row>
    <row r="56" ht="15.75" customHeight="1">
      <c r="A56" s="29" t="s">
        <v>120</v>
      </c>
      <c r="B56" s="20" t="s">
        <v>234</v>
      </c>
      <c r="C56" s="17"/>
      <c r="D56" s="17"/>
      <c r="E56" s="17"/>
      <c r="F56" s="17"/>
      <c r="G56" s="17"/>
      <c r="H56" s="18"/>
    </row>
    <row r="57" ht="15.75" customHeight="1">
      <c r="A57" s="38" t="s">
        <v>195</v>
      </c>
      <c r="B57" s="5"/>
      <c r="C57" s="5"/>
      <c r="D57" s="5"/>
      <c r="E57" s="5"/>
      <c r="F57" s="5"/>
      <c r="G57" s="5"/>
      <c r="H57" s="5"/>
    </row>
    <row r="58" ht="15.75" customHeight="1">
      <c r="A58" s="46" t="s">
        <v>196</v>
      </c>
      <c r="B58" s="17"/>
      <c r="C58" s="17"/>
      <c r="D58" s="17"/>
      <c r="E58" s="17"/>
      <c r="F58" s="17"/>
      <c r="G58" s="17"/>
      <c r="H58" s="18"/>
    </row>
    <row r="59" ht="15.75" customHeight="1">
      <c r="A59" s="79" t="s">
        <v>235</v>
      </c>
      <c r="B59" s="48"/>
      <c r="C59" s="48"/>
      <c r="D59" s="48"/>
      <c r="E59" s="48"/>
      <c r="F59" s="48"/>
      <c r="G59" s="48"/>
      <c r="H59" s="49"/>
    </row>
    <row r="60" ht="15.75" customHeight="1">
      <c r="A60" s="65"/>
      <c r="H60" s="66"/>
    </row>
    <row r="61" ht="15.75" customHeight="1">
      <c r="A61" s="50"/>
      <c r="B61" s="51"/>
      <c r="C61" s="51"/>
      <c r="D61" s="51"/>
      <c r="E61" s="51"/>
      <c r="F61" s="51"/>
      <c r="G61" s="51"/>
      <c r="H61" s="52"/>
    </row>
    <row r="62" ht="15.75" customHeight="1"/>
    <row r="63" ht="15.75" customHeight="1">
      <c r="A63" s="24" t="s">
        <v>198</v>
      </c>
    </row>
    <row r="64" ht="15.75" customHeight="1">
      <c r="A64" s="29" t="s">
        <v>192</v>
      </c>
      <c r="B64" s="16"/>
      <c r="C64" s="17"/>
      <c r="D64" s="17"/>
      <c r="E64" s="17"/>
      <c r="F64" s="17"/>
      <c r="G64" s="17"/>
      <c r="H64" s="18"/>
    </row>
    <row r="65" ht="15.75" customHeight="1">
      <c r="A65" s="29" t="s">
        <v>193</v>
      </c>
      <c r="B65" s="16"/>
      <c r="C65" s="17"/>
      <c r="D65" s="17"/>
      <c r="E65" s="17"/>
      <c r="F65" s="17"/>
      <c r="G65" s="17"/>
      <c r="H65" s="18"/>
    </row>
    <row r="66" ht="15.75" customHeight="1">
      <c r="A66" s="29" t="s">
        <v>160</v>
      </c>
      <c r="B66" s="63"/>
      <c r="C66" s="17"/>
      <c r="D66" s="17"/>
      <c r="E66" s="17"/>
      <c r="F66" s="17"/>
      <c r="G66" s="17"/>
      <c r="H66" s="18"/>
    </row>
    <row r="67" ht="15.75" customHeight="1">
      <c r="A67" s="29" t="s">
        <v>120</v>
      </c>
      <c r="B67" s="63"/>
      <c r="C67" s="17"/>
      <c r="D67" s="17"/>
      <c r="E67" s="17"/>
      <c r="F67" s="17"/>
      <c r="G67" s="17"/>
      <c r="H67" s="18"/>
    </row>
    <row r="68" ht="15.75" customHeight="1">
      <c r="A68" s="67" t="s">
        <v>199</v>
      </c>
      <c r="B68" s="5"/>
      <c r="C68" s="5"/>
      <c r="D68" s="5"/>
      <c r="E68" s="5"/>
      <c r="F68" s="5"/>
      <c r="G68" s="5"/>
      <c r="H68" s="5"/>
    </row>
    <row r="69" ht="15.75" customHeight="1">
      <c r="A69" s="46" t="s">
        <v>196</v>
      </c>
      <c r="B69" s="17"/>
      <c r="C69" s="17"/>
      <c r="D69" s="17"/>
      <c r="E69" s="17"/>
      <c r="F69" s="17"/>
      <c r="G69" s="17"/>
      <c r="H69" s="18"/>
    </row>
    <row r="70" ht="15.75" customHeight="1">
      <c r="A70" s="68"/>
      <c r="B70" s="48"/>
      <c r="C70" s="48"/>
      <c r="D70" s="48"/>
      <c r="E70" s="48"/>
      <c r="F70" s="48"/>
      <c r="G70" s="48"/>
      <c r="H70" s="49"/>
    </row>
    <row r="71" ht="15.75" customHeight="1">
      <c r="A71" s="65"/>
      <c r="H71" s="66"/>
    </row>
    <row r="72" ht="15.75" customHeight="1">
      <c r="A72" s="50"/>
      <c r="B72" s="51"/>
      <c r="C72" s="51"/>
      <c r="D72" s="51"/>
      <c r="E72" s="51"/>
      <c r="F72" s="51"/>
      <c r="G72" s="51"/>
      <c r="H72" s="52"/>
    </row>
    <row r="73" ht="15.75" customHeight="1"/>
    <row r="74" ht="15.75" customHeight="1">
      <c r="A74" s="44" t="s">
        <v>200</v>
      </c>
      <c r="G74" s="34" t="s">
        <v>120</v>
      </c>
      <c r="H74" s="45">
        <v>0.0</v>
      </c>
    </row>
    <row r="75" ht="15.75" customHeight="1">
      <c r="G75" s="24" t="s">
        <v>201</v>
      </c>
    </row>
    <row r="76" ht="15.75" customHeight="1">
      <c r="A76" s="29" t="s">
        <v>120</v>
      </c>
      <c r="B76" s="63"/>
      <c r="C76" s="17"/>
      <c r="D76" s="17"/>
      <c r="E76" s="17"/>
      <c r="F76" s="17"/>
      <c r="G76" s="17"/>
      <c r="H76" s="18"/>
    </row>
    <row r="77" ht="15.75" customHeight="1">
      <c r="A77" s="61" t="s">
        <v>202</v>
      </c>
      <c r="B77" s="17"/>
      <c r="C77" s="17"/>
      <c r="D77" s="17"/>
      <c r="E77" s="17"/>
      <c r="F77" s="17"/>
      <c r="G77" s="17"/>
      <c r="H77" s="18"/>
    </row>
    <row r="78" ht="15.75" customHeight="1">
      <c r="A78" s="68"/>
      <c r="B78" s="48"/>
      <c r="C78" s="48"/>
      <c r="D78" s="48"/>
      <c r="E78" s="48"/>
      <c r="F78" s="48"/>
      <c r="G78" s="48"/>
      <c r="H78" s="49"/>
    </row>
    <row r="79" ht="15.75" customHeight="1">
      <c r="A79" s="50"/>
      <c r="B79" s="51"/>
      <c r="C79" s="51"/>
      <c r="D79" s="51"/>
      <c r="E79" s="51"/>
      <c r="F79" s="51"/>
      <c r="G79" s="51"/>
      <c r="H79" s="52"/>
    </row>
    <row r="80" ht="15.75" customHeight="1">
      <c r="A80" s="24" t="s">
        <v>203</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79">
    <mergeCell ref="D37:E37"/>
    <mergeCell ref="F37:H37"/>
    <mergeCell ref="B35:C35"/>
    <mergeCell ref="D35:E35"/>
    <mergeCell ref="F35:H35"/>
    <mergeCell ref="B36:C36"/>
    <mergeCell ref="D36:E36"/>
    <mergeCell ref="F36:H36"/>
    <mergeCell ref="B37:C37"/>
    <mergeCell ref="B38:C38"/>
    <mergeCell ref="D38:E38"/>
    <mergeCell ref="F38:H38"/>
    <mergeCell ref="B39:C39"/>
    <mergeCell ref="D39:E39"/>
    <mergeCell ref="F39:H39"/>
    <mergeCell ref="B40:C40"/>
    <mergeCell ref="D40:E40"/>
    <mergeCell ref="F40:H40"/>
    <mergeCell ref="D44:H44"/>
    <mergeCell ref="D45:H45"/>
    <mergeCell ref="D46:H46"/>
    <mergeCell ref="D47:H47"/>
    <mergeCell ref="D48:H48"/>
    <mergeCell ref="A50:F50"/>
    <mergeCell ref="B53:H53"/>
    <mergeCell ref="B54:H54"/>
    <mergeCell ref="B55:H55"/>
    <mergeCell ref="B56:H56"/>
    <mergeCell ref="A58:H58"/>
    <mergeCell ref="A59:H61"/>
    <mergeCell ref="B76:H76"/>
    <mergeCell ref="A77:H77"/>
    <mergeCell ref="A78:H79"/>
    <mergeCell ref="B64:H64"/>
    <mergeCell ref="B65:H65"/>
    <mergeCell ref="B66:H66"/>
    <mergeCell ref="B67:H67"/>
    <mergeCell ref="A69:H69"/>
    <mergeCell ref="A70:H72"/>
    <mergeCell ref="A74:F74"/>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dataValidations>
    <dataValidation type="list" allowBlank="1" showErrorMessage="1" sqref="B23:B24 B53 B64">
      <formula1>METADATA!$I$17:$I$40</formula1>
    </dataValidation>
    <dataValidation type="list" allowBlank="1" showErrorMessage="1" sqref="B54">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8.0</v>
      </c>
      <c r="D5" s="17"/>
      <c r="E5" s="17"/>
      <c r="F5" s="17"/>
      <c r="G5" s="18"/>
    </row>
    <row r="6" ht="15.75" customHeight="1">
      <c r="B6" s="43" t="s">
        <v>118</v>
      </c>
      <c r="C6" s="16">
        <f>H10+H21+H44+H68</f>
        <v>105</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236</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78" t="s">
        <v>237</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8" t="s">
        <v>238</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48</v>
      </c>
      <c r="C23" s="17"/>
      <c r="D23" s="17"/>
      <c r="E23" s="17"/>
      <c r="F23" s="17"/>
      <c r="G23" s="17"/>
      <c r="H23" s="18"/>
    </row>
    <row r="24" ht="15.75" customHeight="1">
      <c r="A24" s="29" t="s">
        <v>172</v>
      </c>
      <c r="B24" s="20" t="s">
        <v>33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IFERROR(__xludf.DUMMYFUNCTION("FILTER('Diseño'!E:E,'Diseño'!H:H=$C$5)"),"Automata Finitos")</f>
        <v>Automata Finitos</v>
      </c>
      <c r="E28" s="18"/>
      <c r="F28" s="16" t="str">
        <f>IFERROR(__xludf.DUMMYFUNCTION("FILTER('Diseño'!F:F,'Diseño'!H:H=$C$5)"),"Definición de AFN")</f>
        <v>Definición de AFN</v>
      </c>
      <c r="G28" s="17"/>
      <c r="H28" s="18"/>
    </row>
    <row r="29" ht="15.75" customHeight="1">
      <c r="A29" s="19">
        <v>2.0</v>
      </c>
      <c r="B29" s="16" t="str">
        <f>IFERROR(__xludf.DUMMYFUNCTION("""COMPUTED_VALUE"""),"Analisis Lexico")</f>
        <v>Analisis Lexico</v>
      </c>
      <c r="C29" s="18"/>
      <c r="D29" s="16" t="str">
        <f>IFERROR(__xludf.DUMMYFUNCTION("""COMPUTED_VALUE"""),"Automata Finitos")</f>
        <v>Automata Finitos</v>
      </c>
      <c r="E29" s="18"/>
      <c r="F29" s="16" t="str">
        <f>IFERROR(__xludf.DUMMYFUNCTION("""COMPUTED_VALUE"""),"Estructura de un AFN")</f>
        <v>Estructura de un AFN</v>
      </c>
      <c r="G29" s="17"/>
      <c r="H29" s="18"/>
    </row>
    <row r="30" ht="15.75" customHeight="1">
      <c r="A30" s="19">
        <v>3.0</v>
      </c>
      <c r="B30" s="16" t="str">
        <f>IFERROR(__xludf.DUMMYFUNCTION("""COMPUTED_VALUE"""),"Analisis Lexico")</f>
        <v>Analisis Lexico</v>
      </c>
      <c r="C30" s="18"/>
      <c r="D30" s="16" t="str">
        <f>IFERROR(__xludf.DUMMYFUNCTION("""COMPUTED_VALUE"""),"Automata Finitos")</f>
        <v>Automata Finitos</v>
      </c>
      <c r="E30" s="18"/>
      <c r="F30" s="16" t="str">
        <f>IFERROR(__xludf.DUMMYFUNCTION("""COMPUTED_VALUE"""),"Ejemplo de AFN")</f>
        <v>Ejemplo de AFN</v>
      </c>
      <c r="G30" s="17"/>
      <c r="H30" s="18"/>
    </row>
    <row r="31" ht="15.75" customHeight="1">
      <c r="A31" s="19">
        <v>4.0</v>
      </c>
      <c r="B31" s="16" t="str">
        <f>IFERROR(__xludf.DUMMYFUNCTION("""COMPUTED_VALUE"""),"Analisis Lexico")</f>
        <v>Analisis Lexico</v>
      </c>
      <c r="C31" s="18"/>
      <c r="D31" s="16" t="str">
        <f>IFERROR(__xludf.DUMMYFUNCTION("""COMPUTED_VALUE"""),"Automata Finitos")</f>
        <v>Automata Finitos</v>
      </c>
      <c r="E31" s="18"/>
      <c r="F31" s="16" t="str">
        <f>IFERROR(__xludf.DUMMYFUNCTION("""COMPUTED_VALUE"""),"Definición de AFD")</f>
        <v>Definición de AFD</v>
      </c>
      <c r="G31" s="17"/>
      <c r="H31" s="18"/>
    </row>
    <row r="32" ht="15.75" customHeight="1">
      <c r="A32" s="19">
        <v>5.0</v>
      </c>
      <c r="B32" s="16" t="str">
        <f>IFERROR(__xludf.DUMMYFUNCTION("""COMPUTED_VALUE"""),"Analisis Lexico")</f>
        <v>Analisis Lexico</v>
      </c>
      <c r="C32" s="18"/>
      <c r="D32" s="16" t="str">
        <f>IFERROR(__xludf.DUMMYFUNCTION("""COMPUTED_VALUE"""),"Automata Finitos")</f>
        <v>Automata Finitos</v>
      </c>
      <c r="E32" s="18"/>
      <c r="F32" s="16" t="str">
        <f>IFERROR(__xludf.DUMMYFUNCTION("""COMPUTED_VALUE"""),"Estructura de un AFD")</f>
        <v>Estructura de un AFD</v>
      </c>
      <c r="G32" s="17"/>
      <c r="H32" s="18"/>
    </row>
    <row r="33" ht="15.75" customHeight="1">
      <c r="A33" s="19">
        <v>6.0</v>
      </c>
      <c r="B33" s="16" t="str">
        <f>IFERROR(__xludf.DUMMYFUNCTION("""COMPUTED_VALUE"""),"Analisis Lexico")</f>
        <v>Analisis Lexico</v>
      </c>
      <c r="C33" s="18"/>
      <c r="D33" s="16" t="str">
        <f>IFERROR(__xludf.DUMMYFUNCTION("""COMPUTED_VALUE"""),"Automata Finitos")</f>
        <v>Automata Finitos</v>
      </c>
      <c r="E33" s="18"/>
      <c r="F33" s="16" t="str">
        <f>IFERROR(__xludf.DUMMYFUNCTION("""COMPUTED_VALUE"""),"Ejemplo de AFD")</f>
        <v>Ejemplo de AFD</v>
      </c>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60" t="s">
        <v>181</v>
      </c>
      <c r="D38" s="61" t="s">
        <v>120</v>
      </c>
      <c r="E38" s="17"/>
      <c r="F38" s="17"/>
      <c r="G38" s="17"/>
      <c r="H38" s="18"/>
    </row>
    <row r="39" ht="15.75" customHeight="1">
      <c r="A39" s="19" t="s">
        <v>182</v>
      </c>
      <c r="B39" s="19" t="s">
        <v>183</v>
      </c>
      <c r="C39" s="62" t="s">
        <v>224</v>
      </c>
      <c r="D39" s="20" t="s">
        <v>215</v>
      </c>
      <c r="E39" s="17"/>
      <c r="F39" s="17"/>
      <c r="G39" s="17"/>
      <c r="H39" s="18"/>
    </row>
    <row r="40" ht="15.75" customHeight="1">
      <c r="A40" s="19" t="s">
        <v>184</v>
      </c>
      <c r="B40" s="19" t="s">
        <v>183</v>
      </c>
      <c r="C40" s="62" t="s">
        <v>216</v>
      </c>
      <c r="D40" s="20" t="s">
        <v>217</v>
      </c>
      <c r="E40" s="17"/>
      <c r="F40" s="17"/>
      <c r="G40" s="17"/>
      <c r="H40" s="18"/>
    </row>
    <row r="41" ht="15.75" customHeight="1">
      <c r="A41" s="19" t="s">
        <v>186</v>
      </c>
      <c r="B41" s="19" t="s">
        <v>187</v>
      </c>
      <c r="C41" s="62" t="s">
        <v>218</v>
      </c>
      <c r="D41" s="20" t="s">
        <v>219</v>
      </c>
      <c r="E41" s="17"/>
      <c r="F41" s="17"/>
      <c r="G41" s="17"/>
      <c r="H41" s="18"/>
    </row>
    <row r="42" ht="15.75" customHeight="1">
      <c r="A42" s="19" t="s">
        <v>188</v>
      </c>
      <c r="B42" s="19" t="s">
        <v>183</v>
      </c>
      <c r="C42" s="62"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c r="A47" s="29" t="s">
        <v>192</v>
      </c>
      <c r="B47" s="20" t="s">
        <v>48</v>
      </c>
      <c r="C47" s="17"/>
      <c r="D47" s="17"/>
      <c r="E47" s="17"/>
      <c r="F47" s="17"/>
      <c r="G47" s="17"/>
      <c r="H47" s="18"/>
    </row>
    <row r="48" ht="15.75" customHeight="1">
      <c r="A48" s="29" t="s">
        <v>193</v>
      </c>
      <c r="B48" s="20" t="s">
        <v>229</v>
      </c>
      <c r="C48" s="17"/>
      <c r="D48" s="17"/>
      <c r="E48" s="17"/>
      <c r="F48" s="17"/>
      <c r="G48" s="17"/>
      <c r="H48" s="18"/>
    </row>
    <row r="49" ht="15.75" customHeight="1">
      <c r="A49" s="29" t="s">
        <v>160</v>
      </c>
      <c r="B49" s="63">
        <v>0.0</v>
      </c>
      <c r="C49" s="17"/>
      <c r="D49" s="17"/>
      <c r="E49" s="17"/>
      <c r="F49" s="17"/>
      <c r="G49" s="17"/>
      <c r="H49" s="18"/>
    </row>
    <row r="50" ht="15.75" customHeight="1">
      <c r="A50" s="29" t="s">
        <v>120</v>
      </c>
      <c r="B50" s="20" t="s">
        <v>234</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8" t="s">
        <v>239</v>
      </c>
      <c r="B53" s="48"/>
      <c r="C53" s="48"/>
      <c r="D53" s="48"/>
      <c r="E53" s="48"/>
      <c r="F53" s="48"/>
      <c r="G53" s="48"/>
      <c r="H53" s="49"/>
    </row>
    <row r="54" ht="15.75" customHeight="1">
      <c r="A54" s="65"/>
      <c r="H54" s="66"/>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3"/>
      <c r="C60" s="17"/>
      <c r="D60" s="17"/>
      <c r="E60" s="17"/>
      <c r="F60" s="17"/>
      <c r="G60" s="17"/>
      <c r="H60" s="18"/>
    </row>
    <row r="61" ht="15.75" customHeight="1">
      <c r="A61" s="29" t="s">
        <v>120</v>
      </c>
      <c r="B61" s="63"/>
      <c r="C61" s="17"/>
      <c r="D61" s="17"/>
      <c r="E61" s="17"/>
      <c r="F61" s="17"/>
      <c r="G61" s="17"/>
      <c r="H61" s="18"/>
    </row>
    <row r="62" ht="15.75" customHeight="1">
      <c r="A62" s="67" t="s">
        <v>199</v>
      </c>
      <c r="B62" s="5"/>
      <c r="C62" s="5"/>
      <c r="D62" s="5"/>
      <c r="E62" s="5"/>
      <c r="F62" s="5"/>
      <c r="G62" s="5"/>
      <c r="H62" s="5"/>
    </row>
    <row r="63" ht="15.75" customHeight="1">
      <c r="A63" s="46" t="s">
        <v>196</v>
      </c>
      <c r="B63" s="17"/>
      <c r="C63" s="17"/>
      <c r="D63" s="17"/>
      <c r="E63" s="17"/>
      <c r="F63" s="17"/>
      <c r="G63" s="17"/>
      <c r="H63" s="18"/>
    </row>
    <row r="64" ht="15.75" customHeight="1">
      <c r="A64" s="68"/>
      <c r="B64" s="48"/>
      <c r="C64" s="48"/>
      <c r="D64" s="48"/>
      <c r="E64" s="48"/>
      <c r="F64" s="48"/>
      <c r="G64" s="48"/>
      <c r="H64" s="49"/>
    </row>
    <row r="65" ht="15.75" customHeight="1">
      <c r="A65" s="65"/>
      <c r="H65" s="66"/>
    </row>
    <row r="66" ht="15.75" customHeight="1">
      <c r="A66" s="50"/>
      <c r="B66" s="51"/>
      <c r="C66" s="51"/>
      <c r="D66" s="51"/>
      <c r="E66" s="51"/>
      <c r="F66" s="51"/>
      <c r="G66" s="51"/>
      <c r="H66" s="52"/>
    </row>
    <row r="67" ht="15.75" customHeight="1"/>
    <row r="68" ht="15.75" customHeight="1">
      <c r="A68" s="44" t="s">
        <v>200</v>
      </c>
      <c r="G68" s="34" t="s">
        <v>120</v>
      </c>
      <c r="H68" s="45">
        <v>0.0</v>
      </c>
    </row>
    <row r="69" ht="15.75" customHeight="1">
      <c r="G69" s="24" t="s">
        <v>201</v>
      </c>
    </row>
    <row r="70" ht="15.75" customHeight="1">
      <c r="A70" s="29" t="s">
        <v>120</v>
      </c>
      <c r="B70" s="63"/>
      <c r="C70" s="17"/>
      <c r="D70" s="17"/>
      <c r="E70" s="17"/>
      <c r="F70" s="17"/>
      <c r="G70" s="17"/>
      <c r="H70" s="18"/>
    </row>
    <row r="71" ht="15.75" customHeight="1">
      <c r="A71" s="61" t="s">
        <v>202</v>
      </c>
      <c r="B71" s="17"/>
      <c r="C71" s="17"/>
      <c r="D71" s="17"/>
      <c r="E71" s="17"/>
      <c r="F71" s="17"/>
      <c r="G71" s="17"/>
      <c r="H71" s="18"/>
    </row>
    <row r="72" ht="15.75" customHeight="1">
      <c r="A72" s="68"/>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9.0</v>
      </c>
      <c r="D5" s="17"/>
      <c r="E5" s="17"/>
      <c r="F5" s="17"/>
      <c r="G5" s="18"/>
    </row>
    <row r="6" ht="15.75" customHeight="1">
      <c r="B6" s="43" t="s">
        <v>118</v>
      </c>
      <c r="C6" s="16">
        <f>H10+H21+H44+H68</f>
        <v>105</v>
      </c>
      <c r="D6" s="17"/>
      <c r="E6" s="17"/>
      <c r="F6" s="17"/>
      <c r="G6" s="18"/>
      <c r="I6" s="5"/>
    </row>
    <row r="7" ht="15.75" customHeight="1">
      <c r="B7" s="43" t="s">
        <v>160</v>
      </c>
      <c r="C7" s="16">
        <f>B49+B60</f>
        <v>0</v>
      </c>
      <c r="D7" s="17"/>
      <c r="E7" s="17"/>
      <c r="F7" s="17"/>
      <c r="G7" s="18"/>
    </row>
    <row r="8" ht="15.75" customHeight="1">
      <c r="B8" s="43" t="s">
        <v>161</v>
      </c>
      <c r="C8" s="16" t="str">
        <f>IF(H44&lt;=0, "❌ ERROR: La Actividad 1 debe tener un tiempo mayor a 0.", IF(H21&gt;60, "❌ ERROR: El 'Área de Conocimiento' no puede exceder los 60 min.", IF((H10+H21+H44)&lt;100,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240</v>
      </c>
      <c r="C12" s="17"/>
      <c r="D12" s="17"/>
      <c r="E12" s="17"/>
      <c r="F12" s="17"/>
      <c r="G12" s="17"/>
      <c r="H12" s="18"/>
    </row>
    <row r="13" ht="15.75" customHeight="1">
      <c r="A13" s="30" t="s">
        <v>120</v>
      </c>
      <c r="B13" s="20" t="s">
        <v>205</v>
      </c>
      <c r="C13" s="17"/>
      <c r="D13" s="17"/>
      <c r="E13" s="17"/>
      <c r="F13" s="17"/>
      <c r="G13" s="17"/>
      <c r="H13" s="18"/>
    </row>
    <row r="14" ht="15.75" customHeight="1">
      <c r="A14" s="46" t="s">
        <v>166</v>
      </c>
      <c r="B14" s="17"/>
      <c r="C14" s="17"/>
      <c r="D14" s="17"/>
      <c r="E14" s="17"/>
      <c r="F14" s="17"/>
      <c r="G14" s="17"/>
      <c r="H14" s="18"/>
    </row>
    <row r="15" ht="15.75" customHeight="1">
      <c r="A15" s="78" t="s">
        <v>241</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78" t="s">
        <v>242</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48</v>
      </c>
      <c r="C23" s="17"/>
      <c r="D23" s="17"/>
      <c r="E23" s="17"/>
      <c r="F23" s="17"/>
      <c r="G23" s="17"/>
      <c r="H23" s="18"/>
    </row>
    <row r="24" ht="15.75" customHeight="1">
      <c r="A24" s="29" t="s">
        <v>172</v>
      </c>
      <c r="B24" s="20" t="s">
        <v>92</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IFERROR(__xludf.DUMMYFUNCTION("FILTER('Diseño'!E:E,'Diseño'!H:H=$C$5)"),"Conversion AFN a AFD")</f>
        <v>Conversion AFN a AFD</v>
      </c>
      <c r="E28" s="18"/>
      <c r="F28" s="16" t="str">
        <f>IFERROR(__xludf.DUMMYFUNCTION("FILTER('Diseño'!F:F,'Diseño'!H:H=$C$5)"),"Método del Árbol")</f>
        <v>Método del Árbol</v>
      </c>
      <c r="G28" s="17"/>
      <c r="H28" s="18"/>
    </row>
    <row r="29" ht="15.75" customHeight="1">
      <c r="A29" s="19">
        <v>2.0</v>
      </c>
      <c r="B29" s="16" t="str">
        <f>IFERROR(__xludf.DUMMYFUNCTION("""COMPUTED_VALUE"""),"Analisis Lexico")</f>
        <v>Analisis Lexico</v>
      </c>
      <c r="C29" s="18"/>
      <c r="D29" s="16" t="str">
        <f>IFERROR(__xludf.DUMMYFUNCTION("""COMPUTED_VALUE"""),"Conversion AFN a AFD")</f>
        <v>Conversion AFN a AFD</v>
      </c>
      <c r="E29" s="18"/>
      <c r="F29" s="16" t="str">
        <f>IFERROR(__xludf.DUMMYFUNCTION("""COMPUTED_VALUE"""),"Anulables")</f>
        <v>Anulables</v>
      </c>
      <c r="G29" s="17"/>
      <c r="H29" s="18"/>
    </row>
    <row r="30" ht="15.75" customHeight="1">
      <c r="A30" s="19">
        <v>3.0</v>
      </c>
      <c r="B30" s="16" t="str">
        <f>IFERROR(__xludf.DUMMYFUNCTION("""COMPUTED_VALUE"""),"Analisis Lexico")</f>
        <v>Analisis Lexico</v>
      </c>
      <c r="C30" s="18"/>
      <c r="D30" s="16" t="str">
        <f>IFERROR(__xludf.DUMMYFUNCTION("""COMPUTED_VALUE"""),"Conversion AFN a AFD")</f>
        <v>Conversion AFN a AFD</v>
      </c>
      <c r="E30" s="18"/>
      <c r="F30" s="16" t="str">
        <f>IFERROR(__xludf.DUMMYFUNCTION("""COMPUTED_VALUE"""),"Cálculo de First, Last y Next")</f>
        <v>Cálculo de First, Last y Next</v>
      </c>
      <c r="G30" s="17"/>
      <c r="H30" s="18"/>
    </row>
    <row r="31" ht="15.75" customHeight="1">
      <c r="A31" s="19">
        <v>4.0</v>
      </c>
      <c r="B31" s="16"/>
      <c r="C31" s="18"/>
      <c r="D31" s="16"/>
      <c r="E31" s="18"/>
      <c r="F31" s="16"/>
      <c r="G31" s="17"/>
      <c r="H31" s="18"/>
    </row>
    <row r="32" ht="15.75" customHeight="1">
      <c r="A32" s="19">
        <v>5.0</v>
      </c>
      <c r="B32" s="16"/>
      <c r="C32" s="18"/>
      <c r="D32" s="16"/>
      <c r="E32" s="18"/>
      <c r="F32" s="16"/>
      <c r="G32" s="17"/>
      <c r="H32" s="18"/>
    </row>
    <row r="33" ht="15.75" customHeight="1">
      <c r="A33" s="19">
        <v>6.0</v>
      </c>
      <c r="B33" s="16"/>
      <c r="C33" s="18"/>
      <c r="D33" s="16"/>
      <c r="E33" s="18"/>
      <c r="F33" s="16"/>
      <c r="G33" s="17"/>
      <c r="H33" s="18"/>
    </row>
    <row r="34" ht="15.75" customHeight="1">
      <c r="A34" s="19">
        <v>7.0</v>
      </c>
      <c r="B34" s="16"/>
      <c r="C34" s="18"/>
      <c r="D34" s="16"/>
      <c r="E34" s="18"/>
      <c r="F34" s="16"/>
      <c r="G34" s="17"/>
      <c r="H34" s="18"/>
    </row>
    <row r="35" ht="15.75" customHeight="1"/>
    <row r="36" ht="15.75" customHeight="1">
      <c r="A36" s="54" t="s">
        <v>178</v>
      </c>
    </row>
    <row r="37" ht="15.75" customHeight="1">
      <c r="A37" s="5"/>
      <c r="B37" s="5"/>
      <c r="C37" s="5"/>
      <c r="D37" s="5"/>
      <c r="E37" s="5"/>
      <c r="F37" s="5"/>
      <c r="G37" s="5"/>
      <c r="H37" s="5"/>
    </row>
    <row r="38" ht="15.75" customHeight="1">
      <c r="A38" s="55" t="s">
        <v>179</v>
      </c>
      <c r="B38" s="55" t="s">
        <v>180</v>
      </c>
      <c r="C38" s="60" t="s">
        <v>181</v>
      </c>
      <c r="D38" s="61" t="s">
        <v>120</v>
      </c>
      <c r="E38" s="17"/>
      <c r="F38" s="17"/>
      <c r="G38" s="17"/>
      <c r="H38" s="18"/>
    </row>
    <row r="39" ht="15.75" customHeight="1">
      <c r="A39" s="19" t="s">
        <v>182</v>
      </c>
      <c r="B39" s="19" t="s">
        <v>183</v>
      </c>
      <c r="C39" s="62" t="s">
        <v>224</v>
      </c>
      <c r="D39" s="20" t="s">
        <v>215</v>
      </c>
      <c r="E39" s="17"/>
      <c r="F39" s="17"/>
      <c r="G39" s="17"/>
      <c r="H39" s="18"/>
    </row>
    <row r="40" ht="15.75" customHeight="1">
      <c r="A40" s="19" t="s">
        <v>184</v>
      </c>
      <c r="B40" s="19" t="s">
        <v>183</v>
      </c>
      <c r="C40" s="62" t="s">
        <v>216</v>
      </c>
      <c r="D40" s="20" t="s">
        <v>217</v>
      </c>
      <c r="E40" s="17"/>
      <c r="F40" s="17"/>
      <c r="G40" s="17"/>
      <c r="H40" s="18"/>
    </row>
    <row r="41" ht="15.75" customHeight="1">
      <c r="A41" s="19" t="s">
        <v>186</v>
      </c>
      <c r="B41" s="19" t="s">
        <v>187</v>
      </c>
      <c r="C41" s="62" t="s">
        <v>218</v>
      </c>
      <c r="D41" s="20" t="s">
        <v>219</v>
      </c>
      <c r="E41" s="17"/>
      <c r="F41" s="17"/>
      <c r="G41" s="17"/>
      <c r="H41" s="18"/>
    </row>
    <row r="42" ht="15.75" customHeight="1">
      <c r="A42" s="19" t="s">
        <v>188</v>
      </c>
      <c r="B42" s="19" t="s">
        <v>183</v>
      </c>
      <c r="C42" s="62" t="s">
        <v>216</v>
      </c>
      <c r="D42" s="20" t="s">
        <v>217</v>
      </c>
      <c r="E42" s="17"/>
      <c r="F42" s="17"/>
      <c r="G42" s="17"/>
      <c r="H42" s="18"/>
    </row>
    <row r="43" ht="15.75" customHeight="1"/>
    <row r="44" ht="15.75" customHeight="1">
      <c r="A44" s="44" t="s">
        <v>189</v>
      </c>
      <c r="G44" s="34" t="s">
        <v>120</v>
      </c>
      <c r="H44" s="45">
        <v>40.0</v>
      </c>
    </row>
    <row r="45" ht="15.75" customHeight="1">
      <c r="G45" s="24" t="s">
        <v>190</v>
      </c>
    </row>
    <row r="46" ht="15.75" customHeight="1">
      <c r="A46" s="24" t="s">
        <v>191</v>
      </c>
    </row>
    <row r="47" ht="15.75" customHeight="1">
      <c r="A47" s="29" t="s">
        <v>192</v>
      </c>
      <c r="B47" s="20" t="s">
        <v>48</v>
      </c>
      <c r="C47" s="17"/>
      <c r="D47" s="17"/>
      <c r="E47" s="17"/>
      <c r="F47" s="17"/>
      <c r="G47" s="17"/>
      <c r="H47" s="18"/>
    </row>
    <row r="48" ht="15.75" customHeight="1">
      <c r="A48" s="29" t="s">
        <v>193</v>
      </c>
      <c r="B48" s="20" t="s">
        <v>229</v>
      </c>
      <c r="C48" s="17"/>
      <c r="D48" s="17"/>
      <c r="E48" s="17"/>
      <c r="F48" s="17"/>
      <c r="G48" s="17"/>
      <c r="H48" s="18"/>
    </row>
    <row r="49" ht="15.75" customHeight="1">
      <c r="A49" s="29" t="s">
        <v>160</v>
      </c>
      <c r="B49" s="63">
        <v>0.0</v>
      </c>
      <c r="C49" s="17"/>
      <c r="D49" s="17"/>
      <c r="E49" s="17"/>
      <c r="F49" s="17"/>
      <c r="G49" s="17"/>
      <c r="H49" s="18"/>
    </row>
    <row r="50" ht="15.75" customHeight="1">
      <c r="A50" s="29" t="s">
        <v>120</v>
      </c>
      <c r="B50" s="20" t="s">
        <v>234</v>
      </c>
      <c r="C50" s="17"/>
      <c r="D50" s="17"/>
      <c r="E50" s="17"/>
      <c r="F50" s="17"/>
      <c r="G50" s="17"/>
      <c r="H50" s="18"/>
    </row>
    <row r="51" ht="15.75" customHeight="1">
      <c r="A51" s="38" t="s">
        <v>195</v>
      </c>
      <c r="B51" s="5"/>
      <c r="C51" s="5"/>
      <c r="D51" s="5"/>
      <c r="E51" s="5"/>
      <c r="F51" s="5"/>
      <c r="G51" s="5"/>
      <c r="H51" s="5"/>
    </row>
    <row r="52" ht="15.75" customHeight="1">
      <c r="A52" s="46" t="s">
        <v>196</v>
      </c>
      <c r="B52" s="17"/>
      <c r="C52" s="17"/>
      <c r="D52" s="17"/>
      <c r="E52" s="17"/>
      <c r="F52" s="17"/>
      <c r="G52" s="17"/>
      <c r="H52" s="18"/>
    </row>
    <row r="53" ht="15.75" customHeight="1">
      <c r="A53" s="78" t="s">
        <v>243</v>
      </c>
      <c r="B53" s="48"/>
      <c r="C53" s="48"/>
      <c r="D53" s="48"/>
      <c r="E53" s="48"/>
      <c r="F53" s="48"/>
      <c r="G53" s="48"/>
      <c r="H53" s="49"/>
    </row>
    <row r="54" ht="15.75" customHeight="1">
      <c r="A54" s="65"/>
      <c r="H54" s="66"/>
    </row>
    <row r="55" ht="15.75" customHeight="1">
      <c r="A55" s="50"/>
      <c r="B55" s="51"/>
      <c r="C55" s="51"/>
      <c r="D55" s="51"/>
      <c r="E55" s="51"/>
      <c r="F55" s="51"/>
      <c r="G55" s="51"/>
      <c r="H55" s="52"/>
    </row>
    <row r="56" ht="15.75" customHeight="1"/>
    <row r="57" ht="15.75" customHeight="1">
      <c r="A57" s="24" t="s">
        <v>198</v>
      </c>
    </row>
    <row r="58" ht="15.75" customHeight="1">
      <c r="A58" s="29" t="s">
        <v>192</v>
      </c>
      <c r="B58" s="16"/>
      <c r="C58" s="17"/>
      <c r="D58" s="17"/>
      <c r="E58" s="17"/>
      <c r="F58" s="17"/>
      <c r="G58" s="17"/>
      <c r="H58" s="18"/>
    </row>
    <row r="59" ht="15.75" customHeight="1">
      <c r="A59" s="29" t="s">
        <v>193</v>
      </c>
      <c r="B59" s="16"/>
      <c r="C59" s="17"/>
      <c r="D59" s="17"/>
      <c r="E59" s="17"/>
      <c r="F59" s="17"/>
      <c r="G59" s="17"/>
      <c r="H59" s="18"/>
    </row>
    <row r="60" ht="15.75" customHeight="1">
      <c r="A60" s="29" t="s">
        <v>160</v>
      </c>
      <c r="B60" s="63"/>
      <c r="C60" s="17"/>
      <c r="D60" s="17"/>
      <c r="E60" s="17"/>
      <c r="F60" s="17"/>
      <c r="G60" s="17"/>
      <c r="H60" s="18"/>
    </row>
    <row r="61" ht="15.75" customHeight="1">
      <c r="A61" s="29" t="s">
        <v>120</v>
      </c>
      <c r="B61" s="63"/>
      <c r="C61" s="17"/>
      <c r="D61" s="17"/>
      <c r="E61" s="17"/>
      <c r="F61" s="17"/>
      <c r="G61" s="17"/>
      <c r="H61" s="18"/>
    </row>
    <row r="62" ht="15.75" customHeight="1">
      <c r="A62" s="67" t="s">
        <v>199</v>
      </c>
      <c r="B62" s="5"/>
      <c r="C62" s="5"/>
      <c r="D62" s="5"/>
      <c r="E62" s="5"/>
      <c r="F62" s="5"/>
      <c r="G62" s="5"/>
      <c r="H62" s="5"/>
    </row>
    <row r="63" ht="15.75" customHeight="1">
      <c r="A63" s="46" t="s">
        <v>196</v>
      </c>
      <c r="B63" s="17"/>
      <c r="C63" s="17"/>
      <c r="D63" s="17"/>
      <c r="E63" s="17"/>
      <c r="F63" s="17"/>
      <c r="G63" s="17"/>
      <c r="H63" s="18"/>
    </row>
    <row r="64" ht="15.75" customHeight="1">
      <c r="A64" s="68"/>
      <c r="B64" s="48"/>
      <c r="C64" s="48"/>
      <c r="D64" s="48"/>
      <c r="E64" s="48"/>
      <c r="F64" s="48"/>
      <c r="G64" s="48"/>
      <c r="H64" s="49"/>
    </row>
    <row r="65" ht="15.75" customHeight="1">
      <c r="A65" s="65"/>
      <c r="H65" s="66"/>
    </row>
    <row r="66" ht="15.75" customHeight="1">
      <c r="A66" s="50"/>
      <c r="B66" s="51"/>
      <c r="C66" s="51"/>
      <c r="D66" s="51"/>
      <c r="E66" s="51"/>
      <c r="F66" s="51"/>
      <c r="G66" s="51"/>
      <c r="H66" s="52"/>
    </row>
    <row r="67" ht="15.75" customHeight="1"/>
    <row r="68" ht="15.75" customHeight="1">
      <c r="A68" s="44" t="s">
        <v>200</v>
      </c>
      <c r="G68" s="34" t="s">
        <v>120</v>
      </c>
      <c r="H68" s="45">
        <v>0.0</v>
      </c>
    </row>
    <row r="69" ht="15.75" customHeight="1">
      <c r="G69" s="24" t="s">
        <v>201</v>
      </c>
    </row>
    <row r="70" ht="15.75" customHeight="1">
      <c r="A70" s="29" t="s">
        <v>120</v>
      </c>
      <c r="B70" s="63"/>
      <c r="C70" s="17"/>
      <c r="D70" s="17"/>
      <c r="E70" s="17"/>
      <c r="F70" s="17"/>
      <c r="G70" s="17"/>
      <c r="H70" s="18"/>
    </row>
    <row r="71" ht="15.75" customHeight="1">
      <c r="A71" s="61" t="s">
        <v>202</v>
      </c>
      <c r="B71" s="17"/>
      <c r="C71" s="17"/>
      <c r="D71" s="17"/>
      <c r="E71" s="17"/>
      <c r="F71" s="17"/>
      <c r="G71" s="17"/>
      <c r="H71" s="18"/>
    </row>
    <row r="72" ht="15.75" customHeight="1">
      <c r="A72" s="68"/>
      <c r="B72" s="48"/>
      <c r="C72" s="48"/>
      <c r="D72" s="48"/>
      <c r="E72" s="48"/>
      <c r="F72" s="48"/>
      <c r="G72" s="48"/>
      <c r="H72" s="49"/>
    </row>
    <row r="73" ht="15.75" customHeight="1">
      <c r="A73" s="50"/>
      <c r="B73" s="51"/>
      <c r="C73" s="51"/>
      <c r="D73" s="51"/>
      <c r="E73" s="51"/>
      <c r="F73" s="51"/>
      <c r="G73" s="51"/>
      <c r="H73" s="52"/>
    </row>
    <row r="74" ht="15.75" customHeight="1">
      <c r="A74" s="24" t="s">
        <v>203</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63.5"/>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10.0</v>
      </c>
      <c r="D5" s="17"/>
      <c r="E5" s="17"/>
      <c r="F5" s="17"/>
      <c r="G5" s="18"/>
    </row>
    <row r="6" ht="15.75" customHeight="1">
      <c r="B6" s="43" t="s">
        <v>118</v>
      </c>
      <c r="C6" s="20">
        <f>H10+H21+H44+H68</f>
        <v>65</v>
      </c>
      <c r="D6" s="17"/>
      <c r="E6" s="17"/>
      <c r="F6" s="17"/>
      <c r="G6" s="18"/>
      <c r="I6" s="5"/>
    </row>
    <row r="7" ht="15.75" customHeight="1">
      <c r="B7" s="43" t="s">
        <v>160</v>
      </c>
      <c r="C7" s="16">
        <f>B58+B69</f>
        <v>2</v>
      </c>
      <c r="D7" s="17"/>
      <c r="E7" s="17"/>
      <c r="F7" s="17"/>
      <c r="G7" s="18"/>
    </row>
    <row r="8" ht="15.75" customHeight="1">
      <c r="B8" s="43" t="s">
        <v>161</v>
      </c>
      <c r="C8" s="16" t="str">
        <f>IF(H53&lt;=0, "❌ ERROR: La Actividad 1 debe tener un tiempo mayor a 0.", IF(H21&gt;60, "❌ ERROR: El 'Área de Conocimiento' no puede exceder los 60 min.", IF((H10+H21+H53)&lt;100,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210</v>
      </c>
      <c r="C12" s="17"/>
      <c r="D12" s="17"/>
      <c r="E12" s="17"/>
      <c r="F12" s="17"/>
      <c r="G12" s="17"/>
      <c r="H12" s="18"/>
    </row>
    <row r="13" ht="15.75" customHeight="1">
      <c r="A13" s="30" t="s">
        <v>120</v>
      </c>
      <c r="B13" s="20">
        <v>5.0</v>
      </c>
      <c r="C13" s="17"/>
      <c r="D13" s="17"/>
      <c r="E13" s="17"/>
      <c r="F13" s="17"/>
      <c r="G13" s="17"/>
      <c r="H13" s="18"/>
    </row>
    <row r="14" ht="15.75" customHeight="1">
      <c r="A14" s="46" t="s">
        <v>166</v>
      </c>
      <c r="B14" s="17"/>
      <c r="C14" s="17"/>
      <c r="D14" s="17"/>
      <c r="E14" s="17"/>
      <c r="F14" s="17"/>
      <c r="G14" s="17"/>
      <c r="H14" s="18"/>
    </row>
    <row r="15" ht="15.75" customHeight="1">
      <c r="A15" s="78" t="s">
        <v>244</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8"/>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40.5" customHeight="1">
      <c r="A23" s="29" t="s">
        <v>172</v>
      </c>
      <c r="B23" s="20" t="s">
        <v>83</v>
      </c>
      <c r="C23" s="17"/>
      <c r="D23" s="17"/>
      <c r="E23" s="17"/>
      <c r="F23" s="17"/>
      <c r="G23" s="17"/>
      <c r="H23" s="18"/>
    </row>
    <row r="24" ht="15.75" customHeight="1">
      <c r="A24" s="29" t="s">
        <v>172</v>
      </c>
      <c r="B24" s="16"/>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Lexico")</f>
        <v>Analisis Lexico</v>
      </c>
      <c r="C28" s="18"/>
      <c r="D28" s="16" t="str">
        <f>IFERROR(__xludf.DUMMYFUNCTION("FILTER('Diseño'!E:E,'Diseño'!H:H=$C$5)"),"Optimizacion de Estados")</f>
        <v>Optimizacion de Estados</v>
      </c>
      <c r="E28" s="18"/>
      <c r="F28" s="16" t="str">
        <f>IFERROR(__xludf.DUMMYFUNCTION("FILTER('Diseño'!F:F,'Diseño'!H:H=$C$5)"),"Minimización de un AFD")</f>
        <v>Minimización de un AFD</v>
      </c>
      <c r="G28" s="17"/>
      <c r="H28" s="18"/>
    </row>
    <row r="29" ht="15.75" customHeight="1">
      <c r="A29" s="19">
        <v>2.0</v>
      </c>
      <c r="B29" s="16" t="str">
        <f>IFERROR(__xludf.DUMMYFUNCTION("""COMPUTED_VALUE"""),"Analisis Lexico")</f>
        <v>Analisis Lexico</v>
      </c>
      <c r="C29" s="18"/>
      <c r="D29" s="16" t="str">
        <f>IFERROR(__xludf.DUMMYFUNCTION("""COMPUTED_VALUE"""),"Optimizacion de Estados")</f>
        <v>Optimizacion de Estados</v>
      </c>
      <c r="E29" s="18"/>
      <c r="F29" s="16" t="str">
        <f>IFERROR(__xludf.DUMMYFUNCTION("""COMPUTED_VALUE"""),"Identificación de Estados Equivalentes")</f>
        <v>Identificación de Estados Equivalentes</v>
      </c>
      <c r="G29" s="17"/>
      <c r="H29" s="18"/>
    </row>
    <row r="30" ht="15.75" customHeight="1">
      <c r="A30" s="19">
        <v>3.0</v>
      </c>
      <c r="B30" s="16" t="str">
        <f>IFERROR(__xludf.DUMMYFUNCTION("""COMPUTED_VALUE"""),"Analisis Lexico")</f>
        <v>Analisis Lexico</v>
      </c>
      <c r="C30" s="18"/>
      <c r="D30" s="16" t="str">
        <f>IFERROR(__xludf.DUMMYFUNCTION("""COMPUTED_VALUE"""),"Optimizacion de Estados")</f>
        <v>Optimizacion de Estados</v>
      </c>
      <c r="E30" s="18"/>
      <c r="F30" s="16" t="str">
        <f>IFERROR(__xludf.DUMMYFUNCTION("""COMPUTED_VALUE"""),"Representación Compacta de AFD")</f>
        <v>Representación Compacta de AFD</v>
      </c>
      <c r="G30" s="17"/>
      <c r="H30" s="18"/>
    </row>
    <row r="31" ht="15.75" customHeight="1">
      <c r="A31" s="19">
        <v>4.0</v>
      </c>
      <c r="B31" s="16" t="str">
        <f>IFERROR(__xludf.DUMMYFUNCTION("""COMPUTED_VALUE"""),"Analisis Lexico")</f>
        <v>Analisis Lexico</v>
      </c>
      <c r="C31" s="18"/>
      <c r="D31" s="16" t="str">
        <f>IFERROR(__xludf.DUMMYFUNCTION("""COMPUTED_VALUE"""),"Optimizacion de Estados")</f>
        <v>Optimizacion de Estados</v>
      </c>
      <c r="E31" s="18"/>
      <c r="F31" s="16" t="str">
        <f>IFERROR(__xludf.DUMMYFUNCTION("""COMPUTED_VALUE"""),"Ventajas de una representación optimizada")</f>
        <v>Ventajas de una representación optimizada</v>
      </c>
      <c r="G31" s="17"/>
      <c r="H31" s="18"/>
    </row>
    <row r="32" ht="15.75" customHeight="1">
      <c r="A32" s="19">
        <v>5.0</v>
      </c>
      <c r="B32" s="16" t="str">
        <f>IFERROR(__xludf.DUMMYFUNCTION("""COMPUTED_VALUE"""),"Analisis Sintactico")</f>
        <v>Analisis Sintactico</v>
      </c>
      <c r="C32" s="18"/>
      <c r="D32" s="16" t="str">
        <f>IFERROR(__xludf.DUMMYFUNCTION("""COMPUTED_VALUE"""),"Funcion del Analizador Sintactico")</f>
        <v>Funcion del Analizador Sintactico</v>
      </c>
      <c r="E32" s="18"/>
      <c r="F32" s="16" t="str">
        <f>IFERROR(__xludf.DUMMYFUNCTION("""COMPUTED_VALUE"""),"Definición de análisis sintáctico")</f>
        <v>Definición de análisis sintáctico</v>
      </c>
      <c r="G32" s="17"/>
      <c r="H32" s="18"/>
    </row>
    <row r="33" ht="15.75" customHeight="1">
      <c r="A33" s="19">
        <v>6.0</v>
      </c>
      <c r="B33" s="16" t="str">
        <f>IFERROR(__xludf.DUMMYFUNCTION("""COMPUTED_VALUE"""),"Analisis Sintactico")</f>
        <v>Analisis Sintactico</v>
      </c>
      <c r="C33" s="18"/>
      <c r="D33" s="16" t="str">
        <f>IFERROR(__xludf.DUMMYFUNCTION("""COMPUTED_VALUE"""),"Funcion del Analizador Sintactico")</f>
        <v>Funcion del Analizador Sintactico</v>
      </c>
      <c r="E33" s="18"/>
      <c r="F33" s="16" t="str">
        <f>IFERROR(__xludf.DUMMYFUNCTION("""COMPUTED_VALUE"""),"Propósito del analizador sintáctico en un compilador")</f>
        <v>Propósito del analizador sintáctico en un compilador</v>
      </c>
      <c r="G33" s="17"/>
      <c r="H33" s="18"/>
    </row>
    <row r="34" ht="15.75" customHeight="1">
      <c r="A34" s="19">
        <v>7.0</v>
      </c>
      <c r="B34" s="16" t="str">
        <f>IFERROR(__xludf.DUMMYFUNCTION("""COMPUTED_VALUE"""),"Analisis Sintactico")</f>
        <v>Analisis Sintactico</v>
      </c>
      <c r="C34" s="18"/>
      <c r="D34" s="16" t="str">
        <f>IFERROR(__xludf.DUMMYFUNCTION("""COMPUTED_VALUE"""),"Funcion del Analizador Sintactico")</f>
        <v>Funcion del Analizador Sintactico</v>
      </c>
      <c r="E34" s="18"/>
      <c r="F34" s="16" t="str">
        <f>IFERROR(__xludf.DUMMYFUNCTION("""COMPUTED_VALUE"""),"Diferencias entre análisis léxico y sintáctico")</f>
        <v>Diferencias entre análisis léxico y sintáctico</v>
      </c>
      <c r="G34" s="17"/>
      <c r="H34" s="18"/>
    </row>
    <row r="35" ht="15.75" customHeight="1">
      <c r="A35" s="19">
        <v>8.0</v>
      </c>
      <c r="B35" s="16" t="str">
        <f>IFERROR(__xludf.DUMMYFUNCTION("""COMPUTED_VALUE"""),"Analisis Sintactico")</f>
        <v>Analisis Sintactico</v>
      </c>
      <c r="C35" s="18"/>
      <c r="D35" s="16" t="str">
        <f>IFERROR(__xludf.DUMMYFUNCTION("""COMPUTED_VALUE"""),"Funcion del Analizador Sintactico")</f>
        <v>Funcion del Analizador Sintactico</v>
      </c>
      <c r="E35" s="18"/>
      <c r="F35" s="16" t="str">
        <f>IFERROR(__xludf.DUMMYFUNCTION("""COMPUTED_VALUE"""),"Analizadores sintácticos ascendentes")</f>
        <v>Analizadores sintácticos ascendentes</v>
      </c>
      <c r="G35" s="17"/>
      <c r="H35" s="18"/>
    </row>
    <row r="36" ht="15.75" customHeight="1">
      <c r="A36" s="19">
        <v>9.0</v>
      </c>
      <c r="B36" s="16" t="str">
        <f>IFERROR(__xludf.DUMMYFUNCTION("""COMPUTED_VALUE"""),"Analisis Sintactico")</f>
        <v>Analisis Sintactico</v>
      </c>
      <c r="C36" s="18"/>
      <c r="D36" s="16" t="str">
        <f>IFERROR(__xludf.DUMMYFUNCTION("""COMPUTED_VALUE"""),"Funcion del Analizador Sintactico")</f>
        <v>Funcion del Analizador Sintactico</v>
      </c>
      <c r="E36" s="18"/>
      <c r="F36" s="16" t="str">
        <f>IFERROR(__xludf.DUMMYFUNCTION("""COMPUTED_VALUE"""),"Analizadores sintácticos descendentes")</f>
        <v>Analizadores sintácticos descendentes</v>
      </c>
      <c r="G36" s="17"/>
      <c r="H36" s="18"/>
    </row>
    <row r="37" ht="15.75" customHeight="1">
      <c r="A37" s="19">
        <v>10.0</v>
      </c>
      <c r="B37" s="16" t="str">
        <f>IFERROR(__xludf.DUMMYFUNCTION("""COMPUTED_VALUE"""),"Analisis Sintactico")</f>
        <v>Analisis Sintactico</v>
      </c>
      <c r="C37" s="18"/>
      <c r="D37" s="16" t="str">
        <f>IFERROR(__xludf.DUMMYFUNCTION("""COMPUTED_VALUE"""),"Funcion del Analizador Sintactico")</f>
        <v>Funcion del Analizador Sintactico</v>
      </c>
      <c r="E37" s="18"/>
      <c r="F37" s="16" t="str">
        <f>IFERROR(__xludf.DUMMYFUNCTION("""COMPUTED_VALUE"""),"Comparación de técnicas de análisis sintáctico")</f>
        <v>Comparación de técnicas de análisis sintáctico</v>
      </c>
      <c r="G37" s="17"/>
      <c r="H37" s="18"/>
    </row>
    <row r="38" ht="15.75" customHeight="1">
      <c r="A38" s="19">
        <v>11.0</v>
      </c>
      <c r="B38" s="16" t="str">
        <f>IFERROR(__xludf.DUMMYFUNCTION("""COMPUTED_VALUE"""),"Analisis Sintactico")</f>
        <v>Analisis Sintactico</v>
      </c>
      <c r="C38" s="18"/>
      <c r="D38" s="16" t="str">
        <f>IFERROR(__xludf.DUMMYFUNCTION("""COMPUTED_VALUE"""),"Lenguajes Libres de Contexto")</f>
        <v>Lenguajes Libres de Contexto</v>
      </c>
      <c r="E38" s="18"/>
      <c r="F38" s="16" t="str">
        <f>IFERROR(__xludf.DUMMYFUNCTION("""COMPUTED_VALUE"""),"Definición de lenguajes libres de contexto (LFC)")</f>
        <v>Definición de lenguajes libres de contexto (LFC)</v>
      </c>
      <c r="G38" s="17"/>
      <c r="H38" s="18"/>
    </row>
    <row r="39" ht="15.75" customHeight="1">
      <c r="A39" s="19">
        <v>12.0</v>
      </c>
      <c r="B39" s="16" t="str">
        <f>IFERROR(__xludf.DUMMYFUNCTION("""COMPUTED_VALUE"""),"Analisis Sintactico")</f>
        <v>Analisis Sintactico</v>
      </c>
      <c r="C39" s="18"/>
      <c r="D39" s="16" t="str">
        <f>IFERROR(__xludf.DUMMYFUNCTION("""COMPUTED_VALUE"""),"Lenguajes Libres de Contexto")</f>
        <v>Lenguajes Libres de Contexto</v>
      </c>
      <c r="E39" s="18"/>
      <c r="F39" s="16" t="str">
        <f>IFERROR(__xludf.DUMMYFUNCTION("""COMPUTED_VALUE"""),"Características de LFC")</f>
        <v>Características de LFC</v>
      </c>
      <c r="G39" s="17"/>
      <c r="H39" s="18"/>
    </row>
    <row r="40" ht="15.75" customHeight="1">
      <c r="A40" s="19">
        <v>13.0</v>
      </c>
      <c r="B40" s="16" t="str">
        <f>IFERROR(__xludf.DUMMYFUNCTION("""COMPUTED_VALUE"""),"Analisis Sintactico")</f>
        <v>Analisis Sintactico</v>
      </c>
      <c r="C40" s="18"/>
      <c r="D40" s="16" t="str">
        <f>IFERROR(__xludf.DUMMYFUNCTION("""COMPUTED_VALUE"""),"Lenguajes Libres de Contexto")</f>
        <v>Lenguajes Libres de Contexto</v>
      </c>
      <c r="E40" s="18"/>
      <c r="F40" s="16" t="str">
        <f>IFERROR(__xludf.DUMMYFUNCTION("""COMPUTED_VALUE"""),"Importancia de los LFC en la teoría de lenguajes de programación")</f>
        <v>Importancia de los LFC en la teoría de lenguajes de programación</v>
      </c>
      <c r="G40" s="17"/>
      <c r="H40" s="18"/>
    </row>
    <row r="41" ht="15.75" customHeight="1">
      <c r="A41" s="19">
        <v>14.0</v>
      </c>
      <c r="B41" s="16" t="str">
        <f>IFERROR(__xludf.DUMMYFUNCTION("""COMPUTED_VALUE"""),"Analisis Sintactico")</f>
        <v>Analisis Sintactico</v>
      </c>
      <c r="C41" s="18"/>
      <c r="D41" s="16" t="str">
        <f>IFERROR(__xludf.DUMMYFUNCTION("""COMPUTED_VALUE"""),"Lenguajes Libres de Contexto")</f>
        <v>Lenguajes Libres de Contexto</v>
      </c>
      <c r="E41" s="18"/>
      <c r="F41" s="16" t="str">
        <f>IFERROR(__xludf.DUMMYFUNCTION("""COMPUTED_VALUE"""),"Gramáticas Tipo 2")</f>
        <v>Gramáticas Tipo 2</v>
      </c>
      <c r="G41" s="17"/>
      <c r="H41" s="18"/>
    </row>
    <row r="42" ht="15.75" customHeight="1">
      <c r="A42" s="19">
        <v>15.0</v>
      </c>
      <c r="B42" s="16" t="str">
        <f>IFERROR(__xludf.DUMMYFUNCTION("""COMPUTED_VALUE"""),"Analisis Sintactico")</f>
        <v>Analisis Sintactico</v>
      </c>
      <c r="C42" s="18"/>
      <c r="D42" s="16" t="str">
        <f>IFERROR(__xludf.DUMMYFUNCTION("""COMPUTED_VALUE"""),"Lenguajes Libres de Contexto")</f>
        <v>Lenguajes Libres de Contexto</v>
      </c>
      <c r="E42" s="18"/>
      <c r="F42" s="16" t="str">
        <f>IFERROR(__xludf.DUMMYFUNCTION("""COMPUTED_VALUE"""),"Ejemplos de generación de cadenas usando gramáticas Tipo 2")</f>
        <v>Ejemplos de generación de cadenas usando gramáticas Tipo 2</v>
      </c>
      <c r="G42" s="17"/>
      <c r="H42" s="18"/>
    </row>
    <row r="43" ht="15.75" customHeight="1">
      <c r="A43" s="19">
        <v>16.0</v>
      </c>
      <c r="B43" s="16" t="str">
        <f>IFERROR(__xludf.DUMMYFUNCTION("""COMPUTED_VALUE"""),"Analisis Sintactico")</f>
        <v>Analisis Sintactico</v>
      </c>
      <c r="C43" s="18"/>
      <c r="D43" s="16" t="str">
        <f>IFERROR(__xludf.DUMMYFUNCTION("""COMPUTED_VALUE"""),"Lenguajes Libres de Contexto")</f>
        <v>Lenguajes Libres de Contexto</v>
      </c>
      <c r="E43" s="18"/>
      <c r="F43" s="16" t="str">
        <f>IFERROR(__xludf.DUMMYFUNCTION("""COMPUTED_VALUE"""),"Aplicaciones prácticas de gramáticas Tipo 2 en lenguajes de programación")</f>
        <v>Aplicaciones prácticas de gramáticas Tipo 2 en lenguajes de programación</v>
      </c>
      <c r="G43" s="17"/>
      <c r="H43" s="18"/>
    </row>
    <row r="44" ht="15.75" customHeight="1"/>
    <row r="45" ht="15.75" customHeight="1">
      <c r="A45" s="54" t="s">
        <v>178</v>
      </c>
    </row>
    <row r="46" ht="15.75" customHeight="1">
      <c r="A46" s="5"/>
      <c r="B46" s="5"/>
      <c r="C46" s="5"/>
      <c r="D46" s="5"/>
      <c r="E46" s="5"/>
      <c r="F46" s="5"/>
      <c r="G46" s="5"/>
      <c r="H46" s="5"/>
    </row>
    <row r="47" ht="15.75" customHeight="1">
      <c r="A47" s="55" t="s">
        <v>179</v>
      </c>
      <c r="B47" s="55" t="s">
        <v>180</v>
      </c>
      <c r="C47" s="60" t="s">
        <v>181</v>
      </c>
      <c r="D47" s="61" t="s">
        <v>120</v>
      </c>
      <c r="E47" s="17"/>
      <c r="F47" s="17"/>
      <c r="G47" s="17"/>
      <c r="H47" s="18"/>
    </row>
    <row r="48" ht="15.75" customHeight="1">
      <c r="A48" s="19" t="s">
        <v>182</v>
      </c>
      <c r="B48" s="19" t="s">
        <v>183</v>
      </c>
      <c r="C48" s="62" t="s">
        <v>224</v>
      </c>
      <c r="D48" s="20" t="s">
        <v>215</v>
      </c>
      <c r="E48" s="17"/>
      <c r="F48" s="17"/>
      <c r="G48" s="17"/>
      <c r="H48" s="18"/>
    </row>
    <row r="49" ht="15.75" customHeight="1">
      <c r="A49" s="19" t="s">
        <v>184</v>
      </c>
      <c r="B49" s="19" t="s">
        <v>183</v>
      </c>
      <c r="C49" s="62" t="s">
        <v>216</v>
      </c>
      <c r="D49" s="20" t="s">
        <v>217</v>
      </c>
      <c r="E49" s="17"/>
      <c r="F49" s="17"/>
      <c r="G49" s="17"/>
      <c r="H49" s="18"/>
    </row>
    <row r="50" ht="15.75" customHeight="1">
      <c r="A50" s="19" t="s">
        <v>186</v>
      </c>
      <c r="B50" s="19" t="s">
        <v>187</v>
      </c>
      <c r="C50" s="62" t="s">
        <v>218</v>
      </c>
      <c r="D50" s="20" t="s">
        <v>219</v>
      </c>
      <c r="E50" s="17"/>
      <c r="F50" s="17"/>
      <c r="G50" s="17"/>
      <c r="H50" s="18"/>
    </row>
    <row r="51" ht="15.75" customHeight="1">
      <c r="A51" s="19" t="s">
        <v>188</v>
      </c>
      <c r="B51" s="19" t="s">
        <v>183</v>
      </c>
      <c r="C51" s="62" t="s">
        <v>216</v>
      </c>
      <c r="D51" s="20" t="s">
        <v>217</v>
      </c>
      <c r="E51" s="17"/>
      <c r="F51" s="17"/>
      <c r="G51" s="17"/>
      <c r="H51" s="18"/>
    </row>
    <row r="52" ht="15.75" customHeight="1"/>
    <row r="53" ht="15.75" customHeight="1">
      <c r="A53" s="44" t="s">
        <v>189</v>
      </c>
      <c r="G53" s="34" t="s">
        <v>120</v>
      </c>
      <c r="H53" s="45">
        <v>40.0</v>
      </c>
    </row>
    <row r="54" ht="15.75" customHeight="1">
      <c r="G54" s="24" t="s">
        <v>190</v>
      </c>
    </row>
    <row r="55" ht="15.75" customHeight="1">
      <c r="A55" s="24" t="s">
        <v>191</v>
      </c>
    </row>
    <row r="56" ht="15.75" customHeight="1">
      <c r="A56" s="29" t="s">
        <v>192</v>
      </c>
      <c r="B56" s="20" t="s">
        <v>12</v>
      </c>
      <c r="C56" s="17"/>
      <c r="D56" s="17"/>
      <c r="E56" s="17"/>
      <c r="F56" s="17"/>
      <c r="G56" s="17"/>
      <c r="H56" s="18"/>
    </row>
    <row r="57" ht="15.75" customHeight="1">
      <c r="A57" s="29" t="s">
        <v>193</v>
      </c>
      <c r="B57" s="20" t="s">
        <v>194</v>
      </c>
      <c r="C57" s="17"/>
      <c r="D57" s="17"/>
      <c r="E57" s="17"/>
      <c r="F57" s="17"/>
      <c r="G57" s="17"/>
      <c r="H57" s="18"/>
    </row>
    <row r="58" ht="15.75" customHeight="1">
      <c r="A58" s="29" t="s">
        <v>160</v>
      </c>
      <c r="B58" s="69">
        <v>2.0</v>
      </c>
      <c r="C58" s="17"/>
      <c r="D58" s="17"/>
      <c r="E58" s="17"/>
      <c r="F58" s="17"/>
      <c r="G58" s="17"/>
      <c r="H58" s="18"/>
    </row>
    <row r="59" ht="15.75" customHeight="1">
      <c r="A59" s="29" t="s">
        <v>120</v>
      </c>
      <c r="B59" s="20">
        <v>40.0</v>
      </c>
      <c r="C59" s="17"/>
      <c r="D59" s="17"/>
      <c r="E59" s="17"/>
      <c r="F59" s="17"/>
      <c r="G59" s="17"/>
      <c r="H59" s="18"/>
    </row>
    <row r="60" ht="15.75" customHeight="1">
      <c r="A60" s="38" t="s">
        <v>195</v>
      </c>
      <c r="B60" s="5"/>
      <c r="C60" s="5"/>
      <c r="D60" s="5"/>
      <c r="E60" s="5"/>
      <c r="F60" s="5"/>
      <c r="G60" s="5"/>
      <c r="H60" s="5"/>
    </row>
    <row r="61" ht="15.75" customHeight="1">
      <c r="A61" s="46" t="s">
        <v>196</v>
      </c>
      <c r="B61" s="17"/>
      <c r="C61" s="17"/>
      <c r="D61" s="17"/>
      <c r="E61" s="17"/>
      <c r="F61" s="17"/>
      <c r="G61" s="17"/>
      <c r="H61" s="18"/>
    </row>
    <row r="62" ht="15.75" customHeight="1">
      <c r="A62" s="78" t="s">
        <v>245</v>
      </c>
      <c r="B62" s="48"/>
      <c r="C62" s="48"/>
      <c r="D62" s="48"/>
      <c r="E62" s="48"/>
      <c r="F62" s="48"/>
      <c r="G62" s="48"/>
      <c r="H62" s="49"/>
    </row>
    <row r="63" ht="15.75" customHeight="1">
      <c r="A63" s="65"/>
      <c r="H63" s="66"/>
    </row>
    <row r="64" ht="15.75" customHeight="1">
      <c r="A64" s="50"/>
      <c r="B64" s="51"/>
      <c r="C64" s="51"/>
      <c r="D64" s="51"/>
      <c r="E64" s="51"/>
      <c r="F64" s="51"/>
      <c r="G64" s="51"/>
      <c r="H64" s="52"/>
    </row>
    <row r="65" ht="15.75" customHeight="1"/>
    <row r="66" ht="15.75" customHeight="1">
      <c r="A66" s="24" t="s">
        <v>198</v>
      </c>
    </row>
    <row r="67">
      <c r="A67" s="29" t="s">
        <v>192</v>
      </c>
      <c r="B67" s="16"/>
      <c r="C67" s="17"/>
      <c r="D67" s="17"/>
      <c r="E67" s="17"/>
      <c r="F67" s="17"/>
      <c r="G67" s="17"/>
      <c r="H67" s="18"/>
    </row>
    <row r="68" ht="15.75" customHeight="1">
      <c r="A68" s="29" t="s">
        <v>193</v>
      </c>
      <c r="B68" s="16"/>
      <c r="C68" s="17"/>
      <c r="D68" s="17"/>
      <c r="E68" s="17"/>
      <c r="F68" s="17"/>
      <c r="G68" s="17"/>
      <c r="H68" s="18"/>
    </row>
    <row r="69" ht="15.75" customHeight="1">
      <c r="A69" s="29" t="s">
        <v>160</v>
      </c>
      <c r="B69" s="63"/>
      <c r="C69" s="17"/>
      <c r="D69" s="17"/>
      <c r="E69" s="17"/>
      <c r="F69" s="17"/>
      <c r="G69" s="17"/>
      <c r="H69" s="18"/>
    </row>
    <row r="70" ht="15.75" customHeight="1">
      <c r="A70" s="29" t="s">
        <v>120</v>
      </c>
      <c r="B70" s="63"/>
      <c r="C70" s="17"/>
      <c r="D70" s="17"/>
      <c r="E70" s="17"/>
      <c r="F70" s="17"/>
      <c r="G70" s="17"/>
      <c r="H70" s="18"/>
    </row>
    <row r="71" ht="15.75" customHeight="1">
      <c r="A71" s="67" t="s">
        <v>199</v>
      </c>
      <c r="B71" s="5"/>
      <c r="C71" s="5"/>
      <c r="D71" s="5"/>
      <c r="E71" s="5"/>
      <c r="F71" s="5"/>
      <c r="G71" s="5"/>
      <c r="H71" s="5"/>
    </row>
    <row r="72" ht="15.75" customHeight="1">
      <c r="A72" s="46" t="s">
        <v>196</v>
      </c>
      <c r="B72" s="17"/>
      <c r="C72" s="17"/>
      <c r="D72" s="17"/>
      <c r="E72" s="17"/>
      <c r="F72" s="17"/>
      <c r="G72" s="17"/>
      <c r="H72" s="18"/>
    </row>
    <row r="73" ht="15.75" customHeight="1">
      <c r="A73" s="68"/>
      <c r="B73" s="48"/>
      <c r="C73" s="48"/>
      <c r="D73" s="48"/>
      <c r="E73" s="48"/>
      <c r="F73" s="48"/>
      <c r="G73" s="48"/>
      <c r="H73" s="49"/>
    </row>
    <row r="74" ht="15.75" customHeight="1">
      <c r="A74" s="65"/>
      <c r="H74" s="66"/>
    </row>
    <row r="75" ht="15.75" customHeight="1">
      <c r="A75" s="50"/>
      <c r="B75" s="51"/>
      <c r="C75" s="51"/>
      <c r="D75" s="51"/>
      <c r="E75" s="51"/>
      <c r="F75" s="51"/>
      <c r="G75" s="51"/>
      <c r="H75" s="52"/>
    </row>
    <row r="76" ht="15.75" customHeight="1"/>
    <row r="77" ht="15.75" customHeight="1">
      <c r="A77" s="44" t="s">
        <v>200</v>
      </c>
      <c r="G77" s="34" t="s">
        <v>120</v>
      </c>
      <c r="H77" s="45">
        <v>10.0</v>
      </c>
    </row>
    <row r="78" ht="15.75" customHeight="1">
      <c r="G78" s="24" t="s">
        <v>201</v>
      </c>
    </row>
    <row r="79" ht="15.75" customHeight="1">
      <c r="A79" s="29" t="s">
        <v>120</v>
      </c>
      <c r="B79" s="63"/>
      <c r="C79" s="17"/>
      <c r="D79" s="17"/>
      <c r="E79" s="17"/>
      <c r="F79" s="17"/>
      <c r="G79" s="17"/>
      <c r="H79" s="18"/>
    </row>
    <row r="80" ht="15.75" customHeight="1">
      <c r="A80" s="61" t="s">
        <v>202</v>
      </c>
      <c r="B80" s="17"/>
      <c r="C80" s="17"/>
      <c r="D80" s="17"/>
      <c r="E80" s="17"/>
      <c r="F80" s="17"/>
      <c r="G80" s="17"/>
      <c r="H80" s="18"/>
    </row>
    <row r="81" ht="15.75" customHeight="1">
      <c r="A81" s="68"/>
      <c r="B81" s="48"/>
      <c r="C81" s="48"/>
      <c r="D81" s="48"/>
      <c r="E81" s="48"/>
      <c r="F81" s="48"/>
      <c r="G81" s="48"/>
      <c r="H81" s="49"/>
    </row>
    <row r="82" ht="15.75" customHeight="1">
      <c r="A82" s="50"/>
      <c r="B82" s="51"/>
      <c r="C82" s="51"/>
      <c r="D82" s="51"/>
      <c r="E82" s="51"/>
      <c r="F82" s="51"/>
      <c r="G82" s="51"/>
      <c r="H82" s="52"/>
    </row>
    <row r="83" ht="15.75" customHeight="1">
      <c r="A83" s="24" t="s">
        <v>203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8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B79:H79"/>
    <mergeCell ref="A80:H80"/>
    <mergeCell ref="A81:H82"/>
    <mergeCell ref="B67:H67"/>
    <mergeCell ref="B68:H68"/>
    <mergeCell ref="B69:H69"/>
    <mergeCell ref="B70:H70"/>
    <mergeCell ref="A72:H72"/>
    <mergeCell ref="A73:H75"/>
    <mergeCell ref="A77:F77"/>
    <mergeCell ref="D37:E37"/>
    <mergeCell ref="F37:H37"/>
    <mergeCell ref="B35:C35"/>
    <mergeCell ref="D35:E35"/>
    <mergeCell ref="F35:H35"/>
    <mergeCell ref="B36:C36"/>
    <mergeCell ref="D36:E36"/>
    <mergeCell ref="F36:H36"/>
    <mergeCell ref="B37:C37"/>
    <mergeCell ref="D40:E40"/>
    <mergeCell ref="F40:H40"/>
    <mergeCell ref="B38:C38"/>
    <mergeCell ref="D38:E38"/>
    <mergeCell ref="F38:H38"/>
    <mergeCell ref="B39:C39"/>
    <mergeCell ref="D39:E39"/>
    <mergeCell ref="F39:H39"/>
    <mergeCell ref="B40:C40"/>
    <mergeCell ref="B41:C41"/>
    <mergeCell ref="D41:E41"/>
    <mergeCell ref="F41:H41"/>
    <mergeCell ref="B42:C42"/>
    <mergeCell ref="D42:E42"/>
    <mergeCell ref="F42:H42"/>
    <mergeCell ref="B43:C43"/>
    <mergeCell ref="D43:E43"/>
    <mergeCell ref="F43:H43"/>
    <mergeCell ref="D47:H47"/>
    <mergeCell ref="D48:H48"/>
    <mergeCell ref="D49:H49"/>
    <mergeCell ref="D50:H50"/>
    <mergeCell ref="D51:H51"/>
    <mergeCell ref="A53:F53"/>
    <mergeCell ref="B56:H56"/>
    <mergeCell ref="B57:H57"/>
    <mergeCell ref="B58:H58"/>
    <mergeCell ref="B59:H59"/>
    <mergeCell ref="A61:H61"/>
    <mergeCell ref="A62:H64"/>
  </mergeCells>
  <dataValidations>
    <dataValidation type="list" allowBlank="1" showErrorMessage="1" sqref="B23:B24 B56 B67">
      <formula1>METADATA!$I$17:$I$40</formula1>
    </dataValidation>
    <dataValidation type="list" allowBlank="1" showErrorMessage="1" sqref="B57">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19.38"/>
  </cols>
  <sheetData>
    <row r="1" ht="15.75" customHeight="1"/>
    <row r="2" ht="15.75" customHeight="1">
      <c r="B2" s="42" t="s">
        <v>159</v>
      </c>
    </row>
    <row r="3" ht="15.75" customHeight="1"/>
    <row r="4" ht="15.75" customHeight="1">
      <c r="B4" s="15" t="s">
        <v>1</v>
      </c>
      <c r="C4" s="16" t="str">
        <f>'Diseño'!C4</f>
        <v>796 - Lenguajes Formales y de Programación</v>
      </c>
      <c r="D4" s="17"/>
      <c r="E4" s="17"/>
      <c r="F4" s="17"/>
      <c r="G4" s="18"/>
    </row>
    <row r="5" ht="15.75" customHeight="1">
      <c r="B5" s="19" t="s">
        <v>11</v>
      </c>
      <c r="C5" s="16">
        <v>11.0</v>
      </c>
      <c r="D5" s="17"/>
      <c r="E5" s="17"/>
      <c r="F5" s="17"/>
      <c r="G5" s="18"/>
    </row>
    <row r="6" ht="15.75" customHeight="1">
      <c r="B6" s="43" t="s">
        <v>118</v>
      </c>
      <c r="C6" s="16">
        <f>H10+H21+H53+H77</f>
        <v>100</v>
      </c>
      <c r="D6" s="17"/>
      <c r="E6" s="17"/>
      <c r="F6" s="17"/>
      <c r="G6" s="18"/>
      <c r="I6" s="5"/>
    </row>
    <row r="7" ht="15.75" customHeight="1">
      <c r="B7" s="43" t="s">
        <v>160</v>
      </c>
      <c r="C7" s="16">
        <f>B58+B69</f>
        <v>0</v>
      </c>
      <c r="D7" s="17"/>
      <c r="E7" s="17"/>
      <c r="F7" s="17"/>
      <c r="G7" s="18"/>
    </row>
    <row r="8" ht="15.75" customHeight="1">
      <c r="B8" s="43" t="s">
        <v>161</v>
      </c>
      <c r="C8" s="16" t="str">
        <f>IF(H53&lt;=0, "❌ ERROR: La Actividad 1 debe tener un tiempo mayor a 0.", IF(H21&gt;60, "❌ ERROR: El 'Área de Conocimiento' no puede exceder los 60 min.", IF((H10+H21+H53)&lt;100, "❌ ERROR: El tiempo total debe ser de al menos 100 min.", "✅ VALIDACIÓN CORRECTA")))</f>
        <v>✅ VALIDACIÓN CORRECTA</v>
      </c>
      <c r="D8" s="17"/>
      <c r="E8" s="17"/>
      <c r="F8" s="17"/>
      <c r="G8" s="18"/>
      <c r="I8" s="5"/>
      <c r="J8" s="5"/>
      <c r="K8" s="5"/>
    </row>
    <row r="9" ht="15.75" customHeight="1"/>
    <row r="10" ht="15.75" customHeight="1">
      <c r="A10" s="44" t="s">
        <v>162</v>
      </c>
      <c r="G10" s="34" t="s">
        <v>120</v>
      </c>
      <c r="H10" s="45">
        <v>5.0</v>
      </c>
    </row>
    <row r="11" ht="15.75" customHeight="1">
      <c r="G11" s="24" t="s">
        <v>163</v>
      </c>
    </row>
    <row r="12" ht="15.75" customHeight="1">
      <c r="A12" s="29" t="s">
        <v>164</v>
      </c>
      <c r="B12" s="20" t="s">
        <v>246</v>
      </c>
      <c r="C12" s="17"/>
      <c r="D12" s="17"/>
      <c r="E12" s="17"/>
      <c r="F12" s="17"/>
      <c r="G12" s="17"/>
      <c r="H12" s="18"/>
    </row>
    <row r="13" ht="15.75" customHeight="1">
      <c r="A13" s="30" t="s">
        <v>120</v>
      </c>
      <c r="B13" s="20">
        <v>5.0</v>
      </c>
      <c r="C13" s="17"/>
      <c r="D13" s="17"/>
      <c r="E13" s="17"/>
      <c r="F13" s="17"/>
      <c r="G13" s="17"/>
      <c r="H13" s="18"/>
    </row>
    <row r="14" ht="15.75" customHeight="1">
      <c r="A14" s="46" t="s">
        <v>166</v>
      </c>
      <c r="B14" s="17"/>
      <c r="C14" s="17"/>
      <c r="D14" s="17"/>
      <c r="E14" s="17"/>
      <c r="F14" s="17"/>
      <c r="G14" s="17"/>
      <c r="H14" s="18"/>
    </row>
    <row r="15" ht="15.75" customHeight="1">
      <c r="A15" s="78" t="s">
        <v>247</v>
      </c>
      <c r="B15" s="48"/>
      <c r="C15" s="48"/>
      <c r="D15" s="48"/>
      <c r="E15" s="48"/>
      <c r="F15" s="48"/>
      <c r="G15" s="48"/>
      <c r="H15" s="49"/>
    </row>
    <row r="16" ht="15.75" customHeight="1">
      <c r="A16" s="50"/>
      <c r="B16" s="51"/>
      <c r="C16" s="51"/>
      <c r="D16" s="51"/>
      <c r="E16" s="51"/>
      <c r="F16" s="51"/>
      <c r="G16" s="51"/>
      <c r="H16" s="52"/>
    </row>
    <row r="17" ht="15.75" customHeight="1">
      <c r="A17" s="46" t="s">
        <v>168</v>
      </c>
      <c r="B17" s="17"/>
      <c r="C17" s="17"/>
      <c r="D17" s="17"/>
      <c r="E17" s="17"/>
      <c r="F17" s="17"/>
      <c r="G17" s="17"/>
      <c r="H17" s="18"/>
    </row>
    <row r="18" ht="15.75" customHeight="1">
      <c r="A18" s="68"/>
      <c r="B18" s="48"/>
      <c r="C18" s="48"/>
      <c r="D18" s="48"/>
      <c r="E18" s="48"/>
      <c r="F18" s="48"/>
      <c r="G18" s="48"/>
      <c r="H18" s="49"/>
    </row>
    <row r="19" ht="15.75" customHeight="1">
      <c r="A19" s="50"/>
      <c r="B19" s="51"/>
      <c r="C19" s="51"/>
      <c r="D19" s="51"/>
      <c r="E19" s="51"/>
      <c r="F19" s="51"/>
      <c r="G19" s="51"/>
      <c r="H19" s="52"/>
    </row>
    <row r="20" ht="15.75" customHeight="1"/>
    <row r="21" ht="15.75" customHeight="1">
      <c r="A21" s="44" t="s">
        <v>170</v>
      </c>
      <c r="G21" s="34" t="s">
        <v>120</v>
      </c>
      <c r="H21" s="45">
        <v>60.0</v>
      </c>
      <c r="I21" s="5"/>
    </row>
    <row r="22" ht="15.75" customHeight="1">
      <c r="G22" s="24" t="s">
        <v>171</v>
      </c>
    </row>
    <row r="23" ht="15.75" customHeight="1">
      <c r="A23" s="29" t="s">
        <v>172</v>
      </c>
      <c r="B23" s="20" t="s">
        <v>248</v>
      </c>
      <c r="C23" s="17"/>
      <c r="D23" s="17"/>
      <c r="E23" s="17"/>
      <c r="F23" s="17"/>
      <c r="G23" s="17"/>
      <c r="H23" s="18"/>
    </row>
    <row r="24" ht="15.75" customHeight="1">
      <c r="A24" s="29" t="s">
        <v>172</v>
      </c>
      <c r="B24" s="20" t="s">
        <v>83</v>
      </c>
      <c r="C24" s="17"/>
      <c r="D24" s="17"/>
      <c r="E24" s="17"/>
      <c r="F24" s="17"/>
      <c r="G24" s="17"/>
      <c r="H24" s="18"/>
    </row>
    <row r="25" ht="15.75" customHeight="1"/>
    <row r="26" ht="15.75" customHeight="1">
      <c r="A26" s="54" t="s">
        <v>174</v>
      </c>
      <c r="B26" s="5"/>
      <c r="C26" s="5"/>
      <c r="D26" s="5"/>
    </row>
    <row r="27" ht="15.75" customHeight="1">
      <c r="A27" s="55" t="s">
        <v>5</v>
      </c>
      <c r="B27" s="56" t="s">
        <v>175</v>
      </c>
      <c r="C27" s="18"/>
      <c r="D27" s="56" t="s">
        <v>176</v>
      </c>
      <c r="E27" s="18"/>
      <c r="F27" s="56" t="s">
        <v>177</v>
      </c>
      <c r="G27" s="17"/>
      <c r="H27" s="18"/>
    </row>
    <row r="28" ht="15.75" customHeight="1">
      <c r="A28" s="19">
        <v>1.0</v>
      </c>
      <c r="B28" s="16" t="str">
        <f>IFERROR(__xludf.DUMMYFUNCTION("FILTER('Diseño'!D:D,'Diseño'!H:H=$C$5)"),"Analisis Sintactico")</f>
        <v>Analisis Sintactico</v>
      </c>
      <c r="C28" s="18"/>
      <c r="D28" s="16" t="str">
        <f>IFERROR(__xludf.DUMMYFUNCTION("FILTER('Diseño'!E:E,'Diseño'!H:H=$C$5)"),"Arboles de Derivacion y Ambigueadad")</f>
        <v>Arboles de Derivacion y Ambigueadad</v>
      </c>
      <c r="E28" s="18"/>
      <c r="F28" s="16" t="str">
        <f>IFERROR(__xludf.DUMMYFUNCTION("FILTER('Diseño'!F:F,'Diseño'!H:H=$C$5)"),"Árboles de derivación")</f>
        <v>Árboles de derivación</v>
      </c>
      <c r="G28" s="17"/>
      <c r="H28" s="18"/>
    </row>
    <row r="29" ht="15.75" customHeight="1">
      <c r="A29" s="19">
        <v>2.0</v>
      </c>
      <c r="B29" s="16" t="str">
        <f>IFERROR(__xludf.DUMMYFUNCTION("""COMPUTED_VALUE"""),"Analisis Sintactico")</f>
        <v>Analisis Sintactico</v>
      </c>
      <c r="C29" s="18"/>
      <c r="D29" s="16" t="str">
        <f>IFERROR(__xludf.DUMMYFUNCTION("""COMPUTED_VALUE"""),"Arboles de Derivacion y Ambigueadad")</f>
        <v>Arboles de Derivacion y Ambigueadad</v>
      </c>
      <c r="E29" s="18"/>
      <c r="F29" s="16" t="str">
        <f>IFERROR(__xludf.DUMMYFUNCTION("""COMPUTED_VALUE"""),"Definición y construcción de árboles de derivación")</f>
        <v>Definición y construcción de árboles de derivación</v>
      </c>
      <c r="G29" s="17"/>
      <c r="H29" s="18"/>
    </row>
    <row r="30" ht="15.75" customHeight="1">
      <c r="A30" s="19">
        <v>3.0</v>
      </c>
      <c r="B30" s="16" t="str">
        <f>IFERROR(__xludf.DUMMYFUNCTION("""COMPUTED_VALUE"""),"Analisis Sintactico")</f>
        <v>Analisis Sintactico</v>
      </c>
      <c r="C30" s="18"/>
      <c r="D30" s="16" t="str">
        <f>IFERROR(__xludf.DUMMYFUNCTION("""COMPUTED_VALUE"""),"Arboles de Derivacion y Ambigueadad")</f>
        <v>Arboles de Derivacion y Ambigueadad</v>
      </c>
      <c r="E30" s="18"/>
      <c r="F30" s="16" t="str">
        <f>IFERROR(__xludf.DUMMYFUNCTION("""COMPUTED_VALUE"""),"Ambigüedad")</f>
        <v>Ambigüedad</v>
      </c>
      <c r="G30" s="17"/>
      <c r="H30" s="18"/>
    </row>
    <row r="31" ht="15.75" customHeight="1">
      <c r="A31" s="19">
        <v>4.0</v>
      </c>
      <c r="B31" s="16" t="str">
        <f>IFERROR(__xludf.DUMMYFUNCTION("""COMPUTED_VALUE"""),"Analisis Sintactico")</f>
        <v>Analisis Sintactico</v>
      </c>
      <c r="C31" s="18"/>
      <c r="D31" s="16" t="str">
        <f>IFERROR(__xludf.DUMMYFUNCTION("""COMPUTED_VALUE"""),"Arboles de Derivacion y Ambigueadad")</f>
        <v>Arboles de Derivacion y Ambigueadad</v>
      </c>
      <c r="E31" s="18"/>
      <c r="F31" s="16" t="str">
        <f>IFERROR(__xludf.DUMMYFUNCTION("""COMPUTED_VALUE"""),"Concepto de ambigüedad en gramáticas")</f>
        <v>Concepto de ambigüedad en gramáticas</v>
      </c>
      <c r="G31" s="17"/>
      <c r="H31" s="18"/>
    </row>
    <row r="32" ht="15.75" customHeight="1">
      <c r="A32" s="19">
        <v>5.0</v>
      </c>
      <c r="B32" s="16" t="str">
        <f>IFERROR(__xludf.DUMMYFUNCTION("""COMPUTED_VALUE"""),"Analisis Sintactico")</f>
        <v>Analisis Sintactico</v>
      </c>
      <c r="C32" s="18"/>
      <c r="D32" s="16" t="str">
        <f>IFERROR(__xludf.DUMMYFUNCTION("""COMPUTED_VALUE"""),"Arboles de Derivacion y Ambigueadad")</f>
        <v>Arboles de Derivacion y Ambigueadad</v>
      </c>
      <c r="E32" s="18"/>
      <c r="F32" s="16" t="str">
        <f>IFERROR(__xludf.DUMMYFUNCTION("""COMPUTED_VALUE"""),"Ejemplos de gramáticas ambiguas")</f>
        <v>Ejemplos de gramáticas ambiguas</v>
      </c>
      <c r="G32" s="17"/>
      <c r="H32" s="18"/>
    </row>
    <row r="33" ht="15.75" customHeight="1">
      <c r="A33" s="19">
        <v>6.0</v>
      </c>
      <c r="B33" s="16" t="str">
        <f>IFERROR(__xludf.DUMMYFUNCTION("""COMPUTED_VALUE"""),"Analisis Sintactico")</f>
        <v>Analisis Sintactico</v>
      </c>
      <c r="C33" s="18"/>
      <c r="D33" s="16" t="str">
        <f>IFERROR(__xludf.DUMMYFUNCTION("""COMPUTED_VALUE"""),"Arboles de Derivacion y Ambigueadad")</f>
        <v>Arboles de Derivacion y Ambigueadad</v>
      </c>
      <c r="E33" s="18"/>
      <c r="F33" s="16" t="str">
        <f>IFERROR(__xludf.DUMMYFUNCTION("""COMPUTED_VALUE"""),"Recursividad")</f>
        <v>Recursividad</v>
      </c>
      <c r="G33" s="17"/>
      <c r="H33" s="18"/>
    </row>
    <row r="34" ht="15.75" customHeight="1">
      <c r="A34" s="19">
        <v>7.0</v>
      </c>
      <c r="B34" s="16" t="str">
        <f>IFERROR(__xludf.DUMMYFUNCTION("""COMPUTED_VALUE"""),"Analisis Sintactico")</f>
        <v>Analisis Sintactico</v>
      </c>
      <c r="C34" s="18"/>
      <c r="D34" s="16" t="str">
        <f>IFERROR(__xludf.DUMMYFUNCTION("""COMPUTED_VALUE"""),"Arboles de Derivacion y Ambigueadad")</f>
        <v>Arboles de Derivacion y Ambigueadad</v>
      </c>
      <c r="E34" s="18"/>
      <c r="F34" s="16" t="str">
        <f>IFERROR(__xludf.DUMMYFUNCTION("""COMPUTED_VALUE"""),"Definición de recursividad en gramáticas")</f>
        <v>Definición de recursividad en gramáticas</v>
      </c>
      <c r="G34" s="17"/>
      <c r="H34" s="18"/>
    </row>
    <row r="35" ht="15.75" customHeight="1">
      <c r="A35" s="19">
        <v>8.0</v>
      </c>
      <c r="B35" s="16" t="str">
        <f>IFERROR(__xludf.DUMMYFUNCTION("""COMPUTED_VALUE"""),"Analisis Sintactico")</f>
        <v>Analisis Sintactico</v>
      </c>
      <c r="C35" s="18"/>
      <c r="D35" s="16" t="str">
        <f>IFERROR(__xludf.DUMMYFUNCTION("""COMPUTED_VALUE"""),"Arboles de Derivacion y Ambigueadad")</f>
        <v>Arboles de Derivacion y Ambigueadad</v>
      </c>
      <c r="E35" s="18"/>
      <c r="F35" s="16" t="str">
        <f>IFERROR(__xludf.DUMMYFUNCTION("""COMPUTED_VALUE"""),"Ejemplos de gramáticas recursivas")</f>
        <v>Ejemplos de gramáticas recursivas</v>
      </c>
      <c r="G35" s="17"/>
      <c r="H35" s="18"/>
    </row>
    <row r="36" ht="15.75" customHeight="1">
      <c r="A36" s="19">
        <v>9.0</v>
      </c>
      <c r="B36" s="16" t="str">
        <f>IFERROR(__xludf.DUMMYFUNCTION("""COMPUTED_VALUE"""),"Analisis Sintactico")</f>
        <v>Analisis Sintactico</v>
      </c>
      <c r="C36" s="18"/>
      <c r="D36" s="16" t="str">
        <f>IFERROR(__xludf.DUMMYFUNCTION("""COMPUTED_VALUE"""),"Automatas de Pila")</f>
        <v>Automatas de Pila</v>
      </c>
      <c r="E36" s="18"/>
      <c r="F36" s="16" t="str">
        <f>IFERROR(__xludf.DUMMYFUNCTION("""COMPUTED_VALUE"""),"Introducción a los autómatas de pila")</f>
        <v>Introducción a los autómatas de pila</v>
      </c>
      <c r="G36" s="17"/>
      <c r="H36" s="18"/>
    </row>
    <row r="37" ht="15.75" customHeight="1">
      <c r="A37" s="19">
        <v>10.0</v>
      </c>
      <c r="B37" s="16" t="str">
        <f>IFERROR(__xludf.DUMMYFUNCTION("""COMPUTED_VALUE"""),"Analisis Sintactico")</f>
        <v>Analisis Sintactico</v>
      </c>
      <c r="C37" s="18"/>
      <c r="D37" s="16" t="str">
        <f>IFERROR(__xludf.DUMMYFUNCTION("""COMPUTED_VALUE"""),"Automatas de Pila")</f>
        <v>Automatas de Pila</v>
      </c>
      <c r="E37" s="18"/>
      <c r="F37" s="16" t="str">
        <f>IFERROR(__xludf.DUMMYFUNCTION("""COMPUTED_VALUE"""),"Definición y funcionamiento de un autómata de pila")</f>
        <v>Definición y funcionamiento de un autómata de pila</v>
      </c>
      <c r="G37" s="17"/>
      <c r="H37" s="18"/>
    </row>
    <row r="38" ht="15.75" customHeight="1">
      <c r="A38" s="19">
        <v>11.0</v>
      </c>
      <c r="B38" s="16" t="str">
        <f>IFERROR(__xludf.DUMMYFUNCTION("""COMPUTED_VALUE"""),"Analisis Sintactico")</f>
        <v>Analisis Sintactico</v>
      </c>
      <c r="C38" s="18"/>
      <c r="D38" s="16" t="str">
        <f>IFERROR(__xludf.DUMMYFUNCTION("""COMPUTED_VALUE"""),"Automatas de Pila")</f>
        <v>Automatas de Pila</v>
      </c>
      <c r="E38" s="18"/>
      <c r="F38" s="16" t="str">
        <f>IFERROR(__xludf.DUMMYFUNCTION("""COMPUTED_VALUE"""),"Diferencias entre autómatas de pila y autómatas finitos")</f>
        <v>Diferencias entre autómatas de pila y autómatas finitos</v>
      </c>
      <c r="G38" s="17"/>
      <c r="H38" s="18"/>
    </row>
    <row r="39" ht="15.75" customHeight="1">
      <c r="A39" s="19">
        <v>12.0</v>
      </c>
      <c r="B39" s="16" t="str">
        <f>IFERROR(__xludf.DUMMYFUNCTION("""COMPUTED_VALUE"""),"Analisis Sintactico")</f>
        <v>Analisis Sintactico</v>
      </c>
      <c r="C39" s="18"/>
      <c r="D39" s="16" t="str">
        <f>IFERROR(__xludf.DUMMYFUNCTION("""COMPUTED_VALUE"""),"Automatas de Pila")</f>
        <v>Automatas de Pila</v>
      </c>
      <c r="E39" s="18"/>
      <c r="F39" s="16" t="str">
        <f>IFERROR(__xludf.DUMMYFUNCTION("""COMPUTED_VALUE"""),"Procesamiento")</f>
        <v>Procesamiento</v>
      </c>
      <c r="G39" s="17"/>
      <c r="H39" s="18"/>
    </row>
    <row r="40" ht="15.75" customHeight="1">
      <c r="A40" s="19">
        <v>13.0</v>
      </c>
      <c r="B40" s="16" t="str">
        <f>IFERROR(__xludf.DUMMYFUNCTION("""COMPUTED_VALUE"""),"Analisis Sintactico")</f>
        <v>Analisis Sintactico</v>
      </c>
      <c r="C40" s="18"/>
      <c r="D40" s="16" t="str">
        <f>IFERROR(__xludf.DUMMYFUNCTION("""COMPUTED_VALUE"""),"Automatas de Pila")</f>
        <v>Automatas de Pila</v>
      </c>
      <c r="E40" s="18"/>
      <c r="F40" s="16" t="str">
        <f>IFERROR(__xludf.DUMMYFUNCTION("""COMPUTED_VALUE"""),"Tipos de aceptación")</f>
        <v>Tipos de aceptación</v>
      </c>
      <c r="G40" s="17"/>
      <c r="H40" s="18"/>
    </row>
    <row r="41" ht="15.75" customHeight="1">
      <c r="A41" s="19">
        <v>14.0</v>
      </c>
      <c r="B41" s="16" t="str">
        <f>IFERROR(__xludf.DUMMYFUNCTION("""COMPUTED_VALUE"""),"Analisis Sintactico")</f>
        <v>Analisis Sintactico</v>
      </c>
      <c r="C41" s="18"/>
      <c r="D41" s="16" t="str">
        <f>IFERROR(__xludf.DUMMYFUNCTION("""COMPUTED_VALUE"""),"Automatas de Pila")</f>
        <v>Automatas de Pila</v>
      </c>
      <c r="E41" s="18"/>
      <c r="F41" s="16" t="str">
        <f>IFERROR(__xludf.DUMMYFUNCTION("""COMPUTED_VALUE"""),"Estado Final")</f>
        <v>Estado Final</v>
      </c>
      <c r="G41" s="17"/>
      <c r="H41" s="18"/>
    </row>
    <row r="42" ht="15.75" customHeight="1">
      <c r="A42" s="19">
        <v>15.0</v>
      </c>
      <c r="B42" s="16" t="str">
        <f>IFERROR(__xludf.DUMMYFUNCTION("""COMPUTED_VALUE"""),"Analisis Sintactico")</f>
        <v>Analisis Sintactico</v>
      </c>
      <c r="C42" s="18"/>
      <c r="D42" s="16" t="str">
        <f>IFERROR(__xludf.DUMMYFUNCTION("""COMPUTED_VALUE"""),"Automatas de Pila")</f>
        <v>Automatas de Pila</v>
      </c>
      <c r="E42" s="18"/>
      <c r="F42" s="16" t="str">
        <f>IFERROR(__xludf.DUMMYFUNCTION("""COMPUTED_VALUE"""),"Pila vacía")</f>
        <v>Pila vacía</v>
      </c>
      <c r="G42" s="17"/>
      <c r="H42" s="18"/>
    </row>
    <row r="43" ht="15.75" customHeight="1">
      <c r="A43" s="19">
        <v>16.0</v>
      </c>
      <c r="B43" s="16" t="str">
        <f>IFERROR(__xludf.DUMMYFUNCTION("""COMPUTED_VALUE"""),"Analisis Sintactico")</f>
        <v>Analisis Sintactico</v>
      </c>
      <c r="C43" s="18"/>
      <c r="D43" s="16" t="str">
        <f>IFERROR(__xludf.DUMMYFUNCTION("""COMPUTED_VALUE"""),"Automatas de Pila")</f>
        <v>Automatas de Pila</v>
      </c>
      <c r="E43" s="18"/>
      <c r="F43" s="16" t="str">
        <f>IFERROR(__xludf.DUMMYFUNCTION("""COMPUTED_VALUE"""),"Autómata de Pila desde Gramática Tipo 2")</f>
        <v>Autómata de Pila desde Gramática Tipo 2</v>
      </c>
      <c r="G43" s="17"/>
      <c r="H43" s="18"/>
    </row>
    <row r="44" ht="15.75" customHeight="1"/>
    <row r="45" ht="15.75" customHeight="1">
      <c r="A45" s="54" t="s">
        <v>178</v>
      </c>
    </row>
    <row r="46" ht="15.75" customHeight="1">
      <c r="A46" s="5"/>
      <c r="B46" s="5"/>
      <c r="C46" s="5"/>
      <c r="D46" s="5"/>
      <c r="E46" s="5"/>
      <c r="F46" s="5"/>
      <c r="G46" s="5"/>
      <c r="H46" s="5"/>
    </row>
    <row r="47" ht="15.75" customHeight="1">
      <c r="A47" s="55" t="s">
        <v>179</v>
      </c>
      <c r="B47" s="55" t="s">
        <v>180</v>
      </c>
      <c r="C47" s="60" t="s">
        <v>181</v>
      </c>
      <c r="D47" s="61" t="s">
        <v>120</v>
      </c>
      <c r="E47" s="17"/>
      <c r="F47" s="17"/>
      <c r="G47" s="17"/>
      <c r="H47" s="18"/>
    </row>
    <row r="48" ht="15.75" customHeight="1">
      <c r="A48" s="19" t="s">
        <v>182</v>
      </c>
      <c r="B48" s="19" t="s">
        <v>183</v>
      </c>
      <c r="C48" s="62" t="s">
        <v>224</v>
      </c>
      <c r="D48" s="20" t="s">
        <v>215</v>
      </c>
      <c r="E48" s="17"/>
      <c r="F48" s="17"/>
      <c r="G48" s="17"/>
      <c r="H48" s="18"/>
    </row>
    <row r="49" ht="15.75" customHeight="1">
      <c r="A49" s="19" t="s">
        <v>184</v>
      </c>
      <c r="B49" s="19" t="s">
        <v>183</v>
      </c>
      <c r="C49" s="62" t="s">
        <v>216</v>
      </c>
      <c r="D49" s="20" t="s">
        <v>217</v>
      </c>
      <c r="E49" s="17"/>
      <c r="F49" s="17"/>
      <c r="G49" s="17"/>
      <c r="H49" s="18"/>
    </row>
    <row r="50" ht="15.75" customHeight="1">
      <c r="A50" s="19" t="s">
        <v>186</v>
      </c>
      <c r="B50" s="19" t="s">
        <v>187</v>
      </c>
      <c r="C50" s="62" t="s">
        <v>218</v>
      </c>
      <c r="D50" s="20" t="s">
        <v>219</v>
      </c>
      <c r="E50" s="17"/>
      <c r="F50" s="17"/>
      <c r="G50" s="17"/>
      <c r="H50" s="18"/>
    </row>
    <row r="51" ht="15.75" customHeight="1">
      <c r="A51" s="19" t="s">
        <v>188</v>
      </c>
      <c r="B51" s="19" t="s">
        <v>183</v>
      </c>
      <c r="C51" s="62" t="s">
        <v>216</v>
      </c>
      <c r="D51" s="20" t="s">
        <v>217</v>
      </c>
      <c r="E51" s="17"/>
      <c r="F51" s="17"/>
      <c r="G51" s="17"/>
      <c r="H51" s="18"/>
    </row>
    <row r="52" ht="15.75" customHeight="1"/>
    <row r="53" ht="15.75" customHeight="1">
      <c r="A53" s="44" t="s">
        <v>189</v>
      </c>
      <c r="G53" s="34" t="s">
        <v>120</v>
      </c>
      <c r="H53" s="45">
        <v>35.0</v>
      </c>
    </row>
    <row r="54" ht="15.75" customHeight="1">
      <c r="G54" s="24" t="s">
        <v>190</v>
      </c>
    </row>
    <row r="55" ht="15.75" customHeight="1">
      <c r="A55" s="24" t="s">
        <v>191</v>
      </c>
    </row>
    <row r="56" ht="15.75" customHeight="1">
      <c r="A56" s="29" t="s">
        <v>192</v>
      </c>
      <c r="B56" s="20" t="s">
        <v>92</v>
      </c>
      <c r="C56" s="17"/>
      <c r="D56" s="17"/>
      <c r="E56" s="17"/>
      <c r="F56" s="17"/>
      <c r="G56" s="17"/>
      <c r="H56" s="18"/>
    </row>
    <row r="57" ht="15.75" customHeight="1">
      <c r="A57" s="29" t="s">
        <v>193</v>
      </c>
      <c r="B57" s="16" t="s">
        <v>229</v>
      </c>
      <c r="C57" s="17"/>
      <c r="D57" s="17"/>
      <c r="E57" s="17"/>
      <c r="F57" s="17"/>
      <c r="G57" s="17"/>
      <c r="H57" s="18"/>
    </row>
    <row r="58" ht="15.75" customHeight="1">
      <c r="A58" s="29" t="s">
        <v>160</v>
      </c>
      <c r="B58" s="63">
        <v>0.0</v>
      </c>
      <c r="C58" s="17"/>
      <c r="D58" s="17"/>
      <c r="E58" s="17"/>
      <c r="F58" s="17"/>
      <c r="G58" s="17"/>
      <c r="H58" s="18"/>
    </row>
    <row r="59" ht="15.75" customHeight="1">
      <c r="A59" s="29" t="s">
        <v>120</v>
      </c>
      <c r="B59" s="20">
        <v>35.0</v>
      </c>
      <c r="C59" s="17"/>
      <c r="D59" s="17"/>
      <c r="E59" s="17"/>
      <c r="F59" s="17"/>
      <c r="G59" s="17"/>
      <c r="H59" s="18"/>
    </row>
    <row r="60" ht="15.75" customHeight="1">
      <c r="A60" s="38" t="s">
        <v>195</v>
      </c>
      <c r="B60" s="5"/>
      <c r="C60" s="5"/>
      <c r="D60" s="5"/>
      <c r="E60" s="5"/>
      <c r="F60" s="5"/>
      <c r="G60" s="5"/>
      <c r="H60" s="5"/>
    </row>
    <row r="61" ht="15.75" customHeight="1">
      <c r="A61" s="46" t="s">
        <v>196</v>
      </c>
      <c r="B61" s="17"/>
      <c r="C61" s="17"/>
      <c r="D61" s="17"/>
      <c r="E61" s="17"/>
      <c r="F61" s="17"/>
      <c r="G61" s="17"/>
      <c r="H61" s="18"/>
    </row>
    <row r="62" ht="15.75" customHeight="1">
      <c r="A62" s="68"/>
      <c r="B62" s="48"/>
      <c r="C62" s="48"/>
      <c r="D62" s="48"/>
      <c r="E62" s="48"/>
      <c r="F62" s="48"/>
      <c r="G62" s="48"/>
      <c r="H62" s="49"/>
    </row>
    <row r="63" ht="15.75" customHeight="1">
      <c r="A63" s="65"/>
      <c r="H63" s="66"/>
    </row>
    <row r="64" ht="15.75" customHeight="1">
      <c r="A64" s="50"/>
      <c r="B64" s="51"/>
      <c r="C64" s="51"/>
      <c r="D64" s="51"/>
      <c r="E64" s="51"/>
      <c r="F64" s="51"/>
      <c r="G64" s="51"/>
      <c r="H64" s="52"/>
    </row>
    <row r="65" ht="15.75" customHeight="1"/>
    <row r="66" ht="15.75" customHeight="1">
      <c r="A66" s="24" t="s">
        <v>198</v>
      </c>
    </row>
    <row r="67" ht="15.75" customHeight="1">
      <c r="A67" s="29" t="s">
        <v>192</v>
      </c>
      <c r="B67" s="16"/>
      <c r="C67" s="17"/>
      <c r="D67" s="17"/>
      <c r="E67" s="17"/>
      <c r="F67" s="17"/>
      <c r="G67" s="17"/>
      <c r="H67" s="18"/>
    </row>
    <row r="68" ht="15.75" customHeight="1">
      <c r="A68" s="29" t="s">
        <v>193</v>
      </c>
      <c r="B68" s="16"/>
      <c r="C68" s="17"/>
      <c r="D68" s="17"/>
      <c r="E68" s="17"/>
      <c r="F68" s="17"/>
      <c r="G68" s="17"/>
      <c r="H68" s="18"/>
    </row>
    <row r="69" ht="15.75" customHeight="1">
      <c r="A69" s="29" t="s">
        <v>160</v>
      </c>
      <c r="B69" s="63"/>
      <c r="C69" s="17"/>
      <c r="D69" s="17"/>
      <c r="E69" s="17"/>
      <c r="F69" s="17"/>
      <c r="G69" s="17"/>
      <c r="H69" s="18"/>
    </row>
    <row r="70" ht="15.75" customHeight="1">
      <c r="A70" s="29" t="s">
        <v>120</v>
      </c>
      <c r="B70" s="63"/>
      <c r="C70" s="17"/>
      <c r="D70" s="17"/>
      <c r="E70" s="17"/>
      <c r="F70" s="17"/>
      <c r="G70" s="17"/>
      <c r="H70" s="18"/>
    </row>
    <row r="71" ht="15.75" customHeight="1">
      <c r="A71" s="67" t="s">
        <v>199</v>
      </c>
      <c r="B71" s="5"/>
      <c r="C71" s="5"/>
      <c r="D71" s="5"/>
      <c r="E71" s="5"/>
      <c r="F71" s="5"/>
      <c r="G71" s="5"/>
      <c r="H71" s="5"/>
    </row>
    <row r="72" ht="15.75" customHeight="1">
      <c r="A72" s="46" t="s">
        <v>196</v>
      </c>
      <c r="B72" s="17"/>
      <c r="C72" s="17"/>
      <c r="D72" s="17"/>
      <c r="E72" s="17"/>
      <c r="F72" s="17"/>
      <c r="G72" s="17"/>
      <c r="H72" s="18"/>
    </row>
    <row r="73" ht="15.75" customHeight="1">
      <c r="A73" s="68"/>
      <c r="B73" s="48"/>
      <c r="C73" s="48"/>
      <c r="D73" s="48"/>
      <c r="E73" s="48"/>
      <c r="F73" s="48"/>
      <c r="G73" s="48"/>
      <c r="H73" s="49"/>
    </row>
    <row r="74" ht="15.75" customHeight="1">
      <c r="A74" s="65"/>
      <c r="H74" s="66"/>
    </row>
    <row r="75" ht="15.75" customHeight="1">
      <c r="A75" s="50"/>
      <c r="B75" s="51"/>
      <c r="C75" s="51"/>
      <c r="D75" s="51"/>
      <c r="E75" s="51"/>
      <c r="F75" s="51"/>
      <c r="G75" s="51"/>
      <c r="H75" s="52"/>
    </row>
    <row r="76" ht="15.75" customHeight="1"/>
    <row r="77" ht="15.75" customHeight="1">
      <c r="A77" s="44" t="s">
        <v>200</v>
      </c>
      <c r="G77" s="34" t="s">
        <v>120</v>
      </c>
      <c r="H77" s="45">
        <v>0.0</v>
      </c>
    </row>
    <row r="78" ht="15.75" customHeight="1">
      <c r="G78" s="24" t="s">
        <v>201</v>
      </c>
    </row>
    <row r="79" ht="15.75" customHeight="1">
      <c r="A79" s="29" t="s">
        <v>120</v>
      </c>
      <c r="B79" s="69">
        <v>10.0</v>
      </c>
      <c r="C79" s="17"/>
      <c r="D79" s="17"/>
      <c r="E79" s="17"/>
      <c r="F79" s="17"/>
      <c r="G79" s="17"/>
      <c r="H79" s="18"/>
    </row>
    <row r="80" ht="15.75" customHeight="1">
      <c r="A80" s="61" t="s">
        <v>202</v>
      </c>
      <c r="B80" s="17"/>
      <c r="C80" s="17"/>
      <c r="D80" s="17"/>
      <c r="E80" s="17"/>
      <c r="F80" s="17"/>
      <c r="G80" s="17"/>
      <c r="H80" s="18"/>
    </row>
    <row r="81" ht="15.75" customHeight="1">
      <c r="A81" s="68"/>
      <c r="B81" s="48"/>
      <c r="C81" s="48"/>
      <c r="D81" s="48"/>
      <c r="E81" s="48"/>
      <c r="F81" s="48"/>
      <c r="G81" s="48"/>
      <c r="H81" s="49"/>
    </row>
    <row r="82" ht="15.75" customHeight="1">
      <c r="A82" s="50"/>
      <c r="B82" s="51"/>
      <c r="C82" s="51"/>
      <c r="D82" s="51"/>
      <c r="E82" s="51"/>
      <c r="F82" s="51"/>
      <c r="G82" s="51"/>
      <c r="H82" s="52"/>
    </row>
    <row r="83" ht="15.75" customHeight="1">
      <c r="A83" s="24" t="s">
        <v>203</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8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B79:H79"/>
    <mergeCell ref="A80:H80"/>
    <mergeCell ref="A81:H82"/>
    <mergeCell ref="B67:H67"/>
    <mergeCell ref="B68:H68"/>
    <mergeCell ref="B69:H69"/>
    <mergeCell ref="B70:H70"/>
    <mergeCell ref="A72:H72"/>
    <mergeCell ref="A73:H75"/>
    <mergeCell ref="A77:F77"/>
    <mergeCell ref="D37:E37"/>
    <mergeCell ref="F37:H37"/>
    <mergeCell ref="B35:C35"/>
    <mergeCell ref="D35:E35"/>
    <mergeCell ref="F35:H35"/>
    <mergeCell ref="B36:C36"/>
    <mergeCell ref="D36:E36"/>
    <mergeCell ref="F36:H36"/>
    <mergeCell ref="B37:C37"/>
    <mergeCell ref="D40:E40"/>
    <mergeCell ref="F40:H40"/>
    <mergeCell ref="B38:C38"/>
    <mergeCell ref="D38:E38"/>
    <mergeCell ref="F38:H38"/>
    <mergeCell ref="B39:C39"/>
    <mergeCell ref="D39:E39"/>
    <mergeCell ref="F39:H39"/>
    <mergeCell ref="B40:C40"/>
    <mergeCell ref="B41:C41"/>
    <mergeCell ref="D41:E41"/>
    <mergeCell ref="F41:H41"/>
    <mergeCell ref="B42:C42"/>
    <mergeCell ref="D42:E42"/>
    <mergeCell ref="F42:H42"/>
    <mergeCell ref="B43:C43"/>
    <mergeCell ref="D43:E43"/>
    <mergeCell ref="F43:H43"/>
    <mergeCell ref="D47:H47"/>
    <mergeCell ref="D48:H48"/>
    <mergeCell ref="D49:H49"/>
    <mergeCell ref="D50:H50"/>
    <mergeCell ref="D51:H51"/>
    <mergeCell ref="A53:F53"/>
    <mergeCell ref="B56:H56"/>
    <mergeCell ref="B57:H57"/>
    <mergeCell ref="B58:H58"/>
    <mergeCell ref="B59:H59"/>
    <mergeCell ref="A61:H61"/>
    <mergeCell ref="A62:H64"/>
  </mergeCells>
  <dataValidations>
    <dataValidation type="list" allowBlank="1" showErrorMessage="1" sqref="B23:B24 B56 B67">
      <formula1>METADATA!$I$17:$I$40</formula1>
    </dataValidation>
    <dataValidation type="list" allowBlank="1" showErrorMessage="1" sqref="B57">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249</v>
      </c>
    </row>
    <row r="3" ht="15.75" customHeight="1"/>
    <row r="4" ht="15.75" customHeight="1">
      <c r="B4" s="15" t="s">
        <v>1</v>
      </c>
      <c r="C4" s="16" t="str">
        <f>'Diseño'!C4</f>
        <v>796 - Lenguajes Formales y de Programación</v>
      </c>
      <c r="D4" s="17"/>
      <c r="E4" s="17"/>
      <c r="F4" s="17"/>
      <c r="G4" s="18"/>
    </row>
    <row r="5" ht="15.75" customHeight="1">
      <c r="B5" s="43" t="s">
        <v>118</v>
      </c>
      <c r="C5" s="16">
        <f>H9+H26+H43</f>
        <v>55</v>
      </c>
      <c r="D5" s="17"/>
      <c r="E5" s="17"/>
      <c r="F5" s="17"/>
      <c r="G5" s="18"/>
    </row>
    <row r="6" ht="15.75" customHeight="1">
      <c r="B6" s="43" t="s">
        <v>160</v>
      </c>
      <c r="C6" s="20">
        <f>F9+F26</f>
        <v>65</v>
      </c>
      <c r="D6" s="17"/>
      <c r="E6" s="17"/>
      <c r="F6" s="17"/>
      <c r="G6" s="18"/>
    </row>
    <row r="7" ht="15.75" customHeight="1">
      <c r="B7" s="6" t="s">
        <v>250</v>
      </c>
    </row>
    <row r="8" ht="15.75" customHeight="1"/>
    <row r="9" ht="15.75" customHeight="1">
      <c r="A9" s="44" t="s">
        <v>251</v>
      </c>
      <c r="E9" s="34" t="s">
        <v>160</v>
      </c>
      <c r="F9" s="45">
        <v>25.0</v>
      </c>
      <c r="G9" s="34" t="s">
        <v>252</v>
      </c>
      <c r="H9" s="45">
        <v>20.0</v>
      </c>
    </row>
    <row r="10" ht="15.75" customHeight="1">
      <c r="A10" s="6" t="s">
        <v>183</v>
      </c>
    </row>
    <row r="11" ht="15.75" customHeight="1">
      <c r="A11" s="55" t="s">
        <v>172</v>
      </c>
      <c r="B11" s="20" t="s">
        <v>12</v>
      </c>
      <c r="C11" s="17"/>
      <c r="D11" s="17"/>
      <c r="E11" s="17"/>
      <c r="F11" s="17"/>
      <c r="G11" s="17"/>
      <c r="H11" s="18"/>
    </row>
    <row r="12" ht="15.75" customHeight="1">
      <c r="A12" s="55" t="s">
        <v>172</v>
      </c>
      <c r="B12" s="20" t="s">
        <v>48</v>
      </c>
      <c r="C12" s="17"/>
      <c r="D12" s="17"/>
      <c r="E12" s="17"/>
      <c r="F12" s="17"/>
      <c r="G12" s="17"/>
      <c r="H12" s="18"/>
    </row>
    <row r="13" ht="15.75" customHeight="1">
      <c r="A13" s="55" t="s">
        <v>172</v>
      </c>
      <c r="B13" s="20" t="s">
        <v>173</v>
      </c>
      <c r="C13" s="17"/>
      <c r="D13" s="17"/>
      <c r="E13" s="17"/>
      <c r="F13" s="17"/>
      <c r="G13" s="17"/>
      <c r="H13" s="18"/>
    </row>
    <row r="14" ht="15.75" customHeight="1">
      <c r="A14" s="55" t="s">
        <v>253</v>
      </c>
      <c r="B14" s="20" t="s">
        <v>254</v>
      </c>
      <c r="C14" s="17"/>
      <c r="D14" s="17"/>
      <c r="E14" s="17"/>
      <c r="F14" s="17"/>
      <c r="G14" s="17"/>
      <c r="H14" s="18"/>
    </row>
    <row r="15" ht="15.75" customHeight="1">
      <c r="A15" s="46" t="s">
        <v>255</v>
      </c>
      <c r="B15" s="17"/>
      <c r="C15" s="17"/>
      <c r="D15" s="17"/>
      <c r="E15" s="17"/>
      <c r="F15" s="17"/>
      <c r="G15" s="17"/>
      <c r="H15" s="18"/>
    </row>
    <row r="16" ht="15.75" customHeight="1">
      <c r="A16" s="78" t="s">
        <v>256</v>
      </c>
      <c r="B16" s="48"/>
      <c r="C16" s="48"/>
      <c r="D16" s="48"/>
      <c r="E16" s="48"/>
      <c r="F16" s="48"/>
      <c r="G16" s="48"/>
      <c r="H16" s="49"/>
    </row>
    <row r="17" ht="15.75" customHeight="1">
      <c r="A17" s="65"/>
      <c r="H17" s="66"/>
    </row>
    <row r="18" ht="15.75" customHeight="1">
      <c r="A18" s="50"/>
      <c r="B18" s="51"/>
      <c r="C18" s="51"/>
      <c r="D18" s="51"/>
      <c r="E18" s="51"/>
      <c r="F18" s="51"/>
      <c r="G18" s="51"/>
      <c r="H18" s="52"/>
    </row>
    <row r="19" ht="15.75" customHeight="1">
      <c r="A19" s="46" t="s">
        <v>257</v>
      </c>
      <c r="B19" s="17"/>
      <c r="C19" s="17"/>
      <c r="D19" s="17"/>
      <c r="E19" s="17"/>
      <c r="F19" s="17"/>
      <c r="G19" s="17"/>
      <c r="H19" s="18"/>
    </row>
    <row r="20" ht="15.75" customHeight="1">
      <c r="A20" s="78" t="s">
        <v>258</v>
      </c>
      <c r="B20" s="48"/>
      <c r="C20" s="48"/>
      <c r="D20" s="48"/>
      <c r="E20" s="48"/>
      <c r="F20" s="48"/>
      <c r="G20" s="48"/>
      <c r="H20" s="49"/>
    </row>
    <row r="21" ht="15.75" customHeight="1">
      <c r="A21" s="65"/>
      <c r="H21" s="66"/>
    </row>
    <row r="22" ht="15.75" customHeight="1">
      <c r="A22" s="65"/>
      <c r="H22" s="66"/>
    </row>
    <row r="23" ht="15.75" customHeight="1">
      <c r="A23" s="50"/>
      <c r="B23" s="51"/>
      <c r="C23" s="51"/>
      <c r="D23" s="51"/>
      <c r="E23" s="51"/>
      <c r="F23" s="51"/>
      <c r="G23" s="51"/>
      <c r="H23" s="52"/>
    </row>
    <row r="24" ht="15.75" customHeight="1"/>
    <row r="25" ht="15.75" customHeight="1"/>
    <row r="26" ht="15.75" customHeight="1">
      <c r="A26" s="44" t="s">
        <v>259</v>
      </c>
      <c r="E26" s="34" t="s">
        <v>160</v>
      </c>
      <c r="F26" s="45">
        <v>40.0</v>
      </c>
      <c r="G26" s="34" t="s">
        <v>252</v>
      </c>
      <c r="H26" s="45">
        <v>35.0</v>
      </c>
    </row>
    <row r="27" ht="15.75" customHeight="1">
      <c r="A27" s="6" t="s">
        <v>183</v>
      </c>
    </row>
    <row r="28" ht="15.75" customHeight="1">
      <c r="A28" s="55" t="s">
        <v>172</v>
      </c>
      <c r="B28" s="20" t="s">
        <v>33</v>
      </c>
      <c r="C28" s="17"/>
      <c r="D28" s="17"/>
      <c r="E28" s="17"/>
      <c r="F28" s="17"/>
      <c r="G28" s="17"/>
      <c r="H28" s="18"/>
    </row>
    <row r="29" ht="15.75" customHeight="1">
      <c r="A29" s="55" t="s">
        <v>172</v>
      </c>
      <c r="B29" s="20" t="s">
        <v>92</v>
      </c>
      <c r="C29" s="17"/>
      <c r="D29" s="17"/>
      <c r="E29" s="17"/>
      <c r="F29" s="17"/>
      <c r="G29" s="17"/>
      <c r="H29" s="18"/>
    </row>
    <row r="30" ht="15.75" customHeight="1">
      <c r="A30" s="55" t="s">
        <v>172</v>
      </c>
      <c r="B30" s="20" t="s">
        <v>83</v>
      </c>
      <c r="C30" s="17"/>
      <c r="D30" s="17"/>
      <c r="E30" s="17"/>
      <c r="F30" s="17"/>
      <c r="G30" s="17"/>
      <c r="H30" s="18"/>
    </row>
    <row r="31" ht="15.75" customHeight="1">
      <c r="A31" s="55" t="s">
        <v>253</v>
      </c>
      <c r="B31" s="20" t="s">
        <v>260</v>
      </c>
      <c r="C31" s="17"/>
      <c r="D31" s="17"/>
      <c r="E31" s="17"/>
      <c r="F31" s="17"/>
      <c r="G31" s="17"/>
      <c r="H31" s="18"/>
    </row>
    <row r="32" ht="15.75" customHeight="1">
      <c r="A32" s="46" t="s">
        <v>255</v>
      </c>
      <c r="B32" s="17"/>
      <c r="C32" s="17"/>
      <c r="D32" s="17"/>
      <c r="E32" s="17"/>
      <c r="F32" s="17"/>
      <c r="G32" s="17"/>
      <c r="H32" s="18"/>
    </row>
    <row r="33" ht="15.75" customHeight="1">
      <c r="A33" s="78" t="s">
        <v>261</v>
      </c>
      <c r="B33" s="48"/>
      <c r="C33" s="48"/>
      <c r="D33" s="48"/>
      <c r="E33" s="48"/>
      <c r="F33" s="48"/>
      <c r="G33" s="48"/>
      <c r="H33" s="49"/>
    </row>
    <row r="34" ht="15.75" customHeight="1">
      <c r="A34" s="65"/>
      <c r="H34" s="66"/>
    </row>
    <row r="35" ht="15.75" customHeight="1">
      <c r="A35" s="50"/>
      <c r="B35" s="51"/>
      <c r="C35" s="51"/>
      <c r="D35" s="51"/>
      <c r="E35" s="51"/>
      <c r="F35" s="51"/>
      <c r="G35" s="51"/>
      <c r="H35" s="52"/>
    </row>
    <row r="36" ht="15.75" customHeight="1">
      <c r="A36" s="46" t="s">
        <v>257</v>
      </c>
      <c r="B36" s="17"/>
      <c r="C36" s="17"/>
      <c r="D36" s="17"/>
      <c r="E36" s="17"/>
      <c r="F36" s="17"/>
      <c r="G36" s="17"/>
      <c r="H36" s="18"/>
    </row>
    <row r="37" ht="15.75" customHeight="1">
      <c r="A37" s="78" t="s">
        <v>262</v>
      </c>
      <c r="B37" s="48"/>
      <c r="C37" s="48"/>
      <c r="D37" s="48"/>
      <c r="E37" s="48"/>
      <c r="F37" s="48"/>
      <c r="G37" s="48"/>
      <c r="H37" s="49"/>
    </row>
    <row r="38" ht="15.75" customHeight="1">
      <c r="A38" s="65"/>
      <c r="H38" s="66"/>
    </row>
    <row r="39" ht="15.75" customHeight="1">
      <c r="A39" s="65"/>
      <c r="H39" s="66"/>
    </row>
    <row r="40" ht="15.75" customHeight="1">
      <c r="A40" s="50"/>
      <c r="B40" s="51"/>
      <c r="C40" s="51"/>
      <c r="D40" s="51"/>
      <c r="E40" s="51"/>
      <c r="F40" s="51"/>
      <c r="G40" s="51"/>
      <c r="H40" s="52"/>
    </row>
    <row r="41" ht="15.75" customHeight="1"/>
    <row r="42" ht="15.75" customHeight="1"/>
    <row r="43" ht="15.75" customHeight="1">
      <c r="A43" s="44" t="s">
        <v>263</v>
      </c>
      <c r="E43" s="34" t="s">
        <v>160</v>
      </c>
      <c r="F43" s="71"/>
      <c r="G43" s="34" t="s">
        <v>252</v>
      </c>
      <c r="H43" s="71"/>
    </row>
    <row r="44" ht="15.75" customHeight="1">
      <c r="A44" s="38" t="s">
        <v>264</v>
      </c>
    </row>
    <row r="45" ht="15.75" customHeight="1">
      <c r="A45" s="55" t="s">
        <v>172</v>
      </c>
      <c r="B45" s="16"/>
      <c r="C45" s="17"/>
      <c r="D45" s="17"/>
      <c r="E45" s="17"/>
      <c r="F45" s="17"/>
      <c r="G45" s="17"/>
      <c r="H45" s="18"/>
    </row>
    <row r="46" ht="15.75" customHeight="1">
      <c r="A46" s="55" t="s">
        <v>172</v>
      </c>
      <c r="B46" s="16"/>
      <c r="C46" s="17"/>
      <c r="D46" s="17"/>
      <c r="E46" s="17"/>
      <c r="F46" s="17"/>
      <c r="G46" s="17"/>
      <c r="H46" s="18"/>
    </row>
    <row r="47" ht="15.75" customHeight="1">
      <c r="A47" s="55" t="s">
        <v>172</v>
      </c>
      <c r="B47" s="16"/>
      <c r="C47" s="17"/>
      <c r="D47" s="17"/>
      <c r="E47" s="17"/>
      <c r="F47" s="17"/>
      <c r="G47" s="17"/>
      <c r="H47" s="18"/>
    </row>
    <row r="48" ht="15.75" customHeight="1">
      <c r="A48" s="55" t="s">
        <v>253</v>
      </c>
      <c r="B48" s="16"/>
      <c r="C48" s="17"/>
      <c r="D48" s="17"/>
      <c r="E48" s="17"/>
      <c r="F48" s="17"/>
      <c r="G48" s="17"/>
      <c r="H48" s="18"/>
    </row>
    <row r="49" ht="15.75" customHeight="1">
      <c r="A49" s="46" t="s">
        <v>255</v>
      </c>
      <c r="B49" s="17"/>
      <c r="C49" s="17"/>
      <c r="D49" s="17"/>
      <c r="E49" s="17"/>
      <c r="F49" s="17"/>
      <c r="G49" s="17"/>
      <c r="H49" s="18"/>
    </row>
    <row r="50" ht="15.75" customHeight="1">
      <c r="A50" s="68"/>
      <c r="B50" s="48"/>
      <c r="C50" s="48"/>
      <c r="D50" s="48"/>
      <c r="E50" s="48"/>
      <c r="F50" s="48"/>
      <c r="G50" s="48"/>
      <c r="H50" s="49"/>
    </row>
    <row r="51" ht="15.75" customHeight="1">
      <c r="A51" s="65"/>
      <c r="H51" s="66"/>
    </row>
    <row r="52" ht="15.75" customHeight="1">
      <c r="A52" s="50"/>
      <c r="B52" s="51"/>
      <c r="C52" s="51"/>
      <c r="D52" s="51"/>
      <c r="E52" s="51"/>
      <c r="F52" s="51"/>
      <c r="G52" s="51"/>
      <c r="H52" s="52"/>
    </row>
    <row r="53" ht="15.75" customHeight="1">
      <c r="A53" s="46" t="s">
        <v>257</v>
      </c>
      <c r="B53" s="17"/>
      <c r="C53" s="17"/>
      <c r="D53" s="17"/>
      <c r="E53" s="17"/>
      <c r="F53" s="17"/>
      <c r="G53" s="17"/>
      <c r="H53" s="18"/>
    </row>
    <row r="54" ht="15.75" customHeight="1">
      <c r="A54" s="68"/>
      <c r="B54" s="48"/>
      <c r="C54" s="48"/>
      <c r="D54" s="48"/>
      <c r="E54" s="48"/>
      <c r="F54" s="48"/>
      <c r="G54" s="48"/>
      <c r="H54" s="49"/>
    </row>
    <row r="55" ht="15.75" customHeight="1">
      <c r="A55" s="65"/>
      <c r="H55" s="66"/>
    </row>
    <row r="56" ht="15.75" customHeight="1">
      <c r="A56" s="65"/>
      <c r="H56" s="66"/>
    </row>
    <row r="57" ht="15.75" customHeight="1">
      <c r="A57" s="50"/>
      <c r="B57" s="51"/>
      <c r="C57" s="51"/>
      <c r="D57" s="51"/>
      <c r="E57" s="51"/>
      <c r="F57" s="51"/>
      <c r="G57" s="51"/>
      <c r="H57" s="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265</v>
      </c>
    </row>
    <row r="3" ht="15.75" customHeight="1"/>
    <row r="4" ht="15.75" customHeight="1">
      <c r="B4" s="15" t="s">
        <v>1</v>
      </c>
      <c r="C4" s="16" t="str">
        <f>'Diseño'!C4</f>
        <v>796 - Lenguajes Formales y de Programación</v>
      </c>
      <c r="D4" s="17"/>
      <c r="E4" s="17"/>
      <c r="F4" s="17"/>
      <c r="G4" s="18"/>
    </row>
    <row r="5" ht="15.75" customHeight="1">
      <c r="B5" s="43" t="s">
        <v>118</v>
      </c>
      <c r="C5" s="16">
        <f>H9+H26+H43+H60+H77+H94+H111</f>
        <v>10</v>
      </c>
      <c r="D5" s="17"/>
      <c r="E5" s="17"/>
      <c r="F5" s="17"/>
      <c r="G5" s="18"/>
    </row>
    <row r="6" ht="15.75" customHeight="1">
      <c r="B6" s="43" t="s">
        <v>160</v>
      </c>
      <c r="C6" s="16">
        <f>F9+F26+F43+F60+F77+F94+F111</f>
        <v>15</v>
      </c>
      <c r="D6" s="17"/>
      <c r="E6" s="17"/>
      <c r="F6" s="17"/>
      <c r="G6" s="18"/>
    </row>
    <row r="7" ht="15.75" customHeight="1">
      <c r="B7" s="6" t="s">
        <v>266</v>
      </c>
    </row>
    <row r="8" ht="15.75" customHeight="1"/>
    <row r="9" ht="15.75" customHeight="1">
      <c r="A9" s="44" t="s">
        <v>267</v>
      </c>
      <c r="E9" s="34" t="s">
        <v>160</v>
      </c>
      <c r="F9" s="45">
        <v>15.0</v>
      </c>
      <c r="G9" s="34" t="s">
        <v>252</v>
      </c>
      <c r="H9" s="45">
        <v>10.0</v>
      </c>
    </row>
    <row r="10" ht="15.75" customHeight="1">
      <c r="A10" s="6" t="s">
        <v>268</v>
      </c>
    </row>
    <row r="11" ht="30.75" customHeight="1">
      <c r="A11" s="55" t="s">
        <v>172</v>
      </c>
      <c r="B11" s="53" t="s">
        <v>12</v>
      </c>
      <c r="C11" s="17"/>
      <c r="D11" s="17"/>
      <c r="E11" s="17"/>
      <c r="F11" s="17"/>
      <c r="G11" s="17"/>
      <c r="H11" s="18"/>
    </row>
    <row r="12" ht="32.25" customHeight="1">
      <c r="A12" s="55" t="s">
        <v>172</v>
      </c>
      <c r="B12" s="53" t="s">
        <v>173</v>
      </c>
      <c r="C12" s="17"/>
      <c r="D12" s="17"/>
      <c r="E12" s="17"/>
      <c r="F12" s="17"/>
      <c r="G12" s="17"/>
      <c r="H12" s="18"/>
    </row>
    <row r="13" ht="36.75" customHeight="1">
      <c r="A13" s="55" t="s">
        <v>172</v>
      </c>
      <c r="B13" s="53" t="s">
        <v>33</v>
      </c>
      <c r="C13" s="17"/>
      <c r="D13" s="17"/>
      <c r="E13" s="17"/>
      <c r="F13" s="17"/>
      <c r="G13" s="17"/>
      <c r="H13" s="18"/>
    </row>
    <row r="14" ht="15.75" customHeight="1">
      <c r="A14" s="55" t="s">
        <v>253</v>
      </c>
      <c r="B14" s="20" t="s">
        <v>269</v>
      </c>
      <c r="C14" s="17"/>
      <c r="D14" s="17"/>
      <c r="E14" s="17"/>
      <c r="F14" s="17"/>
      <c r="G14" s="17"/>
      <c r="H14" s="18"/>
    </row>
    <row r="15" ht="15.75" customHeight="1">
      <c r="A15" s="46" t="s">
        <v>255</v>
      </c>
      <c r="B15" s="17"/>
      <c r="C15" s="17"/>
      <c r="D15" s="17"/>
      <c r="E15" s="17"/>
      <c r="F15" s="17"/>
      <c r="G15" s="17"/>
      <c r="H15" s="18"/>
    </row>
    <row r="16" ht="15.75" customHeight="1">
      <c r="A16" s="78" t="s">
        <v>270</v>
      </c>
      <c r="B16" s="48"/>
      <c r="C16" s="48"/>
      <c r="D16" s="48"/>
      <c r="E16" s="48"/>
      <c r="F16" s="48"/>
      <c r="G16" s="48"/>
      <c r="H16" s="49"/>
    </row>
    <row r="17" ht="15.75" customHeight="1">
      <c r="A17" s="65"/>
      <c r="H17" s="66"/>
    </row>
    <row r="18" ht="15.75" customHeight="1">
      <c r="A18" s="50"/>
      <c r="B18" s="51"/>
      <c r="C18" s="51"/>
      <c r="D18" s="51"/>
      <c r="E18" s="51"/>
      <c r="F18" s="51"/>
      <c r="G18" s="51"/>
      <c r="H18" s="52"/>
    </row>
    <row r="19" ht="15.75" customHeight="1">
      <c r="A19" s="46" t="s">
        <v>257</v>
      </c>
      <c r="B19" s="17"/>
      <c r="C19" s="17"/>
      <c r="D19" s="17"/>
      <c r="E19" s="17"/>
      <c r="F19" s="17"/>
      <c r="G19" s="17"/>
      <c r="H19" s="18"/>
    </row>
    <row r="20" ht="15.75" customHeight="1">
      <c r="A20" s="47" t="s">
        <v>271</v>
      </c>
      <c r="B20" s="48"/>
      <c r="C20" s="48"/>
      <c r="D20" s="48"/>
      <c r="E20" s="48"/>
      <c r="F20" s="48"/>
      <c r="G20" s="48"/>
      <c r="H20" s="49"/>
    </row>
    <row r="21" ht="15.75" customHeight="1">
      <c r="A21" s="65"/>
      <c r="H21" s="66"/>
    </row>
    <row r="22" ht="15.75" customHeight="1">
      <c r="A22" s="65"/>
      <c r="H22" s="66"/>
    </row>
    <row r="23" ht="117.75" customHeight="1">
      <c r="A23" s="50"/>
      <c r="B23" s="51"/>
      <c r="C23" s="51"/>
      <c r="D23" s="51"/>
      <c r="E23" s="51"/>
      <c r="F23" s="51"/>
      <c r="G23" s="51"/>
      <c r="H23" s="52"/>
    </row>
    <row r="24" ht="15.75" customHeight="1"/>
    <row r="25" ht="15.75" customHeight="1"/>
    <row r="26" ht="15.75" customHeight="1">
      <c r="A26" s="44" t="s">
        <v>272</v>
      </c>
      <c r="E26" s="34" t="s">
        <v>160</v>
      </c>
      <c r="F26" s="71"/>
      <c r="G26" s="34" t="s">
        <v>252</v>
      </c>
      <c r="H26" s="71"/>
    </row>
    <row r="27" ht="15.75" customHeight="1">
      <c r="A27" s="38" t="s">
        <v>264</v>
      </c>
    </row>
    <row r="28" ht="15.75" customHeight="1">
      <c r="A28" s="55" t="s">
        <v>172</v>
      </c>
      <c r="B28" s="16"/>
      <c r="C28" s="17"/>
      <c r="D28" s="17"/>
      <c r="E28" s="17"/>
      <c r="F28" s="17"/>
      <c r="G28" s="17"/>
      <c r="H28" s="18"/>
    </row>
    <row r="29" ht="15.75" customHeight="1">
      <c r="A29" s="55" t="s">
        <v>172</v>
      </c>
      <c r="B29" s="16"/>
      <c r="C29" s="17"/>
      <c r="D29" s="17"/>
      <c r="E29" s="17"/>
      <c r="F29" s="17"/>
      <c r="G29" s="17"/>
      <c r="H29" s="18"/>
    </row>
    <row r="30" ht="15.75" customHeight="1">
      <c r="A30" s="55" t="s">
        <v>172</v>
      </c>
      <c r="B30" s="16"/>
      <c r="C30" s="17"/>
      <c r="D30" s="17"/>
      <c r="E30" s="17"/>
      <c r="F30" s="17"/>
      <c r="G30" s="17"/>
      <c r="H30" s="18"/>
    </row>
    <row r="31" ht="15.75" customHeight="1">
      <c r="A31" s="55" t="s">
        <v>253</v>
      </c>
      <c r="B31" s="16"/>
      <c r="C31" s="17"/>
      <c r="D31" s="17"/>
      <c r="E31" s="17"/>
      <c r="F31" s="17"/>
      <c r="G31" s="17"/>
      <c r="H31" s="18"/>
    </row>
    <row r="32" ht="15.75" customHeight="1">
      <c r="A32" s="46" t="s">
        <v>255</v>
      </c>
      <c r="B32" s="17"/>
      <c r="C32" s="17"/>
      <c r="D32" s="17"/>
      <c r="E32" s="17"/>
      <c r="F32" s="17"/>
      <c r="G32" s="17"/>
      <c r="H32" s="18"/>
    </row>
    <row r="33" ht="15.75" customHeight="1">
      <c r="A33" s="68"/>
      <c r="B33" s="48"/>
      <c r="C33" s="48"/>
      <c r="D33" s="48"/>
      <c r="E33" s="48"/>
      <c r="F33" s="48"/>
      <c r="G33" s="48"/>
      <c r="H33" s="49"/>
    </row>
    <row r="34" ht="15.75" customHeight="1">
      <c r="A34" s="65"/>
      <c r="H34" s="66"/>
    </row>
    <row r="35" ht="15.75" customHeight="1">
      <c r="A35" s="50"/>
      <c r="B35" s="51"/>
      <c r="C35" s="51"/>
      <c r="D35" s="51"/>
      <c r="E35" s="51"/>
      <c r="F35" s="51"/>
      <c r="G35" s="51"/>
      <c r="H35" s="52"/>
    </row>
    <row r="36" ht="15.75" customHeight="1">
      <c r="A36" s="46" t="s">
        <v>257</v>
      </c>
      <c r="B36" s="17"/>
      <c r="C36" s="17"/>
      <c r="D36" s="17"/>
      <c r="E36" s="17"/>
      <c r="F36" s="17"/>
      <c r="G36" s="17"/>
      <c r="H36" s="18"/>
    </row>
    <row r="37" ht="15.75" customHeight="1">
      <c r="A37" s="68"/>
      <c r="B37" s="48"/>
      <c r="C37" s="48"/>
      <c r="D37" s="48"/>
      <c r="E37" s="48"/>
      <c r="F37" s="48"/>
      <c r="G37" s="48"/>
      <c r="H37" s="49"/>
    </row>
    <row r="38" ht="15.75" customHeight="1">
      <c r="A38" s="65"/>
      <c r="H38" s="66"/>
    </row>
    <row r="39" ht="15.75" customHeight="1">
      <c r="A39" s="65"/>
      <c r="H39" s="66"/>
    </row>
    <row r="40" ht="15.75" customHeight="1">
      <c r="A40" s="50"/>
      <c r="B40" s="51"/>
      <c r="C40" s="51"/>
      <c r="D40" s="51"/>
      <c r="E40" s="51"/>
      <c r="F40" s="51"/>
      <c r="G40" s="51"/>
      <c r="H40" s="52"/>
    </row>
    <row r="41" ht="15.75" customHeight="1"/>
    <row r="42" ht="15.75" customHeight="1"/>
    <row r="43" ht="15.75" customHeight="1">
      <c r="A43" s="44" t="s">
        <v>273</v>
      </c>
      <c r="E43" s="34" t="s">
        <v>160</v>
      </c>
      <c r="F43" s="71"/>
      <c r="G43" s="34" t="s">
        <v>252</v>
      </c>
      <c r="H43" s="71"/>
    </row>
    <row r="44" ht="15.75" customHeight="1">
      <c r="A44" s="38" t="s">
        <v>264</v>
      </c>
    </row>
    <row r="45" ht="15.75" customHeight="1">
      <c r="A45" s="55" t="s">
        <v>172</v>
      </c>
      <c r="B45" s="16"/>
      <c r="C45" s="17"/>
      <c r="D45" s="17"/>
      <c r="E45" s="17"/>
      <c r="F45" s="17"/>
      <c r="G45" s="17"/>
      <c r="H45" s="18"/>
    </row>
    <row r="46" ht="15.75" customHeight="1">
      <c r="A46" s="55" t="s">
        <v>172</v>
      </c>
      <c r="B46" s="16"/>
      <c r="C46" s="17"/>
      <c r="D46" s="17"/>
      <c r="E46" s="17"/>
      <c r="F46" s="17"/>
      <c r="G46" s="17"/>
      <c r="H46" s="18"/>
    </row>
    <row r="47" ht="15.75" customHeight="1">
      <c r="A47" s="55" t="s">
        <v>172</v>
      </c>
      <c r="B47" s="16"/>
      <c r="C47" s="17"/>
      <c r="D47" s="17"/>
      <c r="E47" s="17"/>
      <c r="F47" s="17"/>
      <c r="G47" s="17"/>
      <c r="H47" s="18"/>
    </row>
    <row r="48" ht="15.75" customHeight="1">
      <c r="A48" s="55" t="s">
        <v>253</v>
      </c>
      <c r="B48" s="16"/>
      <c r="C48" s="17"/>
      <c r="D48" s="17"/>
      <c r="E48" s="17"/>
      <c r="F48" s="17"/>
      <c r="G48" s="17"/>
      <c r="H48" s="18"/>
    </row>
    <row r="49" ht="15.75" customHeight="1">
      <c r="A49" s="46" t="s">
        <v>255</v>
      </c>
      <c r="B49" s="17"/>
      <c r="C49" s="17"/>
      <c r="D49" s="17"/>
      <c r="E49" s="17"/>
      <c r="F49" s="17"/>
      <c r="G49" s="17"/>
      <c r="H49" s="18"/>
    </row>
    <row r="50" ht="15.75" customHeight="1">
      <c r="A50" s="68"/>
      <c r="B50" s="48"/>
      <c r="C50" s="48"/>
      <c r="D50" s="48"/>
      <c r="E50" s="48"/>
      <c r="F50" s="48"/>
      <c r="G50" s="48"/>
      <c r="H50" s="49"/>
    </row>
    <row r="51" ht="15.75" customHeight="1">
      <c r="A51" s="65"/>
      <c r="H51" s="66"/>
    </row>
    <row r="52" ht="15.75" customHeight="1">
      <c r="A52" s="50"/>
      <c r="B52" s="51"/>
      <c r="C52" s="51"/>
      <c r="D52" s="51"/>
      <c r="E52" s="51"/>
      <c r="F52" s="51"/>
      <c r="G52" s="51"/>
      <c r="H52" s="52"/>
    </row>
    <row r="53" ht="15.75" customHeight="1">
      <c r="A53" s="46" t="s">
        <v>257</v>
      </c>
      <c r="B53" s="17"/>
      <c r="C53" s="17"/>
      <c r="D53" s="17"/>
      <c r="E53" s="17"/>
      <c r="F53" s="17"/>
      <c r="G53" s="17"/>
      <c r="H53" s="18"/>
    </row>
    <row r="54" ht="15.75" customHeight="1">
      <c r="A54" s="68"/>
      <c r="B54" s="48"/>
      <c r="C54" s="48"/>
      <c r="D54" s="48"/>
      <c r="E54" s="48"/>
      <c r="F54" s="48"/>
      <c r="G54" s="48"/>
      <c r="H54" s="49"/>
    </row>
    <row r="55" ht="15.75" customHeight="1">
      <c r="A55" s="65"/>
      <c r="H55" s="66"/>
    </row>
    <row r="56" ht="15.75" customHeight="1">
      <c r="A56" s="65"/>
      <c r="H56" s="66"/>
    </row>
    <row r="57" ht="15.75" customHeight="1">
      <c r="A57" s="50"/>
      <c r="B57" s="51"/>
      <c r="C57" s="51"/>
      <c r="D57" s="51"/>
      <c r="E57" s="51"/>
      <c r="F57" s="51"/>
      <c r="G57" s="51"/>
      <c r="H57" s="52"/>
    </row>
    <row r="58" ht="15.75" customHeight="1"/>
    <row r="59" ht="15.75" customHeight="1"/>
    <row r="60" ht="15.75" customHeight="1">
      <c r="A60" s="44" t="s">
        <v>274</v>
      </c>
      <c r="E60" s="34" t="s">
        <v>160</v>
      </c>
      <c r="F60" s="71"/>
      <c r="G60" s="34" t="s">
        <v>252</v>
      </c>
      <c r="H60" s="71"/>
    </row>
    <row r="61" ht="15.75" customHeight="1">
      <c r="A61" s="38" t="s">
        <v>264</v>
      </c>
    </row>
    <row r="62" ht="15.75" customHeight="1">
      <c r="A62" s="55" t="s">
        <v>172</v>
      </c>
      <c r="B62" s="16"/>
      <c r="C62" s="17"/>
      <c r="D62" s="17"/>
      <c r="E62" s="17"/>
      <c r="F62" s="17"/>
      <c r="G62" s="17"/>
      <c r="H62" s="18"/>
    </row>
    <row r="63" ht="15.75" customHeight="1">
      <c r="A63" s="55" t="s">
        <v>172</v>
      </c>
      <c r="B63" s="16"/>
      <c r="C63" s="17"/>
      <c r="D63" s="17"/>
      <c r="E63" s="17"/>
      <c r="F63" s="17"/>
      <c r="G63" s="17"/>
      <c r="H63" s="18"/>
    </row>
    <row r="64" ht="15.75" customHeight="1">
      <c r="A64" s="55" t="s">
        <v>172</v>
      </c>
      <c r="B64" s="16"/>
      <c r="C64" s="17"/>
      <c r="D64" s="17"/>
      <c r="E64" s="17"/>
      <c r="F64" s="17"/>
      <c r="G64" s="17"/>
      <c r="H64" s="18"/>
    </row>
    <row r="65" ht="15.75" customHeight="1">
      <c r="A65" s="55" t="s">
        <v>253</v>
      </c>
      <c r="B65" s="16"/>
      <c r="C65" s="17"/>
      <c r="D65" s="17"/>
      <c r="E65" s="17"/>
      <c r="F65" s="17"/>
      <c r="G65" s="17"/>
      <c r="H65" s="18"/>
    </row>
    <row r="66" ht="15.75" customHeight="1">
      <c r="A66" s="46" t="s">
        <v>255</v>
      </c>
      <c r="B66" s="17"/>
      <c r="C66" s="17"/>
      <c r="D66" s="17"/>
      <c r="E66" s="17"/>
      <c r="F66" s="17"/>
      <c r="G66" s="17"/>
      <c r="H66" s="18"/>
    </row>
    <row r="67" ht="15.75" customHeight="1">
      <c r="A67" s="68"/>
      <c r="B67" s="48"/>
      <c r="C67" s="48"/>
      <c r="D67" s="48"/>
      <c r="E67" s="48"/>
      <c r="F67" s="48"/>
      <c r="G67" s="48"/>
      <c r="H67" s="49"/>
    </row>
    <row r="68" ht="15.75" customHeight="1">
      <c r="A68" s="65"/>
      <c r="H68" s="66"/>
    </row>
    <row r="69" ht="15.75" customHeight="1">
      <c r="A69" s="50"/>
      <c r="B69" s="51"/>
      <c r="C69" s="51"/>
      <c r="D69" s="51"/>
      <c r="E69" s="51"/>
      <c r="F69" s="51"/>
      <c r="G69" s="51"/>
      <c r="H69" s="52"/>
    </row>
    <row r="70" ht="15.75" customHeight="1">
      <c r="A70" s="46" t="s">
        <v>257</v>
      </c>
      <c r="B70" s="17"/>
      <c r="C70" s="17"/>
      <c r="D70" s="17"/>
      <c r="E70" s="17"/>
      <c r="F70" s="17"/>
      <c r="G70" s="17"/>
      <c r="H70" s="18"/>
    </row>
    <row r="71" ht="15.75" customHeight="1">
      <c r="A71" s="68"/>
      <c r="B71" s="48"/>
      <c r="C71" s="48"/>
      <c r="D71" s="48"/>
      <c r="E71" s="48"/>
      <c r="F71" s="48"/>
      <c r="G71" s="48"/>
      <c r="H71" s="49"/>
    </row>
    <row r="72" ht="15.75" customHeight="1">
      <c r="A72" s="65"/>
      <c r="H72" s="66"/>
    </row>
    <row r="73" ht="15.75" customHeight="1">
      <c r="A73" s="65"/>
      <c r="H73" s="66"/>
    </row>
    <row r="74" ht="15.75" customHeight="1">
      <c r="A74" s="50"/>
      <c r="B74" s="51"/>
      <c r="C74" s="51"/>
      <c r="D74" s="51"/>
      <c r="E74" s="51"/>
      <c r="F74" s="51"/>
      <c r="G74" s="51"/>
      <c r="H74" s="52"/>
    </row>
    <row r="75" ht="15.75" customHeight="1"/>
    <row r="76" ht="15.75" customHeight="1"/>
    <row r="77" ht="15.75" customHeight="1">
      <c r="A77" s="44" t="s">
        <v>275</v>
      </c>
      <c r="E77" s="34" t="s">
        <v>160</v>
      </c>
      <c r="F77" s="71"/>
      <c r="G77" s="34" t="s">
        <v>252</v>
      </c>
      <c r="H77" s="71"/>
    </row>
    <row r="78" ht="15.75" customHeight="1">
      <c r="A78" s="38" t="s">
        <v>264</v>
      </c>
    </row>
    <row r="79" ht="15.75" customHeight="1">
      <c r="A79" s="55" t="s">
        <v>172</v>
      </c>
      <c r="B79" s="16"/>
      <c r="C79" s="17"/>
      <c r="D79" s="17"/>
      <c r="E79" s="17"/>
      <c r="F79" s="17"/>
      <c r="G79" s="17"/>
      <c r="H79" s="18"/>
    </row>
    <row r="80" ht="15.75" customHeight="1">
      <c r="A80" s="55" t="s">
        <v>172</v>
      </c>
      <c r="B80" s="16"/>
      <c r="C80" s="17"/>
      <c r="D80" s="17"/>
      <c r="E80" s="17"/>
      <c r="F80" s="17"/>
      <c r="G80" s="17"/>
      <c r="H80" s="18"/>
    </row>
    <row r="81" ht="15.75" customHeight="1">
      <c r="A81" s="55" t="s">
        <v>172</v>
      </c>
      <c r="B81" s="16"/>
      <c r="C81" s="17"/>
      <c r="D81" s="17"/>
      <c r="E81" s="17"/>
      <c r="F81" s="17"/>
      <c r="G81" s="17"/>
      <c r="H81" s="18"/>
    </row>
    <row r="82" ht="15.75" customHeight="1">
      <c r="A82" s="55" t="s">
        <v>253</v>
      </c>
      <c r="B82" s="16"/>
      <c r="C82" s="17"/>
      <c r="D82" s="17"/>
      <c r="E82" s="17"/>
      <c r="F82" s="17"/>
      <c r="G82" s="17"/>
      <c r="H82" s="18"/>
    </row>
    <row r="83" ht="15.75" customHeight="1">
      <c r="A83" s="46" t="s">
        <v>255</v>
      </c>
      <c r="B83" s="17"/>
      <c r="C83" s="17"/>
      <c r="D83" s="17"/>
      <c r="E83" s="17"/>
      <c r="F83" s="17"/>
      <c r="G83" s="17"/>
      <c r="H83" s="18"/>
    </row>
    <row r="84" ht="15.75" customHeight="1">
      <c r="A84" s="68"/>
      <c r="B84" s="48"/>
      <c r="C84" s="48"/>
      <c r="D84" s="48"/>
      <c r="E84" s="48"/>
      <c r="F84" s="48"/>
      <c r="G84" s="48"/>
      <c r="H84" s="49"/>
    </row>
    <row r="85" ht="15.75" customHeight="1">
      <c r="A85" s="65"/>
      <c r="H85" s="66"/>
    </row>
    <row r="86" ht="15.75" customHeight="1">
      <c r="A86" s="50"/>
      <c r="B86" s="51"/>
      <c r="C86" s="51"/>
      <c r="D86" s="51"/>
      <c r="E86" s="51"/>
      <c r="F86" s="51"/>
      <c r="G86" s="51"/>
      <c r="H86" s="52"/>
    </row>
    <row r="87" ht="15.75" customHeight="1">
      <c r="A87" s="46" t="s">
        <v>257</v>
      </c>
      <c r="B87" s="17"/>
      <c r="C87" s="17"/>
      <c r="D87" s="17"/>
      <c r="E87" s="17"/>
      <c r="F87" s="17"/>
      <c r="G87" s="17"/>
      <c r="H87" s="18"/>
    </row>
    <row r="88" ht="15.75" customHeight="1">
      <c r="A88" s="68"/>
      <c r="B88" s="48"/>
      <c r="C88" s="48"/>
      <c r="D88" s="48"/>
      <c r="E88" s="48"/>
      <c r="F88" s="48"/>
      <c r="G88" s="48"/>
      <c r="H88" s="49"/>
    </row>
    <row r="89" ht="15.75" customHeight="1">
      <c r="A89" s="65"/>
      <c r="H89" s="66"/>
    </row>
    <row r="90" ht="15.75" customHeight="1">
      <c r="A90" s="65"/>
      <c r="H90" s="66"/>
    </row>
    <row r="91" ht="15.75" customHeight="1">
      <c r="A91" s="50"/>
      <c r="B91" s="51"/>
      <c r="C91" s="51"/>
      <c r="D91" s="51"/>
      <c r="E91" s="51"/>
      <c r="F91" s="51"/>
      <c r="G91" s="51"/>
      <c r="H91" s="52"/>
    </row>
    <row r="92" ht="15.75" customHeight="1"/>
    <row r="93" ht="15.75" customHeight="1"/>
    <row r="94" ht="15.75" customHeight="1">
      <c r="A94" s="44" t="s">
        <v>276</v>
      </c>
      <c r="E94" s="34" t="s">
        <v>160</v>
      </c>
      <c r="F94" s="71"/>
      <c r="G94" s="34" t="s">
        <v>252</v>
      </c>
      <c r="H94" s="71"/>
    </row>
    <row r="95" ht="15.75" customHeight="1">
      <c r="A95" s="38" t="s">
        <v>264</v>
      </c>
    </row>
    <row r="96" ht="15.75" customHeight="1">
      <c r="A96" s="55" t="s">
        <v>172</v>
      </c>
      <c r="B96" s="16"/>
      <c r="C96" s="17"/>
      <c r="D96" s="17"/>
      <c r="E96" s="17"/>
      <c r="F96" s="17"/>
      <c r="G96" s="17"/>
      <c r="H96" s="18"/>
    </row>
    <row r="97" ht="15.75" customHeight="1">
      <c r="A97" s="55" t="s">
        <v>172</v>
      </c>
      <c r="B97" s="16"/>
      <c r="C97" s="17"/>
      <c r="D97" s="17"/>
      <c r="E97" s="17"/>
      <c r="F97" s="17"/>
      <c r="G97" s="17"/>
      <c r="H97" s="18"/>
    </row>
    <row r="98" ht="15.75" customHeight="1">
      <c r="A98" s="55" t="s">
        <v>172</v>
      </c>
      <c r="B98" s="16"/>
      <c r="C98" s="17"/>
      <c r="D98" s="17"/>
      <c r="E98" s="17"/>
      <c r="F98" s="17"/>
      <c r="G98" s="17"/>
      <c r="H98" s="18"/>
    </row>
    <row r="99" ht="15.75" customHeight="1">
      <c r="A99" s="55" t="s">
        <v>253</v>
      </c>
      <c r="B99" s="16"/>
      <c r="C99" s="17"/>
      <c r="D99" s="17"/>
      <c r="E99" s="17"/>
      <c r="F99" s="17"/>
      <c r="G99" s="17"/>
      <c r="H99" s="18"/>
    </row>
    <row r="100" ht="15.75" customHeight="1">
      <c r="A100" s="46" t="s">
        <v>255</v>
      </c>
      <c r="B100" s="17"/>
      <c r="C100" s="17"/>
      <c r="D100" s="17"/>
      <c r="E100" s="17"/>
      <c r="F100" s="17"/>
      <c r="G100" s="17"/>
      <c r="H100" s="18"/>
    </row>
    <row r="101" ht="15.75" customHeight="1">
      <c r="A101" s="68"/>
      <c r="B101" s="48"/>
      <c r="C101" s="48"/>
      <c r="D101" s="48"/>
      <c r="E101" s="48"/>
      <c r="F101" s="48"/>
      <c r="G101" s="48"/>
      <c r="H101" s="49"/>
    </row>
    <row r="102" ht="15.75" customHeight="1">
      <c r="A102" s="65"/>
      <c r="H102" s="66"/>
    </row>
    <row r="103" ht="15.75" customHeight="1">
      <c r="A103" s="50"/>
      <c r="B103" s="51"/>
      <c r="C103" s="51"/>
      <c r="D103" s="51"/>
      <c r="E103" s="51"/>
      <c r="F103" s="51"/>
      <c r="G103" s="51"/>
      <c r="H103" s="52"/>
    </row>
    <row r="104" ht="15.75" customHeight="1">
      <c r="A104" s="46" t="s">
        <v>257</v>
      </c>
      <c r="B104" s="17"/>
      <c r="C104" s="17"/>
      <c r="D104" s="17"/>
      <c r="E104" s="17"/>
      <c r="F104" s="17"/>
      <c r="G104" s="17"/>
      <c r="H104" s="18"/>
    </row>
    <row r="105" ht="15.75" customHeight="1">
      <c r="A105" s="68"/>
      <c r="B105" s="48"/>
      <c r="C105" s="48"/>
      <c r="D105" s="48"/>
      <c r="E105" s="48"/>
      <c r="F105" s="48"/>
      <c r="G105" s="48"/>
      <c r="H105" s="49"/>
    </row>
    <row r="106" ht="15.75" customHeight="1">
      <c r="A106" s="65"/>
      <c r="H106" s="66"/>
    </row>
    <row r="107" ht="15.75" customHeight="1">
      <c r="A107" s="65"/>
      <c r="H107" s="66"/>
    </row>
    <row r="108" ht="15.75" customHeight="1">
      <c r="A108" s="50"/>
      <c r="B108" s="51"/>
      <c r="C108" s="51"/>
      <c r="D108" s="51"/>
      <c r="E108" s="51"/>
      <c r="F108" s="51"/>
      <c r="G108" s="51"/>
      <c r="H108" s="52"/>
    </row>
    <row r="109" ht="15.75" customHeight="1"/>
    <row r="110" ht="15.75" customHeight="1"/>
    <row r="111" ht="15.75" customHeight="1">
      <c r="A111" s="44" t="s">
        <v>277</v>
      </c>
      <c r="E111" s="34" t="s">
        <v>160</v>
      </c>
      <c r="F111" s="71"/>
      <c r="G111" s="34" t="s">
        <v>252</v>
      </c>
      <c r="H111" s="71"/>
    </row>
    <row r="112" ht="15.75" customHeight="1">
      <c r="A112" s="38" t="s">
        <v>264</v>
      </c>
    </row>
    <row r="113" ht="15.75" customHeight="1">
      <c r="A113" s="55" t="s">
        <v>172</v>
      </c>
      <c r="B113" s="16"/>
      <c r="C113" s="17"/>
      <c r="D113" s="17"/>
      <c r="E113" s="17"/>
      <c r="F113" s="17"/>
      <c r="G113" s="17"/>
      <c r="H113" s="18"/>
    </row>
    <row r="114" ht="15.75" customHeight="1">
      <c r="A114" s="55" t="s">
        <v>172</v>
      </c>
      <c r="B114" s="16"/>
      <c r="C114" s="17"/>
      <c r="D114" s="17"/>
      <c r="E114" s="17"/>
      <c r="F114" s="17"/>
      <c r="G114" s="17"/>
      <c r="H114" s="18"/>
    </row>
    <row r="115" ht="15.75" customHeight="1">
      <c r="A115" s="55" t="s">
        <v>172</v>
      </c>
      <c r="B115" s="16"/>
      <c r="C115" s="17"/>
      <c r="D115" s="17"/>
      <c r="E115" s="17"/>
      <c r="F115" s="17"/>
      <c r="G115" s="17"/>
      <c r="H115" s="18"/>
    </row>
    <row r="116" ht="15.75" customHeight="1">
      <c r="A116" s="55" t="s">
        <v>253</v>
      </c>
      <c r="B116" s="16"/>
      <c r="C116" s="17"/>
      <c r="D116" s="17"/>
      <c r="E116" s="17"/>
      <c r="F116" s="17"/>
      <c r="G116" s="17"/>
      <c r="H116" s="18"/>
    </row>
    <row r="117" ht="15.75" customHeight="1">
      <c r="A117" s="46" t="s">
        <v>255</v>
      </c>
      <c r="B117" s="17"/>
      <c r="C117" s="17"/>
      <c r="D117" s="17"/>
      <c r="E117" s="17"/>
      <c r="F117" s="17"/>
      <c r="G117" s="17"/>
      <c r="H117" s="18"/>
    </row>
    <row r="118" ht="15.75" customHeight="1">
      <c r="A118" s="68"/>
      <c r="B118" s="48"/>
      <c r="C118" s="48"/>
      <c r="D118" s="48"/>
      <c r="E118" s="48"/>
      <c r="F118" s="48"/>
      <c r="G118" s="48"/>
      <c r="H118" s="49"/>
    </row>
    <row r="119" ht="15.75" customHeight="1">
      <c r="A119" s="65"/>
      <c r="H119" s="66"/>
    </row>
    <row r="120" ht="15.75" customHeight="1">
      <c r="A120" s="50"/>
      <c r="B120" s="51"/>
      <c r="C120" s="51"/>
      <c r="D120" s="51"/>
      <c r="E120" s="51"/>
      <c r="F120" s="51"/>
      <c r="G120" s="51"/>
      <c r="H120" s="52"/>
    </row>
    <row r="121" ht="15.75" customHeight="1">
      <c r="A121" s="46" t="s">
        <v>257</v>
      </c>
      <c r="B121" s="17"/>
      <c r="C121" s="17"/>
      <c r="D121" s="17"/>
      <c r="E121" s="17"/>
      <c r="F121" s="17"/>
      <c r="G121" s="17"/>
      <c r="H121" s="18"/>
    </row>
    <row r="122" ht="15.75" customHeight="1">
      <c r="A122" s="68"/>
      <c r="B122" s="48"/>
      <c r="C122" s="48"/>
      <c r="D122" s="48"/>
      <c r="E122" s="48"/>
      <c r="F122" s="48"/>
      <c r="G122" s="48"/>
      <c r="H122" s="49"/>
    </row>
    <row r="123" ht="15.75" customHeight="1">
      <c r="A123" s="65"/>
      <c r="H123" s="66"/>
    </row>
    <row r="124" ht="15.75" customHeight="1">
      <c r="A124" s="65"/>
      <c r="H124" s="66"/>
    </row>
    <row r="125" ht="15.75" customHeight="1">
      <c r="A125" s="50"/>
      <c r="B125" s="51"/>
      <c r="C125" s="51"/>
      <c r="D125" s="51"/>
      <c r="E125" s="51"/>
      <c r="F125" s="51"/>
      <c r="G125" s="51"/>
      <c r="H125" s="5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278</v>
      </c>
    </row>
    <row r="3" ht="15.75" customHeight="1"/>
    <row r="4" ht="15.75" customHeight="1">
      <c r="B4" s="15" t="s">
        <v>1</v>
      </c>
      <c r="C4" s="16" t="str">
        <f>'Diseño'!C4</f>
        <v>796 - Lenguajes Formales y de Programación</v>
      </c>
      <c r="D4" s="17"/>
      <c r="E4" s="17"/>
      <c r="F4" s="17"/>
      <c r="G4" s="18"/>
    </row>
    <row r="5" ht="15.75" customHeight="1">
      <c r="B5" s="43" t="s">
        <v>118</v>
      </c>
      <c r="C5" s="16">
        <f>H9+H26+H43+H60+H77+H94+H111</f>
        <v>8</v>
      </c>
      <c r="D5" s="17"/>
      <c r="E5" s="17"/>
      <c r="F5" s="17"/>
      <c r="G5" s="18"/>
    </row>
    <row r="6" ht="15.75" customHeight="1">
      <c r="B6" s="43" t="s">
        <v>160</v>
      </c>
      <c r="C6" s="20">
        <f>F9+F26+F43+F60+F77+F94+F111</f>
        <v>4</v>
      </c>
      <c r="D6" s="17"/>
      <c r="E6" s="17"/>
      <c r="F6" s="17"/>
      <c r="G6" s="18"/>
    </row>
    <row r="7" ht="15.75" customHeight="1">
      <c r="B7" s="6" t="s">
        <v>279</v>
      </c>
    </row>
    <row r="8" ht="15.75" customHeight="1"/>
    <row r="9" ht="15.75" customHeight="1">
      <c r="A9" s="44" t="s">
        <v>280</v>
      </c>
      <c r="E9" s="34" t="s">
        <v>160</v>
      </c>
      <c r="F9" s="45">
        <v>1.0</v>
      </c>
      <c r="G9" s="34" t="s">
        <v>252</v>
      </c>
      <c r="H9" s="45">
        <v>2.0</v>
      </c>
    </row>
    <row r="10" ht="15.75" customHeight="1">
      <c r="A10" s="6" t="s">
        <v>268</v>
      </c>
    </row>
    <row r="11" ht="15.75" customHeight="1">
      <c r="A11" s="55" t="s">
        <v>172</v>
      </c>
      <c r="B11" s="20" t="s">
        <v>173</v>
      </c>
      <c r="C11" s="17"/>
      <c r="D11" s="17"/>
      <c r="E11" s="17"/>
      <c r="F11" s="17"/>
      <c r="G11" s="17"/>
      <c r="H11" s="18"/>
    </row>
    <row r="12" ht="15.75" customHeight="1">
      <c r="A12" s="55" t="s">
        <v>172</v>
      </c>
      <c r="B12" s="16"/>
      <c r="C12" s="17"/>
      <c r="D12" s="17"/>
      <c r="E12" s="17"/>
      <c r="F12" s="17"/>
      <c r="G12" s="17"/>
      <c r="H12" s="18"/>
    </row>
    <row r="13" ht="15.75" customHeight="1">
      <c r="A13" s="55" t="s">
        <v>172</v>
      </c>
      <c r="B13" s="16"/>
      <c r="C13" s="17"/>
      <c r="D13" s="17"/>
      <c r="E13" s="17"/>
      <c r="F13" s="17"/>
      <c r="G13" s="17"/>
      <c r="H13" s="18"/>
    </row>
    <row r="14" ht="15.75" customHeight="1">
      <c r="A14" s="55" t="s">
        <v>253</v>
      </c>
      <c r="B14" s="20" t="s">
        <v>281</v>
      </c>
      <c r="C14" s="17"/>
      <c r="D14" s="17"/>
      <c r="E14" s="17"/>
      <c r="F14" s="17"/>
      <c r="G14" s="17"/>
      <c r="H14" s="18"/>
    </row>
    <row r="15" ht="15.75" customHeight="1">
      <c r="A15" s="46" t="s">
        <v>255</v>
      </c>
      <c r="B15" s="17"/>
      <c r="C15" s="17"/>
      <c r="D15" s="17"/>
      <c r="E15" s="17"/>
      <c r="F15" s="17"/>
      <c r="G15" s="17"/>
      <c r="H15" s="18"/>
    </row>
    <row r="16" ht="15.75" customHeight="1">
      <c r="A16" s="73" t="s">
        <v>282</v>
      </c>
      <c r="B16" s="48"/>
      <c r="C16" s="48"/>
      <c r="D16" s="48"/>
      <c r="E16" s="48"/>
      <c r="F16" s="48"/>
      <c r="G16" s="48"/>
      <c r="H16" s="49"/>
    </row>
    <row r="17" ht="15.75" customHeight="1">
      <c r="A17" s="65"/>
      <c r="H17" s="66"/>
    </row>
    <row r="18" ht="15.75" customHeight="1">
      <c r="A18" s="50"/>
      <c r="B18" s="51"/>
      <c r="C18" s="51"/>
      <c r="D18" s="51"/>
      <c r="E18" s="51"/>
      <c r="F18" s="51"/>
      <c r="G18" s="51"/>
      <c r="H18" s="52"/>
    </row>
    <row r="19" ht="15.75" customHeight="1">
      <c r="A19" s="46" t="s">
        <v>257</v>
      </c>
      <c r="B19" s="17"/>
      <c r="C19" s="17"/>
      <c r="D19" s="17"/>
      <c r="E19" s="17"/>
      <c r="F19" s="17"/>
      <c r="G19" s="17"/>
      <c r="H19" s="18"/>
    </row>
    <row r="20" ht="15.75" customHeight="1">
      <c r="A20" s="72" t="s">
        <v>283</v>
      </c>
      <c r="B20" s="48"/>
      <c r="C20" s="48"/>
      <c r="D20" s="48"/>
      <c r="E20" s="48"/>
      <c r="F20" s="48"/>
      <c r="G20" s="48"/>
      <c r="H20" s="49"/>
    </row>
    <row r="21" ht="15.75" customHeight="1">
      <c r="A21" s="65"/>
      <c r="H21" s="66"/>
    </row>
    <row r="22" ht="15.75" customHeight="1">
      <c r="A22" s="65"/>
      <c r="H22" s="66"/>
    </row>
    <row r="23" ht="15.75" customHeight="1">
      <c r="A23" s="50"/>
      <c r="B23" s="51"/>
      <c r="C23" s="51"/>
      <c r="D23" s="51"/>
      <c r="E23" s="51"/>
      <c r="F23" s="51"/>
      <c r="G23" s="51"/>
      <c r="H23" s="52"/>
    </row>
    <row r="24" ht="15.75" customHeight="1"/>
    <row r="25" ht="15.75" customHeight="1"/>
    <row r="26" ht="15.75" customHeight="1">
      <c r="A26" s="44" t="s">
        <v>284</v>
      </c>
      <c r="E26" s="34" t="s">
        <v>160</v>
      </c>
      <c r="F26" s="45">
        <v>1.0</v>
      </c>
      <c r="G26" s="34" t="s">
        <v>252</v>
      </c>
      <c r="H26" s="45">
        <v>2.0</v>
      </c>
    </row>
    <row r="27" ht="15.75" customHeight="1">
      <c r="A27" s="6" t="s">
        <v>268</v>
      </c>
    </row>
    <row r="28" ht="15.75" customHeight="1">
      <c r="A28" s="55" t="s">
        <v>172</v>
      </c>
      <c r="B28" s="20" t="s">
        <v>173</v>
      </c>
      <c r="C28" s="17"/>
      <c r="D28" s="17"/>
      <c r="E28" s="17"/>
      <c r="F28" s="17"/>
      <c r="G28" s="17"/>
      <c r="H28" s="18"/>
    </row>
    <row r="29" ht="15.75" customHeight="1">
      <c r="A29" s="55" t="s">
        <v>172</v>
      </c>
      <c r="B29" s="16"/>
      <c r="C29" s="17"/>
      <c r="D29" s="17"/>
      <c r="E29" s="17"/>
      <c r="F29" s="17"/>
      <c r="G29" s="17"/>
      <c r="H29" s="18"/>
    </row>
    <row r="30" ht="15.75" customHeight="1">
      <c r="A30" s="55" t="s">
        <v>172</v>
      </c>
      <c r="B30" s="16"/>
      <c r="C30" s="17"/>
      <c r="D30" s="17"/>
      <c r="E30" s="17"/>
      <c r="F30" s="17"/>
      <c r="G30" s="17"/>
      <c r="H30" s="18"/>
    </row>
    <row r="31" ht="15.75" customHeight="1">
      <c r="A31" s="55" t="s">
        <v>253</v>
      </c>
      <c r="B31" s="20" t="s">
        <v>285</v>
      </c>
      <c r="C31" s="17"/>
      <c r="D31" s="17"/>
      <c r="E31" s="17"/>
      <c r="F31" s="17"/>
      <c r="G31" s="17"/>
      <c r="H31" s="18"/>
    </row>
    <row r="32" ht="15.75" customHeight="1">
      <c r="A32" s="46" t="s">
        <v>255</v>
      </c>
      <c r="B32" s="17"/>
      <c r="C32" s="17"/>
      <c r="D32" s="17"/>
      <c r="E32" s="17"/>
      <c r="F32" s="17"/>
      <c r="G32" s="17"/>
      <c r="H32" s="18"/>
    </row>
    <row r="33" ht="15.75" customHeight="1">
      <c r="A33" s="73" t="s">
        <v>282</v>
      </c>
      <c r="B33" s="48"/>
      <c r="C33" s="48"/>
      <c r="D33" s="48"/>
      <c r="E33" s="48"/>
      <c r="F33" s="48"/>
      <c r="G33" s="48"/>
      <c r="H33" s="49"/>
    </row>
    <row r="34" ht="15.75" customHeight="1">
      <c r="A34" s="65"/>
      <c r="H34" s="66"/>
    </row>
    <row r="35" ht="15.75" customHeight="1">
      <c r="A35" s="50"/>
      <c r="B35" s="51"/>
      <c r="C35" s="51"/>
      <c r="D35" s="51"/>
      <c r="E35" s="51"/>
      <c r="F35" s="51"/>
      <c r="G35" s="51"/>
      <c r="H35" s="52"/>
    </row>
    <row r="36" ht="15.75" customHeight="1">
      <c r="A36" s="46" t="s">
        <v>257</v>
      </c>
      <c r="B36" s="17"/>
      <c r="C36" s="17"/>
      <c r="D36" s="17"/>
      <c r="E36" s="17"/>
      <c r="F36" s="17"/>
      <c r="G36" s="17"/>
      <c r="H36" s="18"/>
    </row>
    <row r="37" ht="15.75" customHeight="1">
      <c r="A37" s="72" t="s">
        <v>286</v>
      </c>
      <c r="B37" s="48"/>
      <c r="C37" s="48"/>
      <c r="D37" s="48"/>
      <c r="E37" s="48"/>
      <c r="F37" s="48"/>
      <c r="G37" s="48"/>
      <c r="H37" s="49"/>
    </row>
    <row r="38" ht="15.75" customHeight="1">
      <c r="A38" s="65"/>
      <c r="H38" s="66"/>
    </row>
    <row r="39" ht="15.75" customHeight="1">
      <c r="A39" s="65"/>
      <c r="H39" s="66"/>
    </row>
    <row r="40" ht="15.75" customHeight="1">
      <c r="A40" s="50"/>
      <c r="B40" s="51"/>
      <c r="C40" s="51"/>
      <c r="D40" s="51"/>
      <c r="E40" s="51"/>
      <c r="F40" s="51"/>
      <c r="G40" s="51"/>
      <c r="H40" s="52"/>
    </row>
    <row r="41" ht="15.75" customHeight="1"/>
    <row r="42" ht="15.75" customHeight="1"/>
    <row r="43" ht="15.75" customHeight="1">
      <c r="A43" s="44" t="s">
        <v>287</v>
      </c>
      <c r="E43" s="34" t="s">
        <v>160</v>
      </c>
      <c r="F43" s="45">
        <v>1.0</v>
      </c>
      <c r="G43" s="34" t="s">
        <v>252</v>
      </c>
      <c r="H43" s="45">
        <v>2.0</v>
      </c>
    </row>
    <row r="44" ht="15.75" customHeight="1">
      <c r="A44" s="38" t="s">
        <v>264</v>
      </c>
    </row>
    <row r="45" ht="15.75" customHeight="1">
      <c r="A45" s="55" t="s">
        <v>172</v>
      </c>
      <c r="B45" s="20" t="s">
        <v>48</v>
      </c>
      <c r="C45" s="17"/>
      <c r="D45" s="17"/>
      <c r="E45" s="17"/>
      <c r="F45" s="17"/>
      <c r="G45" s="17"/>
      <c r="H45" s="18"/>
    </row>
    <row r="46" ht="15.75" customHeight="1">
      <c r="A46" s="55" t="s">
        <v>172</v>
      </c>
      <c r="B46" s="16"/>
      <c r="C46" s="17"/>
      <c r="D46" s="17"/>
      <c r="E46" s="17"/>
      <c r="F46" s="17"/>
      <c r="G46" s="17"/>
      <c r="H46" s="18"/>
    </row>
    <row r="47" ht="15.75" customHeight="1">
      <c r="A47" s="55" t="s">
        <v>172</v>
      </c>
      <c r="B47" s="16"/>
      <c r="C47" s="17"/>
      <c r="D47" s="17"/>
      <c r="E47" s="17"/>
      <c r="F47" s="17"/>
      <c r="G47" s="17"/>
      <c r="H47" s="18"/>
    </row>
    <row r="48" ht="15.75" customHeight="1">
      <c r="A48" s="55" t="s">
        <v>253</v>
      </c>
      <c r="B48" s="20" t="s">
        <v>288</v>
      </c>
      <c r="C48" s="17"/>
      <c r="D48" s="17"/>
      <c r="E48" s="17"/>
      <c r="F48" s="17"/>
      <c r="G48" s="17"/>
      <c r="H48" s="18"/>
    </row>
    <row r="49" ht="15.75" customHeight="1">
      <c r="A49" s="46" t="s">
        <v>255</v>
      </c>
      <c r="B49" s="17"/>
      <c r="C49" s="17"/>
      <c r="D49" s="17"/>
      <c r="E49" s="17"/>
      <c r="F49" s="17"/>
      <c r="G49" s="17"/>
      <c r="H49" s="18"/>
    </row>
    <row r="50" ht="15.75" customHeight="1">
      <c r="A50" s="73" t="s">
        <v>289</v>
      </c>
      <c r="B50" s="48"/>
      <c r="C50" s="48"/>
      <c r="D50" s="48"/>
      <c r="E50" s="48"/>
      <c r="F50" s="48"/>
      <c r="G50" s="48"/>
      <c r="H50" s="49"/>
    </row>
    <row r="51" ht="15.75" customHeight="1">
      <c r="A51" s="65"/>
      <c r="H51" s="66"/>
    </row>
    <row r="52" ht="15.75" customHeight="1">
      <c r="A52" s="50"/>
      <c r="B52" s="51"/>
      <c r="C52" s="51"/>
      <c r="D52" s="51"/>
      <c r="E52" s="51"/>
      <c r="F52" s="51"/>
      <c r="G52" s="51"/>
      <c r="H52" s="52"/>
    </row>
    <row r="53" ht="15.75" customHeight="1">
      <c r="A53" s="46" t="s">
        <v>257</v>
      </c>
      <c r="B53" s="17"/>
      <c r="C53" s="17"/>
      <c r="D53" s="17"/>
      <c r="E53" s="17"/>
      <c r="F53" s="17"/>
      <c r="G53" s="17"/>
      <c r="H53" s="18"/>
    </row>
    <row r="54" ht="15.75" customHeight="1">
      <c r="A54" s="72" t="s">
        <v>290</v>
      </c>
      <c r="B54" s="48"/>
      <c r="C54" s="48"/>
      <c r="D54" s="48"/>
      <c r="E54" s="48"/>
      <c r="F54" s="48"/>
      <c r="G54" s="48"/>
      <c r="H54" s="49"/>
    </row>
    <row r="55" ht="15.75" customHeight="1">
      <c r="A55" s="65"/>
      <c r="H55" s="66"/>
    </row>
    <row r="56" ht="15.75" customHeight="1">
      <c r="A56" s="65"/>
      <c r="H56" s="66"/>
    </row>
    <row r="57" ht="15.75" customHeight="1">
      <c r="A57" s="50"/>
      <c r="B57" s="51"/>
      <c r="C57" s="51"/>
      <c r="D57" s="51"/>
      <c r="E57" s="51"/>
      <c r="F57" s="51"/>
      <c r="G57" s="51"/>
      <c r="H57" s="52"/>
    </row>
    <row r="58" ht="15.75" customHeight="1"/>
    <row r="59" ht="15.75" customHeight="1"/>
    <row r="60" ht="15.75" customHeight="1">
      <c r="A60" s="44" t="s">
        <v>291</v>
      </c>
      <c r="E60" s="34" t="s">
        <v>160</v>
      </c>
      <c r="F60" s="45">
        <v>1.0</v>
      </c>
      <c r="G60" s="34" t="s">
        <v>252</v>
      </c>
      <c r="H60" s="45">
        <v>2.0</v>
      </c>
    </row>
    <row r="61" ht="15.75" customHeight="1">
      <c r="A61" s="38" t="s">
        <v>264</v>
      </c>
    </row>
    <row r="62" ht="15.75" customHeight="1">
      <c r="A62" s="55" t="s">
        <v>172</v>
      </c>
      <c r="B62" s="20" t="s">
        <v>92</v>
      </c>
      <c r="C62" s="17"/>
      <c r="D62" s="17"/>
      <c r="E62" s="17"/>
      <c r="F62" s="17"/>
      <c r="G62" s="17"/>
      <c r="H62" s="18"/>
    </row>
    <row r="63" ht="15.75" customHeight="1">
      <c r="A63" s="55" t="s">
        <v>172</v>
      </c>
      <c r="B63" s="20" t="s">
        <v>83</v>
      </c>
      <c r="C63" s="17"/>
      <c r="D63" s="17"/>
      <c r="E63" s="17"/>
      <c r="F63" s="17"/>
      <c r="G63" s="17"/>
      <c r="H63" s="18"/>
    </row>
    <row r="64" ht="15.75" customHeight="1">
      <c r="A64" s="55" t="s">
        <v>172</v>
      </c>
      <c r="B64" s="16"/>
      <c r="C64" s="17"/>
      <c r="D64" s="17"/>
      <c r="E64" s="17"/>
      <c r="F64" s="17"/>
      <c r="G64" s="17"/>
      <c r="H64" s="18"/>
    </row>
    <row r="65" ht="15.75" customHeight="1">
      <c r="A65" s="55" t="s">
        <v>253</v>
      </c>
      <c r="B65" s="20" t="s">
        <v>292</v>
      </c>
      <c r="C65" s="17"/>
      <c r="D65" s="17"/>
      <c r="E65" s="17"/>
      <c r="F65" s="17"/>
      <c r="G65" s="17"/>
      <c r="H65" s="18"/>
    </row>
    <row r="66" ht="15.75" customHeight="1">
      <c r="A66" s="46" t="s">
        <v>255</v>
      </c>
      <c r="B66" s="17"/>
      <c r="C66" s="17"/>
      <c r="D66" s="17"/>
      <c r="E66" s="17"/>
      <c r="F66" s="17"/>
      <c r="G66" s="17"/>
      <c r="H66" s="18"/>
    </row>
    <row r="67" ht="15.75" customHeight="1">
      <c r="A67" s="73" t="s">
        <v>289</v>
      </c>
      <c r="B67" s="48"/>
      <c r="C67" s="48"/>
      <c r="D67" s="48"/>
      <c r="E67" s="48"/>
      <c r="F67" s="48"/>
      <c r="G67" s="48"/>
      <c r="H67" s="49"/>
    </row>
    <row r="68" ht="15.75" customHeight="1">
      <c r="A68" s="65"/>
      <c r="H68" s="66"/>
    </row>
    <row r="69" ht="15.75" customHeight="1">
      <c r="A69" s="50"/>
      <c r="B69" s="51"/>
      <c r="C69" s="51"/>
      <c r="D69" s="51"/>
      <c r="E69" s="51"/>
      <c r="F69" s="51"/>
      <c r="G69" s="51"/>
      <c r="H69" s="52"/>
    </row>
    <row r="70" ht="15.75" customHeight="1">
      <c r="A70" s="46" t="s">
        <v>257</v>
      </c>
      <c r="B70" s="17"/>
      <c r="C70" s="17"/>
      <c r="D70" s="17"/>
      <c r="E70" s="17"/>
      <c r="F70" s="17"/>
      <c r="G70" s="17"/>
      <c r="H70" s="18"/>
    </row>
    <row r="71" ht="15.75" customHeight="1">
      <c r="A71" s="72" t="s">
        <v>293</v>
      </c>
      <c r="B71" s="48"/>
      <c r="C71" s="48"/>
      <c r="D71" s="48"/>
      <c r="E71" s="48"/>
      <c r="F71" s="48"/>
      <c r="G71" s="48"/>
      <c r="H71" s="49"/>
    </row>
    <row r="72" ht="15.75" customHeight="1">
      <c r="A72" s="65"/>
      <c r="H72" s="66"/>
    </row>
    <row r="73" ht="15.75" customHeight="1">
      <c r="A73" s="65"/>
      <c r="H73" s="66"/>
    </row>
    <row r="74" ht="15.75" customHeight="1">
      <c r="A74" s="50"/>
      <c r="B74" s="51"/>
      <c r="C74" s="51"/>
      <c r="D74" s="51"/>
      <c r="E74" s="51"/>
      <c r="F74" s="51"/>
      <c r="G74" s="51"/>
      <c r="H74" s="52"/>
    </row>
    <row r="75" ht="15.75" customHeight="1"/>
    <row r="76" ht="15.75" customHeight="1"/>
    <row r="77" ht="15.75" customHeight="1">
      <c r="A77" s="44" t="s">
        <v>294</v>
      </c>
      <c r="E77" s="34" t="s">
        <v>160</v>
      </c>
      <c r="F77" s="71"/>
      <c r="G77" s="34" t="s">
        <v>252</v>
      </c>
      <c r="H77" s="71"/>
    </row>
    <row r="78" ht="15.75" customHeight="1">
      <c r="A78" s="38" t="s">
        <v>264</v>
      </c>
    </row>
    <row r="79" ht="15.75" customHeight="1">
      <c r="A79" s="55" t="s">
        <v>172</v>
      </c>
      <c r="B79" s="16"/>
      <c r="C79" s="17"/>
      <c r="D79" s="17"/>
      <c r="E79" s="17"/>
      <c r="F79" s="17"/>
      <c r="G79" s="17"/>
      <c r="H79" s="18"/>
    </row>
    <row r="80" ht="15.75" customHeight="1">
      <c r="A80" s="55" t="s">
        <v>172</v>
      </c>
      <c r="B80" s="16"/>
      <c r="C80" s="17"/>
      <c r="D80" s="17"/>
      <c r="E80" s="17"/>
      <c r="F80" s="17"/>
      <c r="G80" s="17"/>
      <c r="H80" s="18"/>
    </row>
    <row r="81" ht="15.75" customHeight="1">
      <c r="A81" s="55" t="s">
        <v>172</v>
      </c>
      <c r="B81" s="16"/>
      <c r="C81" s="17"/>
      <c r="D81" s="17"/>
      <c r="E81" s="17"/>
      <c r="F81" s="17"/>
      <c r="G81" s="17"/>
      <c r="H81" s="18"/>
    </row>
    <row r="82" ht="15.75" customHeight="1">
      <c r="A82" s="55" t="s">
        <v>253</v>
      </c>
      <c r="B82" s="16"/>
      <c r="C82" s="17"/>
      <c r="D82" s="17"/>
      <c r="E82" s="17"/>
      <c r="F82" s="17"/>
      <c r="G82" s="17"/>
      <c r="H82" s="18"/>
    </row>
    <row r="83" ht="15.75" customHeight="1">
      <c r="A83" s="46" t="s">
        <v>255</v>
      </c>
      <c r="B83" s="17"/>
      <c r="C83" s="17"/>
      <c r="D83" s="17"/>
      <c r="E83" s="17"/>
      <c r="F83" s="17"/>
      <c r="G83" s="17"/>
      <c r="H83" s="18"/>
    </row>
    <row r="84" ht="15.75" customHeight="1">
      <c r="A84" s="68"/>
      <c r="B84" s="48"/>
      <c r="C84" s="48"/>
      <c r="D84" s="48"/>
      <c r="E84" s="48"/>
      <c r="F84" s="48"/>
      <c r="G84" s="48"/>
      <c r="H84" s="49"/>
    </row>
    <row r="85" ht="15.75" customHeight="1">
      <c r="A85" s="65"/>
      <c r="H85" s="66"/>
    </row>
    <row r="86" ht="15.75" customHeight="1">
      <c r="A86" s="50"/>
      <c r="B86" s="51"/>
      <c r="C86" s="51"/>
      <c r="D86" s="51"/>
      <c r="E86" s="51"/>
      <c r="F86" s="51"/>
      <c r="G86" s="51"/>
      <c r="H86" s="52"/>
    </row>
    <row r="87" ht="15.75" customHeight="1">
      <c r="A87" s="46" t="s">
        <v>257</v>
      </c>
      <c r="B87" s="17"/>
      <c r="C87" s="17"/>
      <c r="D87" s="17"/>
      <c r="E87" s="17"/>
      <c r="F87" s="17"/>
      <c r="G87" s="17"/>
      <c r="H87" s="18"/>
    </row>
    <row r="88" ht="15.75" customHeight="1">
      <c r="A88" s="68"/>
      <c r="B88" s="48"/>
      <c r="C88" s="48"/>
      <c r="D88" s="48"/>
      <c r="E88" s="48"/>
      <c r="F88" s="48"/>
      <c r="G88" s="48"/>
      <c r="H88" s="49"/>
    </row>
    <row r="89" ht="15.75" customHeight="1">
      <c r="A89" s="65"/>
      <c r="H89" s="66"/>
    </row>
    <row r="90" ht="15.75" customHeight="1">
      <c r="A90" s="65"/>
      <c r="H90" s="66"/>
    </row>
    <row r="91" ht="15.75" customHeight="1">
      <c r="A91" s="50"/>
      <c r="B91" s="51"/>
      <c r="C91" s="51"/>
      <c r="D91" s="51"/>
      <c r="E91" s="51"/>
      <c r="F91" s="51"/>
      <c r="G91" s="51"/>
      <c r="H91" s="52"/>
    </row>
    <row r="92" ht="15.75" customHeight="1"/>
    <row r="93" ht="15.75" customHeight="1"/>
    <row r="94" ht="15.75" customHeight="1">
      <c r="A94" s="44" t="s">
        <v>295</v>
      </c>
      <c r="E94" s="34" t="s">
        <v>160</v>
      </c>
      <c r="F94" s="71"/>
      <c r="G94" s="34" t="s">
        <v>252</v>
      </c>
      <c r="H94" s="71"/>
    </row>
    <row r="95" ht="15.75" customHeight="1">
      <c r="A95" s="38" t="s">
        <v>264</v>
      </c>
    </row>
    <row r="96" ht="15.75" customHeight="1">
      <c r="A96" s="55" t="s">
        <v>172</v>
      </c>
      <c r="B96" s="16"/>
      <c r="C96" s="17"/>
      <c r="D96" s="17"/>
      <c r="E96" s="17"/>
      <c r="F96" s="17"/>
      <c r="G96" s="17"/>
      <c r="H96" s="18"/>
    </row>
    <row r="97" ht="15.75" customHeight="1">
      <c r="A97" s="55" t="s">
        <v>172</v>
      </c>
      <c r="B97" s="16"/>
      <c r="C97" s="17"/>
      <c r="D97" s="17"/>
      <c r="E97" s="17"/>
      <c r="F97" s="17"/>
      <c r="G97" s="17"/>
      <c r="H97" s="18"/>
    </row>
    <row r="98" ht="15.75" customHeight="1">
      <c r="A98" s="55" t="s">
        <v>172</v>
      </c>
      <c r="B98" s="16"/>
      <c r="C98" s="17"/>
      <c r="D98" s="17"/>
      <c r="E98" s="17"/>
      <c r="F98" s="17"/>
      <c r="G98" s="17"/>
      <c r="H98" s="18"/>
    </row>
    <row r="99" ht="15.75" customHeight="1">
      <c r="A99" s="55" t="s">
        <v>253</v>
      </c>
      <c r="B99" s="16"/>
      <c r="C99" s="17"/>
      <c r="D99" s="17"/>
      <c r="E99" s="17"/>
      <c r="F99" s="17"/>
      <c r="G99" s="17"/>
      <c r="H99" s="18"/>
    </row>
    <row r="100" ht="15.75" customHeight="1">
      <c r="A100" s="46" t="s">
        <v>255</v>
      </c>
      <c r="B100" s="17"/>
      <c r="C100" s="17"/>
      <c r="D100" s="17"/>
      <c r="E100" s="17"/>
      <c r="F100" s="17"/>
      <c r="G100" s="17"/>
      <c r="H100" s="18"/>
    </row>
    <row r="101" ht="15.75" customHeight="1">
      <c r="A101" s="68"/>
      <c r="B101" s="48"/>
      <c r="C101" s="48"/>
      <c r="D101" s="48"/>
      <c r="E101" s="48"/>
      <c r="F101" s="48"/>
      <c r="G101" s="48"/>
      <c r="H101" s="49"/>
    </row>
    <row r="102" ht="15.75" customHeight="1">
      <c r="A102" s="65"/>
      <c r="H102" s="66"/>
    </row>
    <row r="103" ht="15.75" customHeight="1">
      <c r="A103" s="50"/>
      <c r="B103" s="51"/>
      <c r="C103" s="51"/>
      <c r="D103" s="51"/>
      <c r="E103" s="51"/>
      <c r="F103" s="51"/>
      <c r="G103" s="51"/>
      <c r="H103" s="52"/>
    </row>
    <row r="104" ht="15.75" customHeight="1">
      <c r="A104" s="46" t="s">
        <v>257</v>
      </c>
      <c r="B104" s="17"/>
      <c r="C104" s="17"/>
      <c r="D104" s="17"/>
      <c r="E104" s="17"/>
      <c r="F104" s="17"/>
      <c r="G104" s="17"/>
      <c r="H104" s="18"/>
    </row>
    <row r="105" ht="15.75" customHeight="1">
      <c r="A105" s="68"/>
      <c r="B105" s="48"/>
      <c r="C105" s="48"/>
      <c r="D105" s="48"/>
      <c r="E105" s="48"/>
      <c r="F105" s="48"/>
      <c r="G105" s="48"/>
      <c r="H105" s="49"/>
    </row>
    <row r="106" ht="15.75" customHeight="1">
      <c r="A106" s="65"/>
      <c r="H106" s="66"/>
    </row>
    <row r="107" ht="15.75" customHeight="1">
      <c r="A107" s="65"/>
      <c r="H107" s="66"/>
    </row>
    <row r="108" ht="15.75" customHeight="1">
      <c r="A108" s="50"/>
      <c r="B108" s="51"/>
      <c r="C108" s="51"/>
      <c r="D108" s="51"/>
      <c r="E108" s="51"/>
      <c r="F108" s="51"/>
      <c r="G108" s="51"/>
      <c r="H108" s="52"/>
    </row>
    <row r="109" ht="15.75" customHeight="1"/>
    <row r="110" ht="15.75" customHeight="1"/>
    <row r="111" ht="15.75" customHeight="1">
      <c r="A111" s="44" t="s">
        <v>296</v>
      </c>
      <c r="E111" s="34" t="s">
        <v>160</v>
      </c>
      <c r="F111" s="71"/>
      <c r="G111" s="34" t="s">
        <v>252</v>
      </c>
      <c r="H111" s="71"/>
    </row>
    <row r="112" ht="15.75" customHeight="1">
      <c r="A112" s="38" t="s">
        <v>264</v>
      </c>
    </row>
    <row r="113" ht="15.75" customHeight="1">
      <c r="A113" s="55" t="s">
        <v>172</v>
      </c>
      <c r="B113" s="16"/>
      <c r="C113" s="17"/>
      <c r="D113" s="17"/>
      <c r="E113" s="17"/>
      <c r="F113" s="17"/>
      <c r="G113" s="17"/>
      <c r="H113" s="18"/>
    </row>
    <row r="114" ht="15.75" customHeight="1">
      <c r="A114" s="55" t="s">
        <v>172</v>
      </c>
      <c r="B114" s="16"/>
      <c r="C114" s="17"/>
      <c r="D114" s="17"/>
      <c r="E114" s="17"/>
      <c r="F114" s="17"/>
      <c r="G114" s="17"/>
      <c r="H114" s="18"/>
    </row>
    <row r="115" ht="15.75" customHeight="1">
      <c r="A115" s="55" t="s">
        <v>172</v>
      </c>
      <c r="B115" s="16"/>
      <c r="C115" s="17"/>
      <c r="D115" s="17"/>
      <c r="E115" s="17"/>
      <c r="F115" s="17"/>
      <c r="G115" s="17"/>
      <c r="H115" s="18"/>
    </row>
    <row r="116" ht="15.75" customHeight="1">
      <c r="A116" s="55" t="s">
        <v>253</v>
      </c>
      <c r="B116" s="16"/>
      <c r="C116" s="17"/>
      <c r="D116" s="17"/>
      <c r="E116" s="17"/>
      <c r="F116" s="17"/>
      <c r="G116" s="17"/>
      <c r="H116" s="18"/>
    </row>
    <row r="117" ht="15.75" customHeight="1">
      <c r="A117" s="46" t="s">
        <v>255</v>
      </c>
      <c r="B117" s="17"/>
      <c r="C117" s="17"/>
      <c r="D117" s="17"/>
      <c r="E117" s="17"/>
      <c r="F117" s="17"/>
      <c r="G117" s="17"/>
      <c r="H117" s="18"/>
    </row>
    <row r="118" ht="15.75" customHeight="1">
      <c r="A118" s="68"/>
      <c r="B118" s="48"/>
      <c r="C118" s="48"/>
      <c r="D118" s="48"/>
      <c r="E118" s="48"/>
      <c r="F118" s="48"/>
      <c r="G118" s="48"/>
      <c r="H118" s="49"/>
    </row>
    <row r="119" ht="15.75" customHeight="1">
      <c r="A119" s="65"/>
      <c r="H119" s="66"/>
    </row>
    <row r="120" ht="15.75" customHeight="1">
      <c r="A120" s="50"/>
      <c r="B120" s="51"/>
      <c r="C120" s="51"/>
      <c r="D120" s="51"/>
      <c r="E120" s="51"/>
      <c r="F120" s="51"/>
      <c r="G120" s="51"/>
      <c r="H120" s="52"/>
    </row>
    <row r="121" ht="15.75" customHeight="1">
      <c r="A121" s="46" t="s">
        <v>257</v>
      </c>
      <c r="B121" s="17"/>
      <c r="C121" s="17"/>
      <c r="D121" s="17"/>
      <c r="E121" s="17"/>
      <c r="F121" s="17"/>
      <c r="G121" s="17"/>
      <c r="H121" s="18"/>
    </row>
    <row r="122" ht="15.75" customHeight="1">
      <c r="A122" s="68"/>
      <c r="B122" s="48"/>
      <c r="C122" s="48"/>
      <c r="D122" s="48"/>
      <c r="E122" s="48"/>
      <c r="F122" s="48"/>
      <c r="G122" s="48"/>
      <c r="H122" s="49"/>
    </row>
    <row r="123" ht="15.75" customHeight="1">
      <c r="A123" s="65"/>
      <c r="H123" s="66"/>
    </row>
    <row r="124" ht="15.75" customHeight="1">
      <c r="A124" s="65"/>
      <c r="H124" s="66"/>
    </row>
    <row r="125" ht="15.75" customHeight="1">
      <c r="A125" s="50"/>
      <c r="B125" s="51"/>
      <c r="C125" s="51"/>
      <c r="D125" s="51"/>
      <c r="E125" s="51"/>
      <c r="F125" s="51"/>
      <c r="G125" s="51"/>
      <c r="H125" s="5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4"/>
    </row>
    <row r="2" ht="15.75" customHeight="1">
      <c r="A2" s="14"/>
      <c r="B2" s="42" t="s">
        <v>297</v>
      </c>
    </row>
    <row r="3" ht="15.75" customHeight="1">
      <c r="A3" s="14"/>
    </row>
    <row r="4" ht="15.75" customHeight="1">
      <c r="A4" s="14"/>
      <c r="B4" s="3" t="s">
        <v>1</v>
      </c>
      <c r="C4" s="3" t="str">
        <f>'Diseño'!C4</f>
        <v>796 - Lenguajes Formales y de Programación</v>
      </c>
    </row>
    <row r="5" ht="15.75" customHeight="1">
      <c r="A5" s="14"/>
      <c r="B5" s="14" t="s">
        <v>3</v>
      </c>
      <c r="C5" s="5" t="s">
        <v>4</v>
      </c>
    </row>
    <row r="6" ht="15.75" customHeight="1">
      <c r="A6" s="14"/>
      <c r="B6" s="14" t="s">
        <v>298</v>
      </c>
      <c r="H6" s="80"/>
    </row>
    <row r="7" ht="15.75" customHeight="1">
      <c r="A7" s="14"/>
    </row>
    <row r="8" ht="15.75" customHeight="1">
      <c r="A8" s="14"/>
    </row>
    <row r="9" ht="36.0" customHeight="1">
      <c r="A9" s="34" t="s">
        <v>299</v>
      </c>
      <c r="B9" s="81"/>
      <c r="D9" s="34" t="s">
        <v>249</v>
      </c>
      <c r="E9" s="82">
        <v>2.0</v>
      </c>
      <c r="F9" s="83"/>
      <c r="G9" s="83"/>
      <c r="H9" s="83"/>
      <c r="I9" s="83"/>
      <c r="J9" s="83"/>
      <c r="K9" s="83"/>
      <c r="L9" s="83"/>
      <c r="M9" s="83"/>
      <c r="N9" s="83"/>
      <c r="O9" s="83"/>
      <c r="P9" s="83"/>
      <c r="Q9" s="83"/>
      <c r="R9" s="83"/>
      <c r="S9" s="83"/>
      <c r="T9" s="83"/>
      <c r="U9" s="83"/>
      <c r="V9" s="83"/>
      <c r="W9" s="83"/>
      <c r="X9" s="83"/>
      <c r="Y9" s="83"/>
      <c r="Z9" s="83"/>
    </row>
    <row r="10" ht="48.75" customHeight="1">
      <c r="A10" s="84" t="s">
        <v>300</v>
      </c>
      <c r="D10" s="84" t="s">
        <v>301</v>
      </c>
    </row>
    <row r="11" ht="15.75" customHeight="1">
      <c r="A11" s="85"/>
      <c r="B11" s="86"/>
      <c r="C11" s="86"/>
      <c r="D11" s="86"/>
    </row>
    <row r="12" ht="15.75" customHeight="1">
      <c r="A12" s="87" t="s">
        <v>193</v>
      </c>
      <c r="B12" s="88" t="s">
        <v>302</v>
      </c>
      <c r="C12" s="88" t="s">
        <v>303</v>
      </c>
      <c r="D12" s="88" t="s">
        <v>304</v>
      </c>
    </row>
    <row r="13">
      <c r="A13" s="43" t="s">
        <v>305</v>
      </c>
      <c r="B13" s="62">
        <f>S.2!B49+S.3!B49+S.4!B49+S.5!B49+S.6!B49+S.7!B55+S.8!B49+S.9!B49+S.10!B58+S.11!B58</f>
        <v>6</v>
      </c>
      <c r="C13" s="62">
        <v>1.25</v>
      </c>
      <c r="D13" s="62" t="s">
        <v>306</v>
      </c>
      <c r="E13" s="84" t="s">
        <v>307</v>
      </c>
    </row>
    <row r="14" ht="15.75" customHeight="1">
      <c r="A14" s="43" t="s">
        <v>249</v>
      </c>
      <c r="B14" s="62">
        <f>Proyectos!C6</f>
        <v>65</v>
      </c>
      <c r="C14" s="19">
        <f>Proyectos!C5</f>
        <v>55</v>
      </c>
      <c r="D14" s="19"/>
    </row>
    <row r="15" ht="15.75" customHeight="1">
      <c r="A15" s="43" t="s">
        <v>265</v>
      </c>
      <c r="B15" s="62">
        <f>Practicas!C6</f>
        <v>15</v>
      </c>
      <c r="C15" s="19">
        <f>Practicas!C5</f>
        <v>10</v>
      </c>
      <c r="D15" s="19"/>
    </row>
    <row r="16" ht="15.75" customHeight="1">
      <c r="A16" s="43" t="s">
        <v>278</v>
      </c>
      <c r="B16" s="62">
        <f>Tareas!C6</f>
        <v>4</v>
      </c>
      <c r="C16" s="19">
        <f>Tareas!C5</f>
        <v>8</v>
      </c>
      <c r="D16" s="19"/>
    </row>
    <row r="17" ht="15.75" customHeight="1">
      <c r="A17" s="89" t="s">
        <v>308</v>
      </c>
      <c r="B17" s="62">
        <v>10.0</v>
      </c>
      <c r="C17" s="62">
        <v>10.0</v>
      </c>
      <c r="D17" s="19"/>
    </row>
    <row r="18" ht="15.75" customHeight="1">
      <c r="A18" s="90" t="s">
        <v>309</v>
      </c>
      <c r="B18" s="91">
        <f t="shared" ref="B18:C18" si="1">SUM(B13:B17)</f>
        <v>100</v>
      </c>
      <c r="C18" s="91">
        <f t="shared" si="1"/>
        <v>84.25</v>
      </c>
      <c r="D18" s="91"/>
    </row>
    <row r="19" ht="15.75" customHeight="1">
      <c r="A19" s="14"/>
    </row>
    <row r="20" ht="15.75" customHeight="1">
      <c r="A20" s="14"/>
    </row>
    <row r="21" ht="15.75" customHeight="1">
      <c r="A21" s="14"/>
    </row>
    <row r="22" ht="15.75" customHeight="1">
      <c r="A22" s="14"/>
    </row>
    <row r="23" ht="15.75" customHeight="1">
      <c r="A23" s="14"/>
    </row>
    <row r="24" ht="15.75" customHeight="1">
      <c r="A24" s="14"/>
    </row>
    <row r="25" ht="15.75" customHeight="1">
      <c r="A25" s="14"/>
    </row>
    <row r="26" ht="15.75" customHeight="1">
      <c r="A26" s="14"/>
    </row>
    <row r="27" ht="15.75" customHeight="1">
      <c r="A27" s="14"/>
    </row>
    <row r="28" ht="15.75" customHeight="1">
      <c r="A28" s="14"/>
    </row>
    <row r="29" ht="15.75" customHeight="1">
      <c r="A29" s="14"/>
    </row>
    <row r="30" ht="15.75" customHeight="1">
      <c r="A30" s="14"/>
    </row>
    <row r="31" ht="15.75" customHeight="1">
      <c r="A31" s="14"/>
    </row>
    <row r="32" ht="15.75" customHeight="1">
      <c r="A32" s="14"/>
    </row>
    <row r="33" ht="15.75" customHeight="1">
      <c r="A33" s="14"/>
    </row>
    <row r="34" ht="15.75" customHeight="1">
      <c r="A34" s="14"/>
    </row>
    <row r="35" ht="15.75" customHeight="1">
      <c r="A35" s="14"/>
    </row>
    <row r="36" ht="15.75" customHeight="1">
      <c r="A36" s="14"/>
    </row>
    <row r="37" ht="15.75" customHeight="1">
      <c r="A37" s="14"/>
    </row>
    <row r="38" ht="15.75" customHeight="1">
      <c r="A38" s="14"/>
    </row>
    <row r="39" ht="15.75" customHeight="1">
      <c r="A39" s="14"/>
    </row>
    <row r="40" ht="15.75" customHeight="1">
      <c r="A40" s="14"/>
    </row>
    <row r="41" ht="15.75" customHeight="1">
      <c r="A41" s="14"/>
    </row>
    <row r="42" ht="15.75" customHeight="1">
      <c r="A42" s="14"/>
    </row>
    <row r="43" ht="15.75" customHeight="1">
      <c r="A43" s="14"/>
    </row>
    <row r="44" ht="15.75" customHeight="1">
      <c r="A44" s="14"/>
    </row>
    <row r="45" ht="15.75" customHeight="1">
      <c r="A45" s="14"/>
    </row>
    <row r="46" ht="15.75" customHeight="1">
      <c r="A46" s="14"/>
    </row>
    <row r="47" ht="15.75" customHeight="1">
      <c r="A47" s="14"/>
    </row>
    <row r="48" ht="15.75" customHeight="1">
      <c r="A48" s="14"/>
    </row>
    <row r="49" ht="15.75" customHeight="1">
      <c r="A49" s="14"/>
    </row>
    <row r="50" ht="15.75" customHeight="1">
      <c r="A50" s="14"/>
    </row>
    <row r="51" ht="15.75" customHeight="1">
      <c r="A51" s="14"/>
    </row>
    <row r="52" ht="15.75" customHeight="1">
      <c r="A52" s="14"/>
    </row>
    <row r="53" ht="15.75" customHeight="1">
      <c r="A53" s="14"/>
    </row>
    <row r="54" ht="15.75" customHeight="1">
      <c r="A54" s="14"/>
    </row>
    <row r="55" ht="15.75" customHeight="1">
      <c r="A55" s="14"/>
    </row>
    <row r="56" ht="15.75" customHeight="1">
      <c r="A56" s="14"/>
    </row>
    <row r="57" ht="15.75" customHeight="1">
      <c r="A57" s="14"/>
    </row>
    <row r="58" ht="15.75" customHeight="1">
      <c r="A58" s="14"/>
    </row>
    <row r="59" ht="15.75" customHeight="1">
      <c r="A59" s="14"/>
    </row>
    <row r="60" ht="15.75" customHeight="1">
      <c r="A60" s="14"/>
    </row>
    <row r="61" ht="15.75" customHeight="1">
      <c r="A61" s="14"/>
    </row>
    <row r="62" ht="15.75" customHeight="1">
      <c r="A62" s="14"/>
    </row>
    <row r="63" ht="15.75" customHeight="1">
      <c r="A63" s="14"/>
    </row>
    <row r="64" ht="15.75" customHeight="1">
      <c r="A64" s="14"/>
    </row>
    <row r="65" ht="15.75" customHeight="1">
      <c r="A65" s="14"/>
    </row>
    <row r="66" ht="15.75" customHeight="1">
      <c r="A66" s="14"/>
    </row>
    <row r="67" ht="15.75" customHeight="1">
      <c r="A67" s="14"/>
    </row>
    <row r="68" ht="15.75" customHeight="1">
      <c r="A68" s="14"/>
    </row>
    <row r="69" ht="15.75" customHeight="1">
      <c r="A69" s="14"/>
    </row>
    <row r="70" ht="15.75" customHeight="1">
      <c r="A70" s="14"/>
    </row>
    <row r="71" ht="15.75" customHeight="1">
      <c r="A71" s="14"/>
    </row>
    <row r="72" ht="15.75" customHeight="1">
      <c r="A72" s="14"/>
    </row>
    <row r="73" ht="15.75" customHeight="1">
      <c r="A73" s="14"/>
    </row>
    <row r="74" ht="15.75" customHeight="1">
      <c r="A74" s="14"/>
    </row>
    <row r="75" ht="15.75" customHeight="1">
      <c r="A75" s="14"/>
    </row>
    <row r="76" ht="15.75" customHeight="1">
      <c r="A76" s="14"/>
    </row>
    <row r="77" ht="15.75" customHeight="1">
      <c r="A77" s="14"/>
    </row>
    <row r="78" ht="15.75" customHeight="1">
      <c r="A78" s="14"/>
    </row>
    <row r="79" ht="15.75" customHeight="1">
      <c r="A79" s="14"/>
    </row>
    <row r="80" ht="15.75" customHeight="1">
      <c r="A80" s="14"/>
    </row>
    <row r="81" ht="15.75" customHeight="1">
      <c r="A81" s="14"/>
    </row>
    <row r="82" ht="15.75" customHeight="1">
      <c r="A82" s="14"/>
    </row>
    <row r="83" ht="15.75" customHeight="1">
      <c r="A83" s="14"/>
    </row>
    <row r="84" ht="15.75" customHeight="1">
      <c r="A84" s="14"/>
    </row>
    <row r="85" ht="15.75" customHeight="1">
      <c r="A85" s="14"/>
    </row>
    <row r="86" ht="15.75" customHeight="1">
      <c r="A86" s="14"/>
    </row>
    <row r="87" ht="15.75" customHeight="1">
      <c r="A87" s="14"/>
    </row>
    <row r="88" ht="15.75" customHeight="1">
      <c r="A88" s="14"/>
    </row>
    <row r="89" ht="15.75" customHeight="1">
      <c r="A89" s="14"/>
    </row>
    <row r="90" ht="15.75" customHeight="1">
      <c r="A90" s="14"/>
    </row>
    <row r="91" ht="15.75" customHeight="1">
      <c r="A91" s="14"/>
    </row>
    <row r="92" ht="15.75" customHeight="1">
      <c r="A92" s="14"/>
    </row>
    <row r="93" ht="15.75" customHeight="1">
      <c r="A93" s="14"/>
    </row>
    <row r="94" ht="15.75" customHeight="1">
      <c r="A94" s="14"/>
    </row>
    <row r="95" ht="15.75" customHeight="1">
      <c r="A95" s="14"/>
    </row>
    <row r="96" ht="15.75" customHeight="1">
      <c r="A96" s="14"/>
    </row>
    <row r="97" ht="15.75" customHeight="1">
      <c r="A97" s="14"/>
    </row>
    <row r="98" ht="15.75" customHeight="1">
      <c r="A98" s="14"/>
    </row>
    <row r="99" ht="15.75" customHeight="1">
      <c r="A99" s="14"/>
    </row>
    <row r="100" ht="15.75" customHeight="1">
      <c r="A100" s="14"/>
    </row>
    <row r="101" ht="15.75" customHeight="1">
      <c r="A101" s="14"/>
    </row>
    <row r="102" ht="15.75" customHeight="1">
      <c r="A102" s="14"/>
    </row>
    <row r="103" ht="15.75" customHeight="1">
      <c r="A103" s="14"/>
    </row>
    <row r="104" ht="15.75" customHeight="1">
      <c r="A104" s="14"/>
    </row>
    <row r="105" ht="15.75" customHeight="1">
      <c r="A105" s="14"/>
    </row>
    <row r="106" ht="15.75" customHeight="1">
      <c r="A106" s="14"/>
    </row>
    <row r="107" ht="15.75" customHeight="1">
      <c r="A107" s="14"/>
    </row>
    <row r="108" ht="15.75" customHeight="1">
      <c r="A108" s="14"/>
    </row>
    <row r="109" ht="15.75" customHeight="1">
      <c r="A109" s="14"/>
    </row>
    <row r="110" ht="15.75" customHeight="1">
      <c r="A110" s="14"/>
    </row>
    <row r="111" ht="15.75" customHeight="1">
      <c r="A111" s="14"/>
    </row>
    <row r="112" ht="15.75" customHeight="1">
      <c r="A112" s="14"/>
    </row>
    <row r="113" ht="15.75" customHeight="1">
      <c r="A113" s="14"/>
    </row>
    <row r="114" ht="15.75" customHeight="1">
      <c r="A114" s="14"/>
    </row>
    <row r="115" ht="15.75" customHeight="1">
      <c r="A115" s="14"/>
    </row>
    <row r="116" ht="15.75" customHeight="1">
      <c r="A116" s="14"/>
    </row>
    <row r="117" ht="15.75" customHeight="1">
      <c r="A117" s="14"/>
    </row>
    <row r="118" ht="15.75" customHeight="1">
      <c r="A118" s="14"/>
    </row>
    <row r="119" ht="15.75" customHeight="1">
      <c r="A119" s="14"/>
    </row>
    <row r="120" ht="15.75" customHeight="1">
      <c r="A120" s="14"/>
    </row>
    <row r="121" ht="15.75" customHeight="1">
      <c r="A121" s="14"/>
    </row>
    <row r="122" ht="15.75" customHeight="1">
      <c r="A122" s="14"/>
    </row>
    <row r="123" ht="15.75" customHeight="1">
      <c r="A123" s="14"/>
    </row>
    <row r="124" ht="15.75" customHeight="1">
      <c r="A124" s="14"/>
    </row>
    <row r="125" ht="15.75" customHeight="1">
      <c r="A125" s="14"/>
    </row>
    <row r="126" ht="15.75" customHeight="1">
      <c r="A126" s="14"/>
    </row>
    <row r="127" ht="15.75" customHeight="1">
      <c r="A127" s="14"/>
    </row>
    <row r="128" ht="15.75" customHeight="1">
      <c r="A128" s="14"/>
    </row>
    <row r="129" ht="15.75" customHeight="1">
      <c r="A129" s="14"/>
    </row>
    <row r="130" ht="15.75" customHeight="1">
      <c r="A130" s="14"/>
    </row>
    <row r="131" ht="15.75" customHeight="1">
      <c r="A131" s="14"/>
    </row>
    <row r="132" ht="15.75" customHeight="1">
      <c r="A132" s="14"/>
    </row>
    <row r="133" ht="15.75" customHeight="1">
      <c r="A133" s="14"/>
    </row>
    <row r="134" ht="15.75" customHeight="1">
      <c r="A134" s="14"/>
    </row>
    <row r="135" ht="15.75" customHeight="1">
      <c r="A135" s="14"/>
    </row>
    <row r="136" ht="15.75" customHeight="1">
      <c r="A136" s="14"/>
    </row>
    <row r="137" ht="15.75" customHeight="1">
      <c r="A137" s="14"/>
    </row>
    <row r="138" ht="15.75" customHeight="1">
      <c r="A138" s="14"/>
    </row>
    <row r="139" ht="15.75" customHeight="1">
      <c r="A139" s="14"/>
    </row>
    <row r="140" ht="15.75" customHeight="1">
      <c r="A140" s="14"/>
    </row>
    <row r="141" ht="15.75" customHeight="1">
      <c r="A141" s="14"/>
    </row>
    <row r="142" ht="15.75" customHeight="1">
      <c r="A142" s="14"/>
    </row>
    <row r="143" ht="15.75" customHeight="1">
      <c r="A143" s="14"/>
    </row>
    <row r="144" ht="15.75" customHeight="1">
      <c r="A144" s="14"/>
    </row>
    <row r="145" ht="15.75" customHeight="1">
      <c r="A145" s="14"/>
    </row>
    <row r="146" ht="15.75" customHeight="1">
      <c r="A146" s="14"/>
    </row>
    <row r="147" ht="15.75" customHeight="1">
      <c r="A147" s="14"/>
    </row>
    <row r="148" ht="15.75" customHeight="1">
      <c r="A148" s="14"/>
    </row>
    <row r="149" ht="15.75" customHeight="1">
      <c r="A149" s="14"/>
    </row>
    <row r="150" ht="15.75" customHeight="1">
      <c r="A150" s="14"/>
    </row>
    <row r="151" ht="15.75" customHeight="1">
      <c r="A151" s="14"/>
    </row>
    <row r="152" ht="15.75" customHeight="1">
      <c r="A152" s="14"/>
    </row>
    <row r="153" ht="15.75" customHeight="1">
      <c r="A153" s="14"/>
    </row>
    <row r="154" ht="15.75" customHeight="1">
      <c r="A154" s="14"/>
    </row>
    <row r="155" ht="15.75" customHeight="1">
      <c r="A155" s="14"/>
    </row>
    <row r="156" ht="15.75" customHeight="1">
      <c r="A156" s="14"/>
    </row>
    <row r="157" ht="15.75" customHeight="1">
      <c r="A157" s="14"/>
    </row>
    <row r="158" ht="15.75" customHeight="1">
      <c r="A158" s="14"/>
    </row>
    <row r="159" ht="15.75" customHeight="1">
      <c r="A159" s="14"/>
    </row>
    <row r="160" ht="15.75" customHeight="1">
      <c r="A160" s="14"/>
    </row>
    <row r="161" ht="15.75" customHeight="1">
      <c r="A161" s="14"/>
    </row>
    <row r="162" ht="15.75" customHeight="1">
      <c r="A162" s="14"/>
    </row>
    <row r="163" ht="15.75" customHeight="1">
      <c r="A163" s="14"/>
    </row>
    <row r="164" ht="15.75" customHeight="1">
      <c r="A164" s="14"/>
    </row>
    <row r="165" ht="15.75" customHeight="1">
      <c r="A165" s="14"/>
    </row>
    <row r="166" ht="15.75" customHeight="1">
      <c r="A166" s="14"/>
    </row>
    <row r="167" ht="15.75" customHeight="1">
      <c r="A167" s="14"/>
    </row>
    <row r="168" ht="15.75" customHeight="1">
      <c r="A168" s="14"/>
    </row>
    <row r="169" ht="15.75" customHeight="1">
      <c r="A169" s="14"/>
    </row>
    <row r="170" ht="15.75" customHeight="1">
      <c r="A170" s="14"/>
    </row>
    <row r="171" ht="15.75" customHeight="1">
      <c r="A171" s="14"/>
    </row>
    <row r="172" ht="15.75" customHeight="1">
      <c r="A172" s="14"/>
    </row>
    <row r="173" ht="15.75" customHeight="1">
      <c r="A173" s="14"/>
    </row>
    <row r="174" ht="15.75" customHeight="1">
      <c r="A174" s="14"/>
    </row>
    <row r="175" ht="15.75" customHeight="1">
      <c r="A175" s="14"/>
    </row>
    <row r="176" ht="15.75" customHeight="1">
      <c r="A176" s="14"/>
    </row>
    <row r="177" ht="15.75" customHeight="1">
      <c r="A177" s="14"/>
    </row>
    <row r="178" ht="15.75" customHeight="1">
      <c r="A178" s="14"/>
    </row>
    <row r="179" ht="15.75" customHeight="1">
      <c r="A179" s="14"/>
    </row>
    <row r="180" ht="15.75" customHeight="1">
      <c r="A180" s="14"/>
    </row>
    <row r="181" ht="15.75" customHeight="1">
      <c r="A181" s="14"/>
    </row>
    <row r="182" ht="15.75" customHeight="1">
      <c r="A182" s="14"/>
    </row>
    <row r="183" ht="15.75" customHeight="1">
      <c r="A183" s="14"/>
    </row>
    <row r="184" ht="15.75" customHeight="1">
      <c r="A184" s="14"/>
    </row>
    <row r="185" ht="15.75" customHeight="1">
      <c r="A185" s="14"/>
    </row>
    <row r="186" ht="15.75" customHeight="1">
      <c r="A186" s="14"/>
    </row>
    <row r="187" ht="15.75" customHeight="1">
      <c r="A187" s="14"/>
    </row>
    <row r="188" ht="15.75" customHeight="1">
      <c r="A188" s="14"/>
    </row>
    <row r="189" ht="15.75" customHeight="1">
      <c r="A189" s="14"/>
    </row>
    <row r="190" ht="15.75" customHeight="1">
      <c r="A190" s="14"/>
    </row>
    <row r="191" ht="15.75" customHeight="1">
      <c r="A191" s="14"/>
    </row>
    <row r="192" ht="15.75" customHeight="1">
      <c r="A192" s="14"/>
    </row>
    <row r="193" ht="15.75" customHeight="1">
      <c r="A193" s="14"/>
    </row>
    <row r="194" ht="15.75" customHeight="1">
      <c r="A194" s="14"/>
    </row>
    <row r="195" ht="15.75" customHeight="1">
      <c r="A195" s="14"/>
    </row>
    <row r="196" ht="15.75" customHeight="1">
      <c r="A196" s="14"/>
    </row>
    <row r="197" ht="15.75" customHeight="1">
      <c r="A197" s="14"/>
    </row>
    <row r="198" ht="15.75" customHeight="1">
      <c r="A198" s="14"/>
    </row>
    <row r="199" ht="15.75" customHeight="1">
      <c r="A199" s="14"/>
    </row>
    <row r="200" ht="15.75" customHeight="1">
      <c r="A200" s="14"/>
    </row>
    <row r="201" ht="15.75" customHeight="1">
      <c r="A201" s="14"/>
    </row>
    <row r="202" ht="15.75" customHeight="1">
      <c r="A202" s="14"/>
    </row>
    <row r="203" ht="15.75" customHeight="1">
      <c r="A203" s="14"/>
    </row>
    <row r="204" ht="15.75" customHeight="1">
      <c r="A204" s="14"/>
    </row>
    <row r="205" ht="15.75" customHeight="1">
      <c r="A205" s="14"/>
    </row>
    <row r="206" ht="15.75" customHeight="1">
      <c r="A206" s="14"/>
    </row>
    <row r="207" ht="15.75" customHeight="1">
      <c r="A207" s="14"/>
    </row>
    <row r="208" ht="15.75" customHeight="1">
      <c r="A208" s="14"/>
    </row>
    <row r="209" ht="15.75" customHeight="1">
      <c r="A209" s="14"/>
    </row>
    <row r="210" ht="15.75" customHeight="1">
      <c r="A210" s="14"/>
    </row>
    <row r="211" ht="15.75" customHeight="1">
      <c r="A211" s="14"/>
    </row>
    <row r="212" ht="15.75" customHeight="1">
      <c r="A212" s="14"/>
    </row>
    <row r="213" ht="15.75" customHeight="1">
      <c r="A213" s="14"/>
    </row>
    <row r="214" ht="15.75" customHeight="1">
      <c r="A214" s="14"/>
    </row>
    <row r="215" ht="15.75" customHeight="1">
      <c r="A215" s="14"/>
    </row>
    <row r="216" ht="15.75" customHeight="1">
      <c r="A216" s="14"/>
    </row>
    <row r="217" ht="15.75" customHeight="1">
      <c r="A217" s="14"/>
    </row>
    <row r="218" ht="15.75" customHeight="1">
      <c r="A218" s="14"/>
    </row>
    <row r="219" ht="15.75" customHeight="1">
      <c r="A219" s="14"/>
    </row>
    <row r="220" ht="15.75" customHeight="1">
      <c r="A220" s="14"/>
    </row>
    <row r="221" ht="15.75" customHeight="1">
      <c r="A221" s="1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