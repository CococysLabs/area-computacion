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P5O3Ezb2VZgOm8lhe0yEHhOU6pGuA5B1iVJzQtLcsc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<sst xmlns="http://schemas.openxmlformats.org/spreadsheetml/2006/main" count="1460" uniqueCount="310">
  <si>
    <t>Diseño de Contenido Curricular</t>
  </si>
  <si>
    <t>Curso</t>
  </si>
  <si>
    <t>796 - Lenguajes Formales y de Programación</t>
  </si>
  <si>
    <t>Periodo al que aplica</t>
  </si>
  <si>
    <t>Primer Semestre 2026</t>
  </si>
  <si>
    <t>No.</t>
  </si>
  <si>
    <t>Competencia</t>
  </si>
  <si>
    <t>Nombre de la Unidad</t>
  </si>
  <si>
    <t>Tema</t>
  </si>
  <si>
    <t>Subtema</t>
  </si>
  <si>
    <t>Mes</t>
  </si>
  <si>
    <t>Semana</t>
  </si>
  <si>
    <t xml:space="preserve">Comprender el funcionamiento del lenguaje de programación a través de su aplicación para la resolución de problemas relacionados con las fases del compilador </t>
  </si>
  <si>
    <t>Lenguajes de Programacion</t>
  </si>
  <si>
    <t>Introduccion al lenguaje de Programacion</t>
  </si>
  <si>
    <t>Historia de la Programacion</t>
  </si>
  <si>
    <t>Enero</t>
  </si>
  <si>
    <t>Aspectos Basicos de la Programacion</t>
  </si>
  <si>
    <t>Reglas de Sintaxis</t>
  </si>
  <si>
    <t>Estructura de un programa</t>
  </si>
  <si>
    <t>Buenas Practicas y funciones en Programacion</t>
  </si>
  <si>
    <t>Convenciones de nombres y estilo de código</t>
  </si>
  <si>
    <t>Gestión de memoria y optimización</t>
  </si>
  <si>
    <t>Definición y uso de métodos y funciones</t>
  </si>
  <si>
    <t>Creación y uso de clases</t>
  </si>
  <si>
    <t>Diferencias entre métodos y funciones</t>
  </si>
  <si>
    <t>Estructuras de Datos y Control en Programacion</t>
  </si>
  <si>
    <t>Arreglos en Java</t>
  </si>
  <si>
    <t>Febrero</t>
  </si>
  <si>
    <t>Diccionarios y estructuras de Datos</t>
  </si>
  <si>
    <t>Iteracion en Java</t>
  </si>
  <si>
    <t>Lectura de Archivos</t>
  </si>
  <si>
    <t>Escritura de Archivos</t>
  </si>
  <si>
    <t xml:space="preserve">Analizar la evolución y clasificación de los lenguajes formales y de programación mediante la comparación de sus características, estructuras y herramientas para comprender su organización y funcionamiento </t>
  </si>
  <si>
    <t>Lenguajes Formales</t>
  </si>
  <si>
    <t>Lenguajes</t>
  </si>
  <si>
    <t>Lenguajes Natural</t>
  </si>
  <si>
    <t>Evolucion de los Lenguajes de Programacion</t>
  </si>
  <si>
    <t>Paradigmas</t>
  </si>
  <si>
    <t>Generaciones de lenguajes de programación</t>
  </si>
  <si>
    <t>Procesadores de Lenguaje</t>
  </si>
  <si>
    <t>Interprete</t>
  </si>
  <si>
    <t>Compilador</t>
  </si>
  <si>
    <t>Estructura de un compilador</t>
  </si>
  <si>
    <t>Diferencias y Ejemplos</t>
  </si>
  <si>
    <t>Herramientas</t>
  </si>
  <si>
    <t>Jerarquia de Chosmky</t>
  </si>
  <si>
    <t>Clasificacion de Gramaticas</t>
  </si>
  <si>
    <t xml:space="preserve">Construir analizadores léxicos utilizando conocimientos de AFD, POO, recursividad y programación imperativa para definir cada estado del AFD </t>
  </si>
  <si>
    <t>Analisis Lexico</t>
  </si>
  <si>
    <t>Definicion y Funcion del analizador lexico</t>
  </si>
  <si>
    <t>Patrones</t>
  </si>
  <si>
    <t>Tokens</t>
  </si>
  <si>
    <t>Lexemas</t>
  </si>
  <si>
    <t>Errores Lexicos</t>
  </si>
  <si>
    <t>Ejemplos de tokens en diferentes lenguajes</t>
  </si>
  <si>
    <t>Operaciones Entre Lenguajes y Expresiones regulares</t>
  </si>
  <si>
    <t>Interoperabilidad entre Lenguajes</t>
  </si>
  <si>
    <t>Concepto de interoperabilidad</t>
  </si>
  <si>
    <t>Traducción y Compilación:Proceso de traducción de un lenguaje a otro</t>
  </si>
  <si>
    <t>Buenas Prácticas en Interoperabilidad</t>
  </si>
  <si>
    <t>¿Qué son las expresiones regulares?</t>
  </si>
  <si>
    <t>Aplicaciones de Expresiones Regulares en Análisis Léxico</t>
  </si>
  <si>
    <t>Diagrama de transición de estados</t>
  </si>
  <si>
    <t>Tablas de Transicion</t>
  </si>
  <si>
    <t>Automata Finitos</t>
  </si>
  <si>
    <t>Definición de AFN</t>
  </si>
  <si>
    <t>Marzo</t>
  </si>
  <si>
    <t>Estructura de un AFN</t>
  </si>
  <si>
    <t>Ejemplo de AFN</t>
  </si>
  <si>
    <t>Definición de AFD</t>
  </si>
  <si>
    <t>Estructura de un AFD</t>
  </si>
  <si>
    <t>Ejemplo de AFD</t>
  </si>
  <si>
    <t>Conversion AFN a AFD</t>
  </si>
  <si>
    <t>Método del Árbol</t>
  </si>
  <si>
    <t>Anulables</t>
  </si>
  <si>
    <t>Cálculo de First, Last y Next</t>
  </si>
  <si>
    <t>Optimizacion de Estados</t>
  </si>
  <si>
    <t>Minimización de un AFD</t>
  </si>
  <si>
    <t>Abril</t>
  </si>
  <si>
    <t>Identificación de Estados Equivalentes</t>
  </si>
  <si>
    <t>Representación Compacta de AFD</t>
  </si>
  <si>
    <t>Ventajas de una representación optimizada</t>
  </si>
  <si>
    <t xml:space="preserve">Construir analizadores sintácticos utilizando conocimientos de Gramáticas Libres del Contexto, POO, recursividad y programación imperativa para definir cada regla sintáctica </t>
  </si>
  <si>
    <t>Analisis Sintactico</t>
  </si>
  <si>
    <t>Funcion del Analizador Sintactico</t>
  </si>
  <si>
    <t>Definición de análisis sintáctico</t>
  </si>
  <si>
    <t>Propósito del analizador sintáctico en un compilador</t>
  </si>
  <si>
    <t>Diferencias entre análisis léxico y sintáctico</t>
  </si>
  <si>
    <t>Analizadores sintácticos ascendentes</t>
  </si>
  <si>
    <t>Analizadores sintácticos descendentes</t>
  </si>
  <si>
    <t>Comparación de técnicas de análisis sintáctico</t>
  </si>
  <si>
    <t xml:space="preserve">Generar gramáticas libres de contexto mediante el análisis sintáctico para reconocer lenguajes formales. </t>
  </si>
  <si>
    <t>Lenguajes Libres de Contexto</t>
  </si>
  <si>
    <t>Definición de lenguajes libres de contexto (LFC)</t>
  </si>
  <si>
    <t>Características de LFC</t>
  </si>
  <si>
    <t>Importancia de los LFC en la teoría de lenguajes de programación</t>
  </si>
  <si>
    <t>Gramáticas Tipo 2</t>
  </si>
  <si>
    <t>Ejemplos de generación de cadenas usando gramáticas Tipo 2</t>
  </si>
  <si>
    <t>Aplicaciones prácticas de gramáticas Tipo 2 en lenguajes de programación</t>
  </si>
  <si>
    <t>Arboles de Derivacion y Ambigueadad</t>
  </si>
  <si>
    <t>Árboles de derivación</t>
  </si>
  <si>
    <t>Definición y construcción de árboles de derivación</t>
  </si>
  <si>
    <t>Ambigüedad</t>
  </si>
  <si>
    <t>Concepto de ambigüedad en gramáticas</t>
  </si>
  <si>
    <t>Ejemplos de gramáticas ambiguas</t>
  </si>
  <si>
    <t>Recursividad</t>
  </si>
  <si>
    <t>Definición de recursividad en gramáticas</t>
  </si>
  <si>
    <t>Ejemplos de gramáticas recursivas</t>
  </si>
  <si>
    <t>Automatas de Pila</t>
  </si>
  <si>
    <t>Introducción a los autómatas de pila</t>
  </si>
  <si>
    <t>Definición y funcionamiento de un autómata de pila</t>
  </si>
  <si>
    <t>Diferencias entre autómatas de pila y autómatas finitos</t>
  </si>
  <si>
    <t>Procesamiento</t>
  </si>
  <si>
    <t>Tipos de aceptación</t>
  </si>
  <si>
    <t>Estado Final</t>
  </si>
  <si>
    <t>Pila vacía</t>
  </si>
  <si>
    <t>Autómata de Pila desde Gramática Tipo 2</t>
  </si>
  <si>
    <t>Tiempo</t>
  </si>
  <si>
    <t xml:space="preserve">1. Bienvenida y Presentación                                   </t>
  </si>
  <si>
    <t>Tiempo Aproximado</t>
  </si>
  <si>
    <t>No puedes excederte mas de 15 minutos</t>
  </si>
  <si>
    <t xml:space="preserve">Nombre y Formacion Academica </t>
  </si>
  <si>
    <t>NOMBRE, estudiante de Ingeniería en Ciencias y Sistemas, auxiliar de Lenguajes Formales y De Programación</t>
  </si>
  <si>
    <t xml:space="preserve">Experiencia docente y profesional </t>
  </si>
  <si>
    <t>Auxiliar de Lenguajes Formales y de Programación, con experiencia en el desarrollo de aplicaciones y en temas relacionados con compiladores.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</si>
  <si>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</si>
  <si>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</si>
  <si>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Resolución de dudas, preparación de material, guia en laboratorios.</t>
  </si>
  <si>
    <t>Expectativas sobre la dinámica del curso</t>
  </si>
  <si>
    <t>Participación del alumnado, disciplina en los laboratorios y la coneccion de desarrollo de aplicacion de lo teórico a lo práctico.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</si>
  <si>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</si>
  <si>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</si>
  <si>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</si>
  <si>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</si>
  <si>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1. En Java, una clase puede heredar de múltiples clases al mismo tiempo.
Falso
2. La palabra clave super se utiliza para invocar al constructor de la clase padre.
Verdadero
3. En Java, una interfaz puede tener métodos abstractos y métodos con implementación (default y static).
Verdadero
4. El modificador private permite que un atributo sea accesible desde cualquier clase.
Falso
5. En Java, la sobrecarga de métodos significa definir varios métodos con el mismo nombre pero diferentes parámetros.
Verdadero
6. La sobreescritura de métodos (override) ocurre cuando una subclase redefine un método de la superclase.
Verdadero
7. En Java, una clase marcada como abstract puede instanciarse directamente.
Falso
8. ¿Qué palabra clave se utiliza para evitar que una clase pueda ser heredada?
final
9. El polimorfismo en Java permite que un mismo método tenga comportamientos diferentes según el objeto que lo invoque.
Verdadero
10. En Swing, el contenedor principal de una aplicación gráfica suele ser JFrame.
Verdadero
11. En Swing, un JPanel se utiliza únicamente para mostrar menús.
Falso
12. ¿Qué clase de Swing se utiliza para mostrar un cuadro de diálogo simple con un mensaje y botones como “Aceptar” o “Cancelar”?
JOptionPane
13. El método setVisible(true) en un JFrame se utiliza para mostrar la ventana en pantalla.
Verdadero
14. En Swing, los componentes gráficos como botones, etiquetas o cuadros de texto heredan de la clase JComponent.
Verdadero
15. ¿Qué método se utiliza en un JButton para asignarle una acción cuando es presionado?
addActionListener()</t>
  </si>
  <si>
    <t>En los recuadors de la derecha deberas colocar las preguntas que planeas realizar con sus respectivas respuestas.  En el segundo recuadro deberas colocar un breve resumen de lo que tines planificado para la parte practica del curso previo al que estas impartiendo.</t>
  </si>
  <si>
    <t>Redactaras una parte practica</t>
  </si>
  <si>
    <t>Practica Diagnostica : Programacion Orientada a Objetos en Java = Evaluar conocimientos básicos de programación en java y principios de programación.</t>
  </si>
  <si>
    <t xml:space="preserve">3. Presentación de los Estudiantes                                </t>
  </si>
  <si>
    <t xml:space="preserve">No puedes excederte mas de 30 minutos </t>
  </si>
  <si>
    <t>Seleccion al Azar de 5 Estudiantes</t>
  </si>
  <si>
    <t>1. Coloboración de los estudiantes amablemente se les solicitará que se presenten en el curso.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</si>
  <si>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</si>
  <si>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</si>
  <si>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 xml:space="preserve">1. Nombre completo.
2. ¿Cuáles son tus intereses y expectativas sobre este curso?
3. ¿Tienes experiencia previa relacionada con el curso o con programación?
4. Un dato curioso sobre ti (puede ser un hobby, gusto).
</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</si>
  <si>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</si>
  <si>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</si>
  <si>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</si>
  <si>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</si>
  <si>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https://forms.gle/ezpR5Cb647UspVHTA</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</si>
  <si>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</si>
  <si>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</si>
  <si>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La calificación podrá realizarse entre semana, dependiendo de la fecha de entrega de la práctica o proyecto. Se seleccionará el día en el que la mayoría de estudiantes tenga disponibilidad. De forma regular, las calificaciones se llevan a cabo los días sábados.</t>
  </si>
  <si>
    <t xml:space="preserve">4.  Mostrar Programa del Curso                 </t>
  </si>
  <si>
    <t>No puedes excederte mas de 30 minutos</t>
  </si>
  <si>
    <t xml:space="preserve">2. Evaluación de Conocimientos del Curso Actual                                  </t>
  </si>
  <si>
    <t xml:space="preserve">Redactaras 20 preguntas con sus respectivas respuestas </t>
  </si>
  <si>
    <t>1. JavaScript fue creado originalmente en 1995 por Brendan Eich.
Verdadero
2. JavaScript es un lenguaje compilado.
Falso
3. Menciona una buena práctica en JavaScript.
Usar nombres de variables descriptivos
4. Las librerías en JavaScript permiten reutilizar código ya escrito.
Verdadero
5. En JavaScript, los arreglos pueden contener diferentes tipos de datos en la misma estructura.
Verdadero
6. Los diccionarios en JavaScript se representan normalmente con objetos {}.
Verdadero
7. ¿Qué ciclo es más adecuado cuando no sabemos cuántas veces se repetirá la iteración?
While
8. En JavaScript, para leer y escribir archivos en el navegador se usa directamente fs.
Falso
9. Un lenguaje natural es ambiguo y depende del contexto.
Verdadero
10. Los lenguajes formales son precisos, definidos por reglas y sin ambigüedad.
Verdadero
11. Menciona un ejemplo de lenguaje de programación de tercera generación.
C, Java, Python
12. Un intérprete traduce y ejecuta el código instrucción por instrucción.
Verdadero
13. El compilador traduce todo el código fuente a un lenguaje máquina antes de ejecutarse.
Verdadero
14. La Jerarquía de Chomsky clasifica gramáticas en cuatro tipos.
Verdadero
15. Un token es la unidad más pequeña que reconoce un analizador léxico.
Verdadero
16. ¿Cómo se llaman los errores detectados por el analizador léxico?
Errores léxicos
17. Las expresiones regulares son útiles para definir patrones en cadenas.
Verdadero
18. Un autómata finito determinista (AFD) puede tener múltiples transiciones con el mismo símbolo desde un estado.
Falso
19. El método del árbol permite la conversión de un AFN a un AFD.
Verdadero
20. Los autómatas de pila reconocen lenguajes libres de contexto.
Verdadero</t>
  </si>
  <si>
    <t>Diseño de la Sesión de Laboratorio</t>
  </si>
  <si>
    <t>Ponderación</t>
  </si>
  <si>
    <t>Validación de Tiempo</t>
  </si>
  <si>
    <t>1. Área Actitudinal (Saber Ser)</t>
  </si>
  <si>
    <t>Tiene que estar en un rango de 3 a 5 minutos</t>
  </si>
  <si>
    <t>Nombre del Valor</t>
  </si>
  <si>
    <t>Responsabilidad</t>
  </si>
  <si>
    <t>Descripcion</t>
  </si>
  <si>
    <t>La responsabilidad implica asumir con seriedad y compromiso cada tarea de aprendizaje, comprendiendo que los conocimientos adquiridos en clase serán la base para proyectos personales, académicos y profesionales.</t>
  </si>
  <si>
    <t>Como se relaciona con los conocimientos de la sesion y se aplicaria</t>
  </si>
  <si>
    <t>El estudiante debe ser responsable en practicar la sintaxis básica para evitar errores comunes.
Al comprender los fundamentos, podrá aplicarlos luego en proyectos más complejos.
Se espera que asuma el rol de programador consciente, que entiende que su código no solo debe funcionar, sino también ser claro, organizado y fácil de mantener.</t>
  </si>
  <si>
    <t>2. Área Conocimiento (Saber)</t>
  </si>
  <si>
    <t>No puede exceder los 60 minutos</t>
  </si>
  <si>
    <t>Competencia a desarrollar</t>
  </si>
  <si>
    <t xml:space="preserve">Comprender aspectos importantes sobre el lenguaje utilizado a través de su aplicación para implementar lo aprendido durante las clases teóricas </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</si>
  <si>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</si>
  <si>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</si>
  <si>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</si>
  <si>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</si>
  <si>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</si>
  <si>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</si>
  <si>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</si>
  <si>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</si>
  <si>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</si>
  <si>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</si>
  <si>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</si>
  <si>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</si>
  <si>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</si>
  <si>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</si>
  <si>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</si>
  <si>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</si>
  <si>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</si>
  <si>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</si>
  <si>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</si>
  <si>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</si>
  <si>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</si>
  <si>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</si>
  <si>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</si>
  <si>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El estudiante deberá responder un cuestionario que combine preguntas teóricas (historia, reglas de sintaxis, estructura básica de un programa en JS) y ejercicios prácticos cortos.</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</si>
  <si>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</si>
  <si>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</si>
  <si>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</si>
  <si>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</si>
  <si>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</si>
  <si>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</si>
  <si>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Disciplina</t>
  </si>
  <si>
    <t>5 minutos</t>
  </si>
  <si>
    <t>La disciplina se refiere a la constancia y la capacidad de mantener un hábito de estudio ordenado y enfocado.</t>
  </si>
  <si>
    <t>El estudiante necesita ser disciplinado para aprender y practicar la sintaxis del lenguaje de manera correcta.
Requiere orden para aplicar las buenas prácticas de programación (como nombrar variables correctamente o comentar el código).</t>
  </si>
  <si>
    <t>actividades</t>
  </si>
  <si>
    <t>El estudiante deberá realizar una serie de pequeños ejercicios en JavaScript aplicando buenas prácticas, funciones y clases.</t>
  </si>
  <si>
    <t>Perseverancia</t>
  </si>
  <si>
    <t>2 minutos</t>
  </si>
  <si>
    <t>Es la capacidad de mantener el esfuerzo y la determinación para alcanzar una meta a pesar de los obstáculos, las dificultades o los fracasos que puedan surgir en el camino.</t>
  </si>
  <si>
    <t>Frecuentemente requieren un alto nivel de comprensión llegar a entender el funcionamiento de estructuras de datos.</t>
  </si>
  <si>
    <t>15 a 25 minutos</t>
  </si>
  <si>
    <t>25 minutos</t>
  </si>
  <si>
    <t>5 a 10 minutos</t>
  </si>
  <si>
    <t>10 minutos</t>
  </si>
  <si>
    <t>10 a 15 minutos</t>
  </si>
  <si>
    <t>15 minutos</t>
  </si>
  <si>
    <t>EXAMEN CORTO 1: Se establecerá un cuestionario con conceptos básicos sobre programación y sobre el lenguaje.</t>
  </si>
  <si>
    <t>Pensamiento Crítico</t>
  </si>
  <si>
    <t>Es la capacidad de analizar, evaluar y cuestionar la información de manera lógica, objetiva y racional para formarse un juicio o tomar decisiones fundamentadas. Implica no aceptar ideas o argumentos sin examinarlos cuidadosamente, considerando la evidencia, los supuestos, las implicaciones y posibles sesgos.</t>
  </si>
  <si>
    <t>Los lenguajes de programación y su evolución no son solo una cuestión de memorizar reglas, sino también de comprender por qué ciertas decisiones se tomaron en el diseño de lenguajes.</t>
  </si>
  <si>
    <t>20 a 25 minutos</t>
  </si>
  <si>
    <t>Se establecerá un cuestionario con conceptos básicos sobre lenguajes formales.</t>
  </si>
  <si>
    <t>Paciencia</t>
  </si>
  <si>
    <t>Es la capacidad de mantener la calma, la serenidad y el control emocional ante situaciones difíciles, retrasos, frustraciones o cuando los resultados deseados tardan en llegar.</t>
  </si>
  <si>
    <t>Es esencial para superar los obstáculos que se presentan al implementar o estudiar estas herramientas ya que comprender cómo funcionan los compiladores e intérpretes y las estructuras que los componen puede ser desafiante y requerir tiempo.</t>
  </si>
  <si>
    <t>Ejercicio practico</t>
  </si>
  <si>
    <t>Se les solicitará a los estudiantes realizar un programa en consola que sea capaz de parsear un archivo con formato csv utilizando únicamente funciones nativas del lenguaje de programación</t>
  </si>
  <si>
    <t>Autoconocimiento</t>
  </si>
  <si>
    <t>Permite al estudiante identificar sus fortalezas, intereses y aspectos personales relevantes.</t>
  </si>
  <si>
    <t>El autoconocimiento permite al estudiante reflexionar sobre su proceso de aprendizaje al enfrentar conceptos abstractos como autómatas, gramáticas y análisis léxico/sintáctico.</t>
  </si>
  <si>
    <t>40 minutos</t>
  </si>
  <si>
    <t>Construir e implementar AFD en codigo</t>
  </si>
  <si>
    <t>Curiosidad</t>
  </si>
  <si>
    <t>Se estimula al presentarse contenidos nuevos que despiertan interés por aprender.</t>
  </si>
  <si>
    <t>La curiosidad es fundamental en el estudio de lenguajes formales porque impulsa al estudiante.</t>
  </si>
  <si>
    <t>Dibujar el árbol sintáctico de una expresión regular dada.</t>
  </si>
  <si>
    <t>Compromiso</t>
  </si>
  <si>
    <t>Se impulsa al conocer y aceptar activamente el programa del curso.</t>
  </si>
  <si>
    <t>El compromiso es esencial en el estudio de lenguajes formales porque este campo requiere:
Dedicación constante para dominar conceptos abstractos y secuenciales.</t>
  </si>
  <si>
    <t>Generar un diagrama de una AFD en formato DOT.</t>
  </si>
  <si>
    <t xml:space="preserve"> Aborda problemas complejos como los autómatas de pila sin rendirse.</t>
  </si>
  <si>
    <t>EXAMEN CORTO 3</t>
  </si>
  <si>
    <t>Autonomía</t>
  </si>
  <si>
    <t>Desarrolla aplicaciones de análisis sintáctico de forma independiente.</t>
  </si>
  <si>
    <t>El estudiante construye aplicaciones mediante el uso de analisis lexico y sintactico utilizando herramientas de procesamiento de lenguajes formales.</t>
  </si>
  <si>
    <t>Proyectos</t>
  </si>
  <si>
    <t>La sumatoria de los puntos de los proyectos debe superar el  70% del total de la nota, no puede ser un 100%</t>
  </si>
  <si>
    <t>1. Primer Proyecto</t>
  </si>
  <si>
    <t>Horas para realizarlo</t>
  </si>
  <si>
    <t>Titulo</t>
  </si>
  <si>
    <t>Analizador Léxico con Interfaz Gráfica</t>
  </si>
  <si>
    <t>Qué tecnologías, lenguajes de programación, plataformas, hardware o software se utilizaran</t>
  </si>
  <si>
    <t xml:space="preserve">Lenguaje de programación de propósito general (JavaScript, Python, Java), Bibliotecas para interfaz gráfica. </t>
  </si>
  <si>
    <t>Descripción de lo que se realizara</t>
  </si>
  <si>
    <t xml:space="preserve">
El estudiante desarrollará un analizador léxico con interfaz gráfica donde pueda cargar archivos de entrada, definir tokens y visualizar el resultado del análisis. El programa debe:
Permitir la definición de tokens 
Leer código fuente desde archivo
Identificar y clasificar lexemas
Generar tabla de tokens
Detectar y reportar errores léxicos
Mostrar el AFD correspondiente</t>
  </si>
  <si>
    <t>2. Segundo Proyecto</t>
  </si>
  <si>
    <t>Traductor con Análisis Léxico y Sintáctico</t>
  </si>
  <si>
    <t>Lenguaje de programación de propósito general (JavaScript, Python, Java)
Bibliotecas para generación de reportes y visualización</t>
  </si>
  <si>
    <t>El estudiante desarrollará un compilador completo que integre las fases de análisis léxico y sintáctico para un lenguaje formal específico. El programa debe:
Realizar análisis léxico completo
Implementar análisis sintáctico mediante gramáticas libres de contexto
Detectar y reportar errores léxicos y sintácticos con línea y columna
Generar reportes de análisis (HTML)
Incluir casos de prueba que demuestren el manejo de recursividad y ambigüedad</t>
  </si>
  <si>
    <t>3. Tercer Proyecto</t>
  </si>
  <si>
    <t>Optativa</t>
  </si>
  <si>
    <t>Practicas</t>
  </si>
  <si>
    <t>La sumatoria de los puntos de los practicas debe no debe super el  20%</t>
  </si>
  <si>
    <t>1. Primera Practica</t>
  </si>
  <si>
    <t>Obligatoria</t>
  </si>
  <si>
    <t>Lectura y procesamiento básico de archivos en JavaScript</t>
  </si>
  <si>
    <t>JavaScript</t>
  </si>
  <si>
    <t>El estudiante desarrollará un programa en JavaScript que:
1. Lea un archivo de texto con datos separados por comas (CSV).
2. Procese los datos aplicando la función split(',') para separarlos en campos.
3. Almacene los datos en estructuras adecuadas (listas, arreglos u objetos).
4. Genere un reporte básico en consola que muestre la información organizada, por ejemplo: listado de elementos, conteo de registros o agrupaciones simples.</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</si>
  <si>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</si>
  <si>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</si>
  <si>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</si>
  <si>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</si>
  <si>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</si>
  <si>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</si>
  <si>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</si>
  <si>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</si>
  <si>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</si>
  <si>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Abstracción de Objetos</t>
  </si>
  <si>
    <t>Se utilizará el lenguaje de Programación JavaScript.</t>
  </si>
  <si>
    <t>Se solicita a los estudiantes la abstracción de un objeto de su preferencia en el lenguaje de programación JavaScript. Definirán las clases necesarias y crearán al menos 2 instancias del objeto, en donde deberán ejecutar al menos 2 métodos del objeto.</t>
  </si>
  <si>
    <t>2. Segunda Tarea</t>
  </si>
  <si>
    <t>Manejo de Archivos</t>
  </si>
  <si>
    <t>Se solicita a los estudiantes la lectura de un archivo de texto plano con un formato preestablecido. Deberán leer el archivo y generar un reporte html con la información obtenida.</t>
  </si>
  <si>
    <t>3. Tercera Tarea</t>
  </si>
  <si>
    <t>Optimización de Estados</t>
  </si>
  <si>
    <t>No aplica</t>
  </si>
  <si>
    <t>En esta tarea, el estudiante aplicará técnicas de partición para optimizar un autómata finito determinista (AFD), identificando y agrupando estados equivalentes con el fin de reducir su complejidad sin alterar el lenguaje que reconoce. El proceso se realizará de forma manual para reforzar la comprensión de la minimización de estados.</t>
  </si>
  <si>
    <t>4. Cuarta Tarea</t>
  </si>
  <si>
    <t>Generación de gramática libre del contexto para reconocimiento de expresiones aritméticas</t>
  </si>
  <si>
    <t>En esta tarea, el estudiante diseñará una gramática libre de contexto que permita reconocer expresiones aritméticas con operadores y paréntesis. Posteriormente, aplicará análisis sintáctico utilizando técnicas de parsing (descendente o ascendente) para construir árboles sintácticos, validando la correcta estructuración de dichas expresiones según las reglas definidas.</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</si>
  <si>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</si>
  <si>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</si>
  <si>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</si>
  <si>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</si>
  <si>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</si>
  <si>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</si>
  <si>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</si>
  <si>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</si>
  <si>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</si>
  <si>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</si>
  <si>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</si>
  <si>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</si>
  <si>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Exámenes Cortos</t>
  </si>
  <si>
    <t>Sumatoria de todas las semas</t>
  </si>
  <si>
    <t>Examen Final</t>
  </si>
  <si>
    <t>Total</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</si>
</sst>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rgb="FF0000FF"/>
      <name val="Arial"/>
    </font>
    <font>
      <b/>
      <sz val="12.0"/>
      <color rgb="FFFF6D01"/>
      <name val="Arial"/>
    </font>
    <font>
      <b/>
      <sz val="12.0"/>
      <color rgb="FFFFFFFF"/>
      <name val="Arial"/>
    </font>
    <font>
      <color rgb="FFD9D9D9"/>
      <name val="Arial"/>
    </font>
    <font>
      <b/>
      <sz val="12.0"/>
      <color theme="1"/>
      <name val="Arial"/>
    </font>
    <font>
      <sz val="12.0"/>
      <color rgb="FFFFFFFF"/>
      <name val="Arial"/>
    </font>
    <font>
      <sz val="12.0"/>
      <color theme="4"/>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2" fillId="0" fontId="4" numFmtId="0" xfId="0" applyAlignment="1" applyBorder="1" applyFont="1">
      <alignment readingOrder="0"/>
    </xf>
    <xf borderId="0" fillId="0" fontId="9" numFmtId="0" xfId="0" applyFont="1"/>
    <xf borderId="0" fillId="0" fontId="10" numFmtId="0" xfId="0" applyAlignment="1" applyFont="1">
      <alignment shrinkToFit="0" wrapText="1"/>
    </xf>
    <xf borderId="0" fillId="3" fontId="1" numFmtId="0" xfId="0" applyAlignment="1" applyFill="1" applyFont="1">
      <alignment readingOrder="0"/>
    </xf>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1" fillId="4" fontId="4" numFmtId="0" xfId="0" applyAlignment="1" applyBorder="1" applyFont="1">
      <alignment readingOrder="0" shrinkToFit="0" vertical="bottom" wrapText="1"/>
    </xf>
    <xf borderId="0" fillId="0" fontId="4" numFmtId="0" xfId="0" applyAlignment="1" applyFont="1">
      <alignment horizontal="center" shrinkToFit="0" vertical="center" wrapText="1"/>
    </xf>
    <xf borderId="1" fillId="4" fontId="4" numFmtId="0" xfId="0" applyAlignment="1" applyBorder="1" applyFont="1">
      <alignment shrinkToFit="0" wrapText="1"/>
    </xf>
    <xf borderId="1" fillId="4" fontId="4" numFmtId="0" xfId="0" applyBorder="1" applyFont="1"/>
    <xf borderId="0" fillId="0" fontId="12" numFmtId="0" xfId="0" applyFont="1"/>
    <xf borderId="1" fillId="4" fontId="4" numFmtId="0" xfId="0" applyAlignment="1" applyBorder="1" applyFont="1">
      <alignment shrinkToFit="0" vertical="center" wrapText="1"/>
    </xf>
    <xf borderId="0" fillId="0" fontId="4" numFmtId="0" xfId="0" applyAlignment="1" applyFont="1">
      <alignment horizontal="center" readingOrder="0" shrinkToFit="0" vertical="center" wrapText="1"/>
    </xf>
    <xf borderId="0" fillId="0" fontId="13" numFmtId="0" xfId="0" applyAlignment="1" applyFont="1">
      <alignment shrinkToFit="0" wrapText="1"/>
    </xf>
    <xf borderId="0" fillId="0" fontId="4" numFmtId="0" xfId="0" applyAlignment="1" applyFont="1">
      <alignment horizontal="left" shrinkToFit="0" vertical="center" wrapText="1"/>
    </xf>
    <xf borderId="2" fillId="0" fontId="4" numFmtId="0" xfId="0" applyAlignment="1" applyBorder="1" applyFont="1">
      <alignment readingOrder="0" shrinkToFit="0" vertical="bottom" wrapText="1"/>
    </xf>
    <xf borderId="0" fillId="3" fontId="1" numFmtId="0" xfId="0" applyFont="1"/>
    <xf borderId="0" fillId="0" fontId="14" numFmtId="0" xfId="0" applyFont="1"/>
    <xf borderId="2" fillId="0" fontId="15" numFmtId="0" xfId="0" applyAlignment="1" applyBorder="1" applyFont="1">
      <alignment readingOrder="0" vertical="bottom"/>
    </xf>
    <xf borderId="0" fillId="0" fontId="4" numFmtId="0" xfId="0" applyAlignment="1" applyFont="1">
      <alignment readingOrder="0" shrinkToFit="0" vertical="center" wrapText="1"/>
    </xf>
    <xf borderId="2" fillId="0" fontId="4" numFmtId="0" xfId="0" applyAlignment="1" applyBorder="1" applyFont="1">
      <alignment readingOrder="0" shrinkToFit="0" vertical="center" wrapText="1"/>
    </xf>
    <xf borderId="0" fillId="0" fontId="16" numFmtId="0" xfId="0" applyFont="1"/>
    <xf borderId="1" fillId="0" fontId="4" numFmtId="0" xfId="0" applyAlignment="1" applyBorder="1" applyFont="1">
      <alignment shrinkToFit="0" wrapText="1"/>
    </xf>
    <xf borderId="0" fillId="0" fontId="13" numFmtId="0" xfId="0" applyFont="1"/>
    <xf borderId="0" fillId="5" fontId="17" numFmtId="0" xfId="0" applyAlignment="1" applyFill="1" applyFont="1">
      <alignment readingOrder="0"/>
    </xf>
    <xf borderId="2" fillId="4" fontId="4" numFmtId="0" xfId="0" applyBorder="1" applyFont="1"/>
    <xf borderId="5" fillId="0" fontId="4" numFmtId="0" xfId="0" applyAlignment="1" applyBorder="1" applyFont="1">
      <alignment readingOrder="0" shrinkToFit="0" vertical="center" wrapText="1"/>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2" fillId="0" fontId="4" numFmtId="0" xfId="0" applyAlignment="1" applyBorder="1" applyFont="1">
      <alignment readingOrder="0" shrinkToFit="0" wrapText="1"/>
    </xf>
    <xf borderId="0" fillId="0" fontId="10"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1" fillId="0" fontId="4" numFmtId="0" xfId="0" applyAlignment="1" applyBorder="1" applyFont="1">
      <alignment readingOrder="0"/>
    </xf>
    <xf borderId="2" fillId="0" fontId="14" numFmtId="0" xfId="0" applyBorder="1" applyFont="1"/>
    <xf borderId="5" fillId="0" fontId="4" numFmtId="0" xfId="0" applyAlignment="1" applyBorder="1" applyFont="1">
      <alignment readingOrder="0" vertical="center"/>
    </xf>
    <xf borderId="11" fillId="0" fontId="8" numFmtId="0" xfId="0" applyBorder="1" applyFont="1"/>
    <xf borderId="12" fillId="0" fontId="8" numFmtId="0" xfId="0" applyBorder="1" applyFont="1"/>
    <xf borderId="0" fillId="0" fontId="18" numFmtId="0" xfId="0" applyFont="1"/>
    <xf borderId="5" fillId="0" fontId="4" numFmtId="0" xfId="0" applyBorder="1" applyFont="1"/>
    <xf borderId="2" fillId="0" fontId="14" numFmtId="0" xfId="0" applyAlignment="1" applyBorder="1" applyFont="1">
      <alignment readingOrder="0"/>
    </xf>
    <xf borderId="5" fillId="0" fontId="4" numFmtId="0" xfId="0" applyAlignment="1" applyBorder="1" applyFont="1">
      <alignment readingOrder="0" shrinkToFit="0" wrapText="1"/>
    </xf>
    <xf borderId="0" fillId="5" fontId="17" numFmtId="0" xfId="0" applyFont="1"/>
    <xf borderId="5" fillId="0" fontId="4" numFmtId="0" xfId="0" applyAlignment="1" applyBorder="1" applyFont="1">
      <alignment readingOrder="0" shrinkToFit="0" vertical="top" wrapText="1"/>
    </xf>
    <xf borderId="5" fillId="0" fontId="4" numFmtId="0" xfId="0" applyAlignment="1" applyBorder="1" applyFont="1">
      <alignment readingOrder="0" vertical="top"/>
    </xf>
    <xf borderId="5" fillId="0" fontId="4" numFmtId="0" xfId="0" applyAlignment="1" applyBorder="1" applyFont="1">
      <alignment vertical="top"/>
    </xf>
    <xf borderId="2" fillId="0" fontId="4" numFmtId="0" xfId="0" applyAlignment="1" applyBorder="1" applyFont="1">
      <alignment readingOrder="0" shrinkToFit="0" vertical="top" wrapText="1"/>
    </xf>
    <xf borderId="2" fillId="0" fontId="4" numFmtId="0" xfId="0" applyAlignment="1" applyBorder="1" applyFont="1">
      <alignment shrinkToFit="0" vertical="top" wrapText="1"/>
    </xf>
    <xf borderId="5" fillId="0" fontId="4" numFmtId="0" xfId="0" applyAlignment="1" applyBorder="1" applyFont="1">
      <alignment shrinkToFit="0" vertical="top" wrapText="1"/>
    </xf>
    <xf borderId="5" fillId="0" fontId="4" numFmtId="0" xfId="0" applyAlignment="1" applyBorder="1" applyFont="1">
      <alignment readingOrder="0"/>
    </xf>
    <xf borderId="5" fillId="0" fontId="4" numFmtId="0" xfId="0" applyAlignment="1" applyBorder="1" applyFont="1">
      <alignment horizontal="left" readingOrder="0"/>
    </xf>
    <xf borderId="0" fillId="0" fontId="19" numFmtId="0" xfId="0" applyFont="1"/>
    <xf borderId="0" fillId="3" fontId="20" numFmtId="0" xfId="0" applyFont="1"/>
    <xf borderId="0" fillId="3" fontId="20" numFmtId="0" xfId="0" applyAlignment="1" applyFont="1">
      <alignment readingOrder="0"/>
    </xf>
    <xf borderId="0" fillId="0" fontId="21" numFmtId="0" xfId="0" applyFont="1"/>
    <xf borderId="0" fillId="0" fontId="5" numFmtId="0" xfId="0" applyAlignment="1" applyFont="1">
      <alignment shrinkToFit="0" wrapText="1"/>
    </xf>
    <xf borderId="0" fillId="0" fontId="22" numFmtId="0" xfId="0" applyAlignment="1" applyFont="1">
      <alignment shrinkToFit="0" wrapText="1"/>
    </xf>
    <xf borderId="0" fillId="0" fontId="22" numFmtId="0" xfId="0" applyFont="1"/>
    <xf borderId="1" fillId="6" fontId="22" numFmtId="0" xfId="0" applyAlignment="1" applyBorder="1" applyFont="1">
      <alignment shrinkToFit="0" wrapText="1"/>
    </xf>
    <xf borderId="1" fillId="6" fontId="22" numFmtId="0" xfId="0" applyBorder="1" applyFont="1"/>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171450</xdr:colOff>
      <xdr:row>10</xdr:row>
      <xdr:rowOff>247650</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247650</xdr:colOff>
      <xdr:row>19</xdr:row>
      <xdr:rowOff>0</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247650</xdr:colOff>
      <xdr:row>26</xdr:row>
      <xdr:rowOff>295275</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171450</xdr:colOff>
      <xdr:row>32</xdr:row>
      <xdr:rowOff>123825</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ezpR5Cb647UspVHTA"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77.25"/>
    <col customWidth="1" min="4" max="4" width="26.63"/>
    <col customWidth="1" min="5" max="5" width="41.38"/>
    <col customWidth="1" min="6" max="6" width="56.38"/>
  </cols>
  <sheetData>
    <row r="1" ht="15.75" customHeight="1"/>
    <row r="2" ht="15.75" customHeight="1">
      <c r="A2" s="1">
        <f>VALUE(LEFT(C4,FIND(" - ",C4)-1))</f>
        <v>796</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c r="B9" s="10">
        <v>1.0</v>
      </c>
      <c r="C9" s="11" t="s">
        <v>12</v>
      </c>
      <c r="D9" s="12" t="s">
        <v>13</v>
      </c>
      <c r="E9" s="11" t="s">
        <v>14</v>
      </c>
      <c r="F9" s="11" t="s">
        <v>15</v>
      </c>
      <c r="G9" s="12" t="s">
        <v>16</v>
      </c>
      <c r="H9" s="5">
        <v>2.0</v>
      </c>
    </row>
    <row r="10">
      <c r="B10" s="10">
        <v>2.0</v>
      </c>
      <c r="C10" s="11" t="s">
        <v>12</v>
      </c>
      <c r="D10" s="12" t="s">
        <v>13</v>
      </c>
      <c r="E10" s="11" t="s">
        <v>14</v>
      </c>
      <c r="F10" s="13" t="s">
        <v>17</v>
      </c>
      <c r="G10" s="10" t="s">
        <v>16</v>
      </c>
      <c r="H10" s="12">
        <v>2.0</v>
      </c>
    </row>
    <row r="11">
      <c r="B11" s="10">
        <v>3.0</v>
      </c>
      <c r="C11" s="11" t="s">
        <v>12</v>
      </c>
      <c r="D11" s="12" t="s">
        <v>13</v>
      </c>
      <c r="E11" s="11" t="s">
        <v>14</v>
      </c>
      <c r="F11" s="13" t="s">
        <v>18</v>
      </c>
      <c r="G11" s="12" t="s">
        <v>16</v>
      </c>
      <c r="H11" s="12">
        <v>2.0</v>
      </c>
    </row>
    <row r="12">
      <c r="B12" s="10">
        <v>4.0</v>
      </c>
      <c r="C12" s="11" t="s">
        <v>12</v>
      </c>
      <c r="D12" s="12" t="s">
        <v>13</v>
      </c>
      <c r="E12" s="11" t="s">
        <v>14</v>
      </c>
      <c r="F12" s="13" t="s">
        <v>19</v>
      </c>
      <c r="G12" s="10" t="s">
        <v>16</v>
      </c>
      <c r="H12" s="12">
        <v>2.0</v>
      </c>
    </row>
    <row r="13">
      <c r="B13" s="10">
        <v>5.0</v>
      </c>
      <c r="C13" s="11" t="s">
        <v>12</v>
      </c>
      <c r="D13" s="12" t="s">
        <v>13</v>
      </c>
      <c r="E13" s="13" t="s">
        <v>20</v>
      </c>
      <c r="F13" s="13" t="s">
        <v>21</v>
      </c>
      <c r="G13" s="12" t="s">
        <v>16</v>
      </c>
      <c r="H13" s="12">
        <v>3.0</v>
      </c>
    </row>
    <row r="14">
      <c r="B14" s="10">
        <v>6.0</v>
      </c>
      <c r="C14" s="11" t="s">
        <v>12</v>
      </c>
      <c r="D14" s="12" t="s">
        <v>13</v>
      </c>
      <c r="E14" s="13" t="s">
        <v>20</v>
      </c>
      <c r="F14" s="13" t="s">
        <v>22</v>
      </c>
      <c r="G14" s="12" t="s">
        <v>16</v>
      </c>
      <c r="H14" s="12">
        <v>3.0</v>
      </c>
    </row>
    <row r="15">
      <c r="B15" s="10">
        <v>7.0</v>
      </c>
      <c r="C15" s="11" t="s">
        <v>12</v>
      </c>
      <c r="D15" s="12" t="s">
        <v>13</v>
      </c>
      <c r="E15" s="13" t="s">
        <v>20</v>
      </c>
      <c r="F15" s="13" t="s">
        <v>23</v>
      </c>
      <c r="G15" s="10" t="s">
        <v>16</v>
      </c>
      <c r="H15" s="12">
        <v>3.0</v>
      </c>
    </row>
    <row r="16">
      <c r="B16" s="10">
        <v>8.0</v>
      </c>
      <c r="C16" s="11" t="s">
        <v>12</v>
      </c>
      <c r="D16" s="12" t="s">
        <v>13</v>
      </c>
      <c r="E16" s="13" t="s">
        <v>20</v>
      </c>
      <c r="F16" s="13" t="s">
        <v>24</v>
      </c>
      <c r="G16" s="12" t="s">
        <v>16</v>
      </c>
      <c r="H16" s="12">
        <v>3.0</v>
      </c>
    </row>
    <row r="17">
      <c r="B17" s="10">
        <v>9.0</v>
      </c>
      <c r="C17" s="11" t="s">
        <v>12</v>
      </c>
      <c r="D17" s="12" t="s">
        <v>13</v>
      </c>
      <c r="E17" s="13" t="s">
        <v>20</v>
      </c>
      <c r="F17" s="13" t="s">
        <v>25</v>
      </c>
      <c r="G17" s="10" t="s">
        <v>16</v>
      </c>
      <c r="H17" s="12">
        <v>3.0</v>
      </c>
    </row>
    <row r="18">
      <c r="B18" s="10">
        <v>10.0</v>
      </c>
      <c r="C18" s="11" t="s">
        <v>12</v>
      </c>
      <c r="D18" s="12" t="s">
        <v>13</v>
      </c>
      <c r="E18" s="13" t="s">
        <v>26</v>
      </c>
      <c r="F18" s="13" t="s">
        <v>27</v>
      </c>
      <c r="G18" s="12" t="s">
        <v>28</v>
      </c>
      <c r="H18" s="12">
        <v>4.0</v>
      </c>
    </row>
    <row r="19">
      <c r="B19" s="10">
        <v>11.0</v>
      </c>
      <c r="C19" s="11" t="s">
        <v>12</v>
      </c>
      <c r="D19" s="12" t="s">
        <v>13</v>
      </c>
      <c r="E19" s="13" t="s">
        <v>26</v>
      </c>
      <c r="F19" s="13" t="s">
        <v>29</v>
      </c>
      <c r="G19" s="12" t="s">
        <v>28</v>
      </c>
      <c r="H19" s="12">
        <v>4.0</v>
      </c>
    </row>
    <row r="20">
      <c r="B20" s="10">
        <v>12.0</v>
      </c>
      <c r="C20" s="11" t="s">
        <v>12</v>
      </c>
      <c r="D20" s="12" t="s">
        <v>13</v>
      </c>
      <c r="E20" s="13" t="s">
        <v>26</v>
      </c>
      <c r="F20" s="13" t="s">
        <v>30</v>
      </c>
      <c r="G20" s="12" t="s">
        <v>28</v>
      </c>
      <c r="H20" s="12">
        <v>4.0</v>
      </c>
    </row>
    <row r="21">
      <c r="B21" s="10">
        <v>13.0</v>
      </c>
      <c r="C21" s="11" t="s">
        <v>12</v>
      </c>
      <c r="D21" s="12" t="s">
        <v>13</v>
      </c>
      <c r="E21" s="13" t="s">
        <v>26</v>
      </c>
      <c r="F21" s="13" t="s">
        <v>31</v>
      </c>
      <c r="G21" s="12" t="s">
        <v>28</v>
      </c>
      <c r="H21" s="12">
        <v>4.0</v>
      </c>
    </row>
    <row r="22">
      <c r="B22" s="10">
        <v>14.0</v>
      </c>
      <c r="C22" s="11" t="s">
        <v>12</v>
      </c>
      <c r="D22" s="12" t="s">
        <v>13</v>
      </c>
      <c r="E22" s="13" t="s">
        <v>26</v>
      </c>
      <c r="F22" s="13" t="s">
        <v>32</v>
      </c>
      <c r="G22" s="12" t="s">
        <v>28</v>
      </c>
      <c r="H22" s="12">
        <v>4.0</v>
      </c>
    </row>
    <row r="23">
      <c r="B23" s="10">
        <v>15.0</v>
      </c>
      <c r="C23" s="11" t="s">
        <v>33</v>
      </c>
      <c r="D23" s="10" t="s">
        <v>34</v>
      </c>
      <c r="E23" s="13" t="s">
        <v>35</v>
      </c>
      <c r="F23" s="13" t="s">
        <v>36</v>
      </c>
      <c r="G23" s="12" t="s">
        <v>28</v>
      </c>
      <c r="H23" s="12">
        <v>5.0</v>
      </c>
    </row>
    <row r="24">
      <c r="B24" s="10">
        <v>16.0</v>
      </c>
      <c r="C24" s="11" t="s">
        <v>33</v>
      </c>
      <c r="D24" s="10" t="s">
        <v>34</v>
      </c>
      <c r="E24" s="13" t="s">
        <v>35</v>
      </c>
      <c r="F24" s="13" t="s">
        <v>34</v>
      </c>
      <c r="G24" s="12" t="s">
        <v>28</v>
      </c>
      <c r="H24" s="12">
        <v>5.0</v>
      </c>
    </row>
    <row r="25">
      <c r="B25" s="10">
        <v>17.0</v>
      </c>
      <c r="C25" s="11" t="s">
        <v>33</v>
      </c>
      <c r="D25" s="10" t="s">
        <v>34</v>
      </c>
      <c r="E25" s="13" t="s">
        <v>35</v>
      </c>
      <c r="F25" s="13" t="s">
        <v>13</v>
      </c>
      <c r="G25" s="12" t="s">
        <v>28</v>
      </c>
      <c r="H25" s="12">
        <v>5.0</v>
      </c>
    </row>
    <row r="26">
      <c r="B26" s="10">
        <v>18.0</v>
      </c>
      <c r="C26" s="11" t="s">
        <v>33</v>
      </c>
      <c r="D26" s="10" t="s">
        <v>34</v>
      </c>
      <c r="E26" s="13" t="s">
        <v>35</v>
      </c>
      <c r="F26" s="13" t="s">
        <v>37</v>
      </c>
      <c r="G26" s="12" t="s">
        <v>28</v>
      </c>
      <c r="H26" s="12">
        <v>5.0</v>
      </c>
    </row>
    <row r="27">
      <c r="B27" s="10">
        <v>19.0</v>
      </c>
      <c r="C27" s="11" t="s">
        <v>33</v>
      </c>
      <c r="D27" s="10" t="s">
        <v>34</v>
      </c>
      <c r="E27" s="13" t="s">
        <v>35</v>
      </c>
      <c r="F27" s="13" t="s">
        <v>38</v>
      </c>
      <c r="G27" s="12" t="s">
        <v>28</v>
      </c>
      <c r="H27" s="12">
        <v>5.0</v>
      </c>
    </row>
    <row r="28">
      <c r="B28" s="10">
        <v>20.0</v>
      </c>
      <c r="C28" s="11" t="s">
        <v>33</v>
      </c>
      <c r="D28" s="10" t="s">
        <v>34</v>
      </c>
      <c r="E28" s="13" t="s">
        <v>35</v>
      </c>
      <c r="F28" s="13" t="s">
        <v>39</v>
      </c>
      <c r="G28" s="12" t="s">
        <v>28</v>
      </c>
      <c r="H28" s="12">
        <v>5.0</v>
      </c>
    </row>
    <row r="29">
      <c r="B29" s="10">
        <v>21.0</v>
      </c>
      <c r="C29" s="11" t="s">
        <v>12</v>
      </c>
      <c r="D29" s="10" t="s">
        <v>34</v>
      </c>
      <c r="E29" s="13" t="s">
        <v>40</v>
      </c>
      <c r="F29" s="13" t="s">
        <v>41</v>
      </c>
      <c r="G29" s="12" t="s">
        <v>28</v>
      </c>
      <c r="H29" s="12">
        <v>6.0</v>
      </c>
    </row>
    <row r="30">
      <c r="B30" s="10">
        <v>22.0</v>
      </c>
      <c r="C30" s="11" t="s">
        <v>12</v>
      </c>
      <c r="D30" s="10" t="s">
        <v>34</v>
      </c>
      <c r="E30" s="13" t="s">
        <v>40</v>
      </c>
      <c r="F30" s="13" t="s">
        <v>42</v>
      </c>
      <c r="G30" s="12" t="s">
        <v>28</v>
      </c>
      <c r="H30" s="12">
        <v>6.0</v>
      </c>
    </row>
    <row r="31">
      <c r="B31" s="10">
        <v>23.0</v>
      </c>
      <c r="C31" s="11" t="s">
        <v>12</v>
      </c>
      <c r="D31" s="10" t="s">
        <v>34</v>
      </c>
      <c r="E31" s="13" t="s">
        <v>40</v>
      </c>
      <c r="F31" s="13" t="s">
        <v>43</v>
      </c>
      <c r="G31" s="12" t="s">
        <v>28</v>
      </c>
      <c r="H31" s="12">
        <v>6.0</v>
      </c>
    </row>
    <row r="32">
      <c r="B32" s="10">
        <v>24.0</v>
      </c>
      <c r="C32" s="11" t="s">
        <v>12</v>
      </c>
      <c r="D32" s="10" t="s">
        <v>34</v>
      </c>
      <c r="E32" s="13" t="s">
        <v>40</v>
      </c>
      <c r="F32" s="13" t="s">
        <v>44</v>
      </c>
      <c r="G32" s="12" t="s">
        <v>28</v>
      </c>
      <c r="H32" s="12">
        <v>6.0</v>
      </c>
    </row>
    <row r="33">
      <c r="B33" s="10">
        <v>25.0</v>
      </c>
      <c r="C33" s="11" t="s">
        <v>12</v>
      </c>
      <c r="D33" s="10" t="s">
        <v>34</v>
      </c>
      <c r="E33" s="13" t="s">
        <v>40</v>
      </c>
      <c r="F33" s="13" t="s">
        <v>45</v>
      </c>
      <c r="G33" s="12" t="s">
        <v>28</v>
      </c>
      <c r="H33" s="12">
        <v>6.0</v>
      </c>
    </row>
    <row r="34">
      <c r="B34" s="10">
        <v>26.0</v>
      </c>
      <c r="C34" s="11" t="s">
        <v>12</v>
      </c>
      <c r="D34" s="10" t="s">
        <v>34</v>
      </c>
      <c r="E34" s="13" t="s">
        <v>40</v>
      </c>
      <c r="F34" s="13" t="s">
        <v>46</v>
      </c>
      <c r="G34" s="12" t="s">
        <v>28</v>
      </c>
      <c r="H34" s="12">
        <v>6.0</v>
      </c>
    </row>
    <row r="35">
      <c r="B35" s="10">
        <v>27.0</v>
      </c>
      <c r="C35" s="11" t="s">
        <v>12</v>
      </c>
      <c r="D35" s="10" t="s">
        <v>34</v>
      </c>
      <c r="E35" s="13" t="s">
        <v>40</v>
      </c>
      <c r="F35" s="13" t="s">
        <v>47</v>
      </c>
      <c r="G35" s="12" t="s">
        <v>28</v>
      </c>
      <c r="H35" s="12">
        <v>6.0</v>
      </c>
    </row>
    <row r="36">
      <c r="B36" s="10">
        <v>28.0</v>
      </c>
      <c r="C36" s="11" t="s">
        <v>48</v>
      </c>
      <c r="D36" s="10" t="s">
        <v>49</v>
      </c>
      <c r="E36" s="13" t="s">
        <v>50</v>
      </c>
      <c r="F36" s="13" t="s">
        <v>51</v>
      </c>
      <c r="G36" s="12" t="s">
        <v>28</v>
      </c>
      <c r="H36" s="12">
        <v>7.0</v>
      </c>
    </row>
    <row r="37">
      <c r="B37" s="10">
        <v>29.0</v>
      </c>
      <c r="C37" s="11" t="s">
        <v>48</v>
      </c>
      <c r="D37" s="10" t="s">
        <v>49</v>
      </c>
      <c r="E37" s="13" t="s">
        <v>50</v>
      </c>
      <c r="F37" s="13" t="s">
        <v>52</v>
      </c>
      <c r="G37" s="12" t="s">
        <v>28</v>
      </c>
      <c r="H37" s="12">
        <v>7.0</v>
      </c>
    </row>
    <row r="38">
      <c r="B38" s="10">
        <v>30.0</v>
      </c>
      <c r="C38" s="11" t="s">
        <v>48</v>
      </c>
      <c r="D38" s="10" t="s">
        <v>49</v>
      </c>
      <c r="E38" s="13" t="s">
        <v>50</v>
      </c>
      <c r="F38" s="13" t="s">
        <v>53</v>
      </c>
      <c r="G38" s="12" t="s">
        <v>28</v>
      </c>
      <c r="H38" s="12">
        <v>7.0</v>
      </c>
    </row>
    <row r="39">
      <c r="B39" s="10">
        <v>31.0</v>
      </c>
      <c r="C39" s="11" t="s">
        <v>48</v>
      </c>
      <c r="D39" s="10" t="s">
        <v>49</v>
      </c>
      <c r="E39" s="13" t="s">
        <v>50</v>
      </c>
      <c r="F39" s="13" t="s">
        <v>54</v>
      </c>
      <c r="G39" s="12" t="s">
        <v>28</v>
      </c>
      <c r="H39" s="12">
        <v>7.0</v>
      </c>
    </row>
    <row r="40">
      <c r="B40" s="10">
        <v>32.0</v>
      </c>
      <c r="C40" s="11" t="s">
        <v>48</v>
      </c>
      <c r="D40" s="10" t="s">
        <v>49</v>
      </c>
      <c r="E40" s="13" t="s">
        <v>50</v>
      </c>
      <c r="F40" s="13" t="s">
        <v>55</v>
      </c>
      <c r="G40" s="12" t="s">
        <v>28</v>
      </c>
      <c r="H40" s="12">
        <v>7.0</v>
      </c>
    </row>
    <row r="41">
      <c r="B41" s="10">
        <v>33.0</v>
      </c>
      <c r="C41" s="11" t="s">
        <v>48</v>
      </c>
      <c r="D41" s="10" t="s">
        <v>49</v>
      </c>
      <c r="E41" s="13" t="s">
        <v>56</v>
      </c>
      <c r="F41" s="13" t="s">
        <v>57</v>
      </c>
      <c r="G41" s="12" t="s">
        <v>28</v>
      </c>
      <c r="H41" s="12">
        <v>7.0</v>
      </c>
    </row>
    <row r="42">
      <c r="B42" s="10">
        <v>34.0</v>
      </c>
      <c r="C42" s="11" t="s">
        <v>48</v>
      </c>
      <c r="D42" s="10" t="s">
        <v>49</v>
      </c>
      <c r="E42" s="13" t="s">
        <v>56</v>
      </c>
      <c r="F42" s="13" t="s">
        <v>58</v>
      </c>
      <c r="G42" s="12" t="s">
        <v>28</v>
      </c>
      <c r="H42" s="12">
        <v>7.0</v>
      </c>
    </row>
    <row r="43">
      <c r="B43" s="10">
        <v>35.0</v>
      </c>
      <c r="C43" s="11" t="s">
        <v>48</v>
      </c>
      <c r="D43" s="10" t="s">
        <v>49</v>
      </c>
      <c r="E43" s="13" t="s">
        <v>56</v>
      </c>
      <c r="F43" s="13" t="s">
        <v>59</v>
      </c>
      <c r="G43" s="12" t="s">
        <v>28</v>
      </c>
      <c r="H43" s="12">
        <v>7.0</v>
      </c>
    </row>
    <row r="44">
      <c r="B44" s="10">
        <v>36.0</v>
      </c>
      <c r="C44" s="11" t="s">
        <v>48</v>
      </c>
      <c r="D44" s="10" t="s">
        <v>49</v>
      </c>
      <c r="E44" s="13" t="s">
        <v>56</v>
      </c>
      <c r="F44" s="13" t="s">
        <v>60</v>
      </c>
      <c r="G44" s="12" t="s">
        <v>28</v>
      </c>
      <c r="H44" s="12">
        <v>7.0</v>
      </c>
    </row>
    <row r="45">
      <c r="B45" s="10">
        <v>37.0</v>
      </c>
      <c r="C45" s="11" t="s">
        <v>48</v>
      </c>
      <c r="D45" s="10" t="s">
        <v>49</v>
      </c>
      <c r="E45" s="13" t="s">
        <v>56</v>
      </c>
      <c r="F45" s="13" t="s">
        <v>61</v>
      </c>
      <c r="G45" s="12" t="s">
        <v>28</v>
      </c>
      <c r="H45" s="12">
        <v>7.0</v>
      </c>
    </row>
    <row r="46">
      <c r="B46" s="10">
        <v>38.0</v>
      </c>
      <c r="C46" s="11" t="s">
        <v>48</v>
      </c>
      <c r="D46" s="10" t="s">
        <v>49</v>
      </c>
      <c r="E46" s="13" t="s">
        <v>56</v>
      </c>
      <c r="F46" s="13" t="s">
        <v>62</v>
      </c>
      <c r="G46" s="12" t="s">
        <v>28</v>
      </c>
      <c r="H46" s="12">
        <v>7.0</v>
      </c>
    </row>
    <row r="47">
      <c r="B47" s="10">
        <v>39.0</v>
      </c>
      <c r="C47" s="11" t="s">
        <v>48</v>
      </c>
      <c r="D47" s="10" t="s">
        <v>49</v>
      </c>
      <c r="E47" s="13" t="s">
        <v>56</v>
      </c>
      <c r="F47" s="13" t="s">
        <v>63</v>
      </c>
      <c r="G47" s="12" t="s">
        <v>28</v>
      </c>
      <c r="H47" s="12">
        <v>7.0</v>
      </c>
    </row>
    <row r="48">
      <c r="B48" s="10">
        <v>40.0</v>
      </c>
      <c r="C48" s="11" t="s">
        <v>48</v>
      </c>
      <c r="D48" s="10" t="s">
        <v>49</v>
      </c>
      <c r="E48" s="13" t="s">
        <v>56</v>
      </c>
      <c r="F48" s="13" t="s">
        <v>64</v>
      </c>
      <c r="G48" s="12" t="s">
        <v>28</v>
      </c>
      <c r="H48" s="12">
        <v>7.0</v>
      </c>
    </row>
    <row r="49">
      <c r="B49" s="10">
        <v>41.0</v>
      </c>
      <c r="C49" s="11" t="s">
        <v>48</v>
      </c>
      <c r="D49" s="10" t="s">
        <v>49</v>
      </c>
      <c r="E49" s="13" t="s">
        <v>65</v>
      </c>
      <c r="F49" s="13" t="s">
        <v>66</v>
      </c>
      <c r="G49" s="10" t="s">
        <v>67</v>
      </c>
      <c r="H49" s="12">
        <v>8.0</v>
      </c>
    </row>
    <row r="50">
      <c r="B50" s="10">
        <v>42.0</v>
      </c>
      <c r="C50" s="11" t="s">
        <v>48</v>
      </c>
      <c r="D50" s="10" t="s">
        <v>49</v>
      </c>
      <c r="E50" s="13" t="s">
        <v>65</v>
      </c>
      <c r="F50" s="13" t="s">
        <v>68</v>
      </c>
      <c r="G50" s="10" t="s">
        <v>67</v>
      </c>
      <c r="H50" s="12">
        <v>8.0</v>
      </c>
    </row>
    <row r="51">
      <c r="B51" s="10">
        <v>43.0</v>
      </c>
      <c r="C51" s="11" t="s">
        <v>48</v>
      </c>
      <c r="D51" s="10" t="s">
        <v>49</v>
      </c>
      <c r="E51" s="13" t="s">
        <v>65</v>
      </c>
      <c r="F51" s="13" t="s">
        <v>69</v>
      </c>
      <c r="G51" s="10" t="s">
        <v>67</v>
      </c>
      <c r="H51" s="12">
        <v>8.0</v>
      </c>
    </row>
    <row r="52">
      <c r="B52" s="10">
        <v>44.0</v>
      </c>
      <c r="C52" s="11" t="s">
        <v>48</v>
      </c>
      <c r="D52" s="10" t="s">
        <v>49</v>
      </c>
      <c r="E52" s="13" t="s">
        <v>65</v>
      </c>
      <c r="F52" s="13" t="s">
        <v>70</v>
      </c>
      <c r="G52" s="10" t="s">
        <v>67</v>
      </c>
      <c r="H52" s="12">
        <v>8.0</v>
      </c>
    </row>
    <row r="53">
      <c r="B53" s="10">
        <v>45.0</v>
      </c>
      <c r="C53" s="11" t="s">
        <v>48</v>
      </c>
      <c r="D53" s="10" t="s">
        <v>49</v>
      </c>
      <c r="E53" s="13" t="s">
        <v>65</v>
      </c>
      <c r="F53" s="13" t="s">
        <v>71</v>
      </c>
      <c r="G53" s="10" t="s">
        <v>67</v>
      </c>
      <c r="H53" s="12">
        <v>8.0</v>
      </c>
    </row>
    <row r="54">
      <c r="B54" s="10">
        <v>46.0</v>
      </c>
      <c r="C54" s="11" t="s">
        <v>48</v>
      </c>
      <c r="D54" s="10" t="s">
        <v>49</v>
      </c>
      <c r="E54" s="13" t="s">
        <v>65</v>
      </c>
      <c r="F54" s="13" t="s">
        <v>72</v>
      </c>
      <c r="G54" s="10" t="s">
        <v>67</v>
      </c>
      <c r="H54" s="12">
        <v>8.0</v>
      </c>
    </row>
    <row r="55">
      <c r="B55" s="10">
        <v>47.0</v>
      </c>
      <c r="C55" s="11" t="s">
        <v>48</v>
      </c>
      <c r="D55" s="10" t="s">
        <v>49</v>
      </c>
      <c r="E55" s="13" t="s">
        <v>73</v>
      </c>
      <c r="F55" s="13" t="s">
        <v>74</v>
      </c>
      <c r="G55" s="10" t="s">
        <v>67</v>
      </c>
      <c r="H55" s="12">
        <v>9.0</v>
      </c>
    </row>
    <row r="56">
      <c r="B56" s="10">
        <v>48.0</v>
      </c>
      <c r="C56" s="11" t="s">
        <v>48</v>
      </c>
      <c r="D56" s="10" t="s">
        <v>49</v>
      </c>
      <c r="E56" s="13" t="s">
        <v>73</v>
      </c>
      <c r="F56" s="13" t="s">
        <v>75</v>
      </c>
      <c r="G56" s="10" t="s">
        <v>67</v>
      </c>
      <c r="H56" s="12">
        <v>9.0</v>
      </c>
    </row>
    <row r="57">
      <c r="B57" s="10">
        <v>49.0</v>
      </c>
      <c r="C57" s="11" t="s">
        <v>48</v>
      </c>
      <c r="D57" s="10" t="s">
        <v>49</v>
      </c>
      <c r="E57" s="13" t="s">
        <v>73</v>
      </c>
      <c r="F57" s="13" t="s">
        <v>76</v>
      </c>
      <c r="G57" s="10" t="s">
        <v>67</v>
      </c>
      <c r="H57" s="12">
        <v>9.0</v>
      </c>
    </row>
    <row r="58">
      <c r="B58" s="10">
        <v>50.0</v>
      </c>
      <c r="C58" s="11" t="s">
        <v>48</v>
      </c>
      <c r="D58" s="10" t="s">
        <v>49</v>
      </c>
      <c r="E58" s="13" t="s">
        <v>77</v>
      </c>
      <c r="F58" s="13" t="s">
        <v>78</v>
      </c>
      <c r="G58" s="10" t="s">
        <v>79</v>
      </c>
      <c r="H58" s="12">
        <v>10.0</v>
      </c>
    </row>
    <row r="59">
      <c r="B59" s="10">
        <v>51.0</v>
      </c>
      <c r="C59" s="11" t="s">
        <v>48</v>
      </c>
      <c r="D59" s="10" t="s">
        <v>49</v>
      </c>
      <c r="E59" s="13" t="s">
        <v>77</v>
      </c>
      <c r="F59" s="13" t="s">
        <v>80</v>
      </c>
      <c r="G59" s="10" t="s">
        <v>79</v>
      </c>
      <c r="H59" s="12">
        <v>10.0</v>
      </c>
    </row>
    <row r="60">
      <c r="B60" s="10">
        <v>52.0</v>
      </c>
      <c r="C60" s="11" t="s">
        <v>48</v>
      </c>
      <c r="D60" s="10" t="s">
        <v>49</v>
      </c>
      <c r="E60" s="13" t="s">
        <v>77</v>
      </c>
      <c r="F60" s="13" t="s">
        <v>81</v>
      </c>
      <c r="G60" s="10" t="s">
        <v>79</v>
      </c>
      <c r="H60" s="12">
        <v>10.0</v>
      </c>
    </row>
    <row r="61">
      <c r="B61" s="10">
        <v>53.0</v>
      </c>
      <c r="C61" s="11" t="s">
        <v>48</v>
      </c>
      <c r="D61" s="10" t="s">
        <v>49</v>
      </c>
      <c r="E61" s="13" t="s">
        <v>77</v>
      </c>
      <c r="F61" s="13" t="s">
        <v>82</v>
      </c>
      <c r="G61" s="10" t="s">
        <v>79</v>
      </c>
      <c r="H61" s="12">
        <v>10.0</v>
      </c>
    </row>
    <row r="62">
      <c r="B62" s="10">
        <v>54.0</v>
      </c>
      <c r="C62" s="11" t="s">
        <v>83</v>
      </c>
      <c r="D62" s="10" t="s">
        <v>84</v>
      </c>
      <c r="E62" s="13" t="s">
        <v>85</v>
      </c>
      <c r="F62" s="13" t="s">
        <v>86</v>
      </c>
      <c r="G62" s="10" t="s">
        <v>79</v>
      </c>
      <c r="H62" s="12">
        <v>10.0</v>
      </c>
    </row>
    <row r="63">
      <c r="B63" s="10">
        <v>55.0</v>
      </c>
      <c r="C63" s="11" t="s">
        <v>83</v>
      </c>
      <c r="D63" s="10" t="s">
        <v>84</v>
      </c>
      <c r="E63" s="13" t="s">
        <v>85</v>
      </c>
      <c r="F63" s="13" t="s">
        <v>87</v>
      </c>
      <c r="G63" s="10" t="s">
        <v>79</v>
      </c>
      <c r="H63" s="12">
        <v>10.0</v>
      </c>
    </row>
    <row r="64">
      <c r="B64" s="10">
        <v>56.0</v>
      </c>
      <c r="C64" s="11" t="s">
        <v>83</v>
      </c>
      <c r="D64" s="10" t="s">
        <v>84</v>
      </c>
      <c r="E64" s="13" t="s">
        <v>85</v>
      </c>
      <c r="F64" s="13" t="s">
        <v>88</v>
      </c>
      <c r="G64" s="10" t="s">
        <v>79</v>
      </c>
      <c r="H64" s="12">
        <v>10.0</v>
      </c>
    </row>
    <row r="65">
      <c r="B65" s="10">
        <v>57.0</v>
      </c>
      <c r="C65" s="11" t="s">
        <v>83</v>
      </c>
      <c r="D65" s="10" t="s">
        <v>84</v>
      </c>
      <c r="E65" s="13" t="s">
        <v>85</v>
      </c>
      <c r="F65" s="13" t="s">
        <v>89</v>
      </c>
      <c r="G65" s="10" t="s">
        <v>79</v>
      </c>
      <c r="H65" s="12">
        <v>10.0</v>
      </c>
    </row>
    <row r="66">
      <c r="B66" s="10">
        <v>58.0</v>
      </c>
      <c r="C66" s="11" t="s">
        <v>83</v>
      </c>
      <c r="D66" s="10" t="s">
        <v>84</v>
      </c>
      <c r="E66" s="13" t="s">
        <v>85</v>
      </c>
      <c r="F66" s="13" t="s">
        <v>90</v>
      </c>
      <c r="G66" s="10" t="s">
        <v>79</v>
      </c>
      <c r="H66" s="12">
        <v>10.0</v>
      </c>
    </row>
    <row r="67">
      <c r="B67" s="10">
        <v>59.0</v>
      </c>
      <c r="C67" s="11" t="s">
        <v>83</v>
      </c>
      <c r="D67" s="10" t="s">
        <v>84</v>
      </c>
      <c r="E67" s="13" t="s">
        <v>85</v>
      </c>
      <c r="F67" s="13" t="s">
        <v>91</v>
      </c>
      <c r="G67" s="10" t="s">
        <v>79</v>
      </c>
      <c r="H67" s="12">
        <v>10.0</v>
      </c>
    </row>
    <row r="68">
      <c r="B68" s="10">
        <v>60.0</v>
      </c>
      <c r="C68" s="11" t="s">
        <v>92</v>
      </c>
      <c r="D68" s="10" t="s">
        <v>84</v>
      </c>
      <c r="E68" s="13" t="s">
        <v>93</v>
      </c>
      <c r="F68" s="13" t="s">
        <v>94</v>
      </c>
      <c r="G68" s="10" t="s">
        <v>79</v>
      </c>
      <c r="H68" s="12">
        <v>10.0</v>
      </c>
    </row>
    <row r="69">
      <c r="B69" s="10">
        <v>61.0</v>
      </c>
      <c r="C69" s="11" t="s">
        <v>92</v>
      </c>
      <c r="D69" s="10" t="s">
        <v>84</v>
      </c>
      <c r="E69" s="13" t="s">
        <v>93</v>
      </c>
      <c r="F69" s="13" t="s">
        <v>95</v>
      </c>
      <c r="G69" s="10" t="s">
        <v>79</v>
      </c>
      <c r="H69" s="12">
        <v>10.0</v>
      </c>
    </row>
    <row r="70">
      <c r="B70" s="10">
        <v>62.0</v>
      </c>
      <c r="C70" s="11" t="s">
        <v>92</v>
      </c>
      <c r="D70" s="10" t="s">
        <v>84</v>
      </c>
      <c r="E70" s="13" t="s">
        <v>93</v>
      </c>
      <c r="F70" s="13" t="s">
        <v>96</v>
      </c>
      <c r="G70" s="10" t="s">
        <v>79</v>
      </c>
      <c r="H70" s="12">
        <v>10.0</v>
      </c>
    </row>
    <row r="71">
      <c r="B71" s="10">
        <v>63.0</v>
      </c>
      <c r="C71" s="11" t="s">
        <v>92</v>
      </c>
      <c r="D71" s="10" t="s">
        <v>84</v>
      </c>
      <c r="E71" s="13" t="s">
        <v>93</v>
      </c>
      <c r="F71" s="13" t="s">
        <v>97</v>
      </c>
      <c r="G71" s="10" t="s">
        <v>79</v>
      </c>
      <c r="H71" s="12">
        <v>10.0</v>
      </c>
    </row>
    <row r="72">
      <c r="B72" s="10">
        <v>64.0</v>
      </c>
      <c r="C72" s="11" t="s">
        <v>92</v>
      </c>
      <c r="D72" s="10" t="s">
        <v>84</v>
      </c>
      <c r="E72" s="13" t="s">
        <v>93</v>
      </c>
      <c r="F72" s="13" t="s">
        <v>98</v>
      </c>
      <c r="G72" s="10" t="s">
        <v>79</v>
      </c>
      <c r="H72" s="12">
        <v>10.0</v>
      </c>
    </row>
    <row r="73">
      <c r="B73" s="10">
        <v>65.0</v>
      </c>
      <c r="C73" s="11" t="s">
        <v>92</v>
      </c>
      <c r="D73" s="10" t="s">
        <v>84</v>
      </c>
      <c r="E73" s="13" t="s">
        <v>93</v>
      </c>
      <c r="F73" s="13" t="s">
        <v>99</v>
      </c>
      <c r="G73" s="10" t="s">
        <v>79</v>
      </c>
      <c r="H73" s="12">
        <v>10.0</v>
      </c>
    </row>
    <row r="74">
      <c r="B74" s="10">
        <v>66.0</v>
      </c>
      <c r="C74" s="11" t="s">
        <v>92</v>
      </c>
      <c r="D74" s="10" t="s">
        <v>84</v>
      </c>
      <c r="E74" s="13" t="s">
        <v>100</v>
      </c>
      <c r="F74" s="13" t="s">
        <v>101</v>
      </c>
      <c r="G74" s="10" t="s">
        <v>79</v>
      </c>
      <c r="H74" s="12">
        <v>11.0</v>
      </c>
    </row>
    <row r="75">
      <c r="B75" s="10">
        <v>67.0</v>
      </c>
      <c r="C75" s="11" t="s">
        <v>92</v>
      </c>
      <c r="D75" s="10" t="s">
        <v>84</v>
      </c>
      <c r="E75" s="13" t="s">
        <v>100</v>
      </c>
      <c r="F75" s="13" t="s">
        <v>102</v>
      </c>
      <c r="G75" s="10" t="s">
        <v>79</v>
      </c>
      <c r="H75" s="12">
        <v>11.0</v>
      </c>
    </row>
    <row r="76">
      <c r="B76" s="10">
        <v>68.0</v>
      </c>
      <c r="C76" s="11" t="s">
        <v>92</v>
      </c>
      <c r="D76" s="10" t="s">
        <v>84</v>
      </c>
      <c r="E76" s="13" t="s">
        <v>100</v>
      </c>
      <c r="F76" s="13" t="s">
        <v>103</v>
      </c>
      <c r="G76" s="10" t="s">
        <v>79</v>
      </c>
      <c r="H76" s="12">
        <v>11.0</v>
      </c>
    </row>
    <row r="77">
      <c r="B77" s="10">
        <v>69.0</v>
      </c>
      <c r="C77" s="11" t="s">
        <v>92</v>
      </c>
      <c r="D77" s="10" t="s">
        <v>84</v>
      </c>
      <c r="E77" s="13" t="s">
        <v>100</v>
      </c>
      <c r="F77" s="13" t="s">
        <v>104</v>
      </c>
      <c r="G77" s="10" t="s">
        <v>79</v>
      </c>
      <c r="H77" s="12">
        <v>11.0</v>
      </c>
    </row>
    <row r="78">
      <c r="B78" s="10">
        <v>70.0</v>
      </c>
      <c r="C78" s="11" t="s">
        <v>92</v>
      </c>
      <c r="D78" s="10" t="s">
        <v>84</v>
      </c>
      <c r="E78" s="13" t="s">
        <v>100</v>
      </c>
      <c r="F78" s="13" t="s">
        <v>105</v>
      </c>
      <c r="G78" s="10" t="s">
        <v>79</v>
      </c>
      <c r="H78" s="12">
        <v>11.0</v>
      </c>
    </row>
    <row r="79">
      <c r="B79" s="10">
        <v>71.0</v>
      </c>
      <c r="C79" s="11" t="s">
        <v>92</v>
      </c>
      <c r="D79" s="10" t="s">
        <v>84</v>
      </c>
      <c r="E79" s="13" t="s">
        <v>100</v>
      </c>
      <c r="F79" s="13" t="s">
        <v>106</v>
      </c>
      <c r="G79" s="10" t="s">
        <v>79</v>
      </c>
      <c r="H79" s="12">
        <v>11.0</v>
      </c>
    </row>
    <row r="80">
      <c r="B80" s="10">
        <v>72.0</v>
      </c>
      <c r="C80" s="11" t="s">
        <v>92</v>
      </c>
      <c r="D80" s="10" t="s">
        <v>84</v>
      </c>
      <c r="E80" s="13" t="s">
        <v>100</v>
      </c>
      <c r="F80" s="13" t="s">
        <v>107</v>
      </c>
      <c r="G80" s="10" t="s">
        <v>79</v>
      </c>
      <c r="H80" s="12">
        <v>11.0</v>
      </c>
    </row>
    <row r="81">
      <c r="B81" s="10">
        <v>73.0</v>
      </c>
      <c r="C81" s="11" t="s">
        <v>92</v>
      </c>
      <c r="D81" s="10" t="s">
        <v>84</v>
      </c>
      <c r="E81" s="13" t="s">
        <v>100</v>
      </c>
      <c r="F81" s="13" t="s">
        <v>108</v>
      </c>
      <c r="G81" s="10" t="s">
        <v>79</v>
      </c>
      <c r="H81" s="12">
        <v>11.0</v>
      </c>
    </row>
    <row r="82">
      <c r="B82" s="10">
        <v>74.0</v>
      </c>
      <c r="C82" s="11" t="s">
        <v>83</v>
      </c>
      <c r="D82" s="10" t="s">
        <v>84</v>
      </c>
      <c r="E82" s="13" t="s">
        <v>109</v>
      </c>
      <c r="F82" s="13" t="s">
        <v>110</v>
      </c>
      <c r="G82" s="10" t="s">
        <v>79</v>
      </c>
      <c r="H82" s="12">
        <v>11.0</v>
      </c>
    </row>
    <row r="83">
      <c r="B83" s="10">
        <v>75.0</v>
      </c>
      <c r="C83" s="11" t="s">
        <v>83</v>
      </c>
      <c r="D83" s="10" t="s">
        <v>84</v>
      </c>
      <c r="E83" s="13" t="s">
        <v>109</v>
      </c>
      <c r="F83" s="13" t="s">
        <v>111</v>
      </c>
      <c r="G83" s="10" t="s">
        <v>79</v>
      </c>
      <c r="H83" s="12">
        <v>11.0</v>
      </c>
    </row>
    <row r="84">
      <c r="B84" s="10">
        <v>76.0</v>
      </c>
      <c r="C84" s="11" t="s">
        <v>83</v>
      </c>
      <c r="D84" s="10" t="s">
        <v>84</v>
      </c>
      <c r="E84" s="13" t="s">
        <v>109</v>
      </c>
      <c r="F84" s="13" t="s">
        <v>112</v>
      </c>
      <c r="G84" s="10" t="s">
        <v>79</v>
      </c>
      <c r="H84" s="12">
        <v>11.0</v>
      </c>
    </row>
    <row r="85">
      <c r="B85" s="10">
        <v>77.0</v>
      </c>
      <c r="C85" s="11" t="s">
        <v>83</v>
      </c>
      <c r="D85" s="10" t="s">
        <v>84</v>
      </c>
      <c r="E85" s="13" t="s">
        <v>109</v>
      </c>
      <c r="F85" s="13" t="s">
        <v>113</v>
      </c>
      <c r="G85" s="10" t="s">
        <v>79</v>
      </c>
      <c r="H85" s="12">
        <v>11.0</v>
      </c>
    </row>
    <row r="86">
      <c r="B86" s="10">
        <v>78.0</v>
      </c>
      <c r="C86" s="11" t="s">
        <v>83</v>
      </c>
      <c r="D86" s="10" t="s">
        <v>84</v>
      </c>
      <c r="E86" s="13" t="s">
        <v>109</v>
      </c>
      <c r="F86" s="13" t="s">
        <v>114</v>
      </c>
      <c r="G86" s="10" t="s">
        <v>79</v>
      </c>
      <c r="H86" s="12">
        <v>11.0</v>
      </c>
    </row>
    <row r="87">
      <c r="B87" s="10">
        <v>79.0</v>
      </c>
      <c r="C87" s="11" t="s">
        <v>83</v>
      </c>
      <c r="D87" s="10" t="s">
        <v>84</v>
      </c>
      <c r="E87" s="13" t="s">
        <v>109</v>
      </c>
      <c r="F87" s="13" t="s">
        <v>115</v>
      </c>
      <c r="G87" s="10" t="s">
        <v>79</v>
      </c>
      <c r="H87" s="12">
        <v>11.0</v>
      </c>
    </row>
    <row r="88">
      <c r="B88" s="10">
        <v>80.0</v>
      </c>
      <c r="C88" s="11" t="s">
        <v>83</v>
      </c>
      <c r="D88" s="10" t="s">
        <v>84</v>
      </c>
      <c r="E88" s="13" t="s">
        <v>109</v>
      </c>
      <c r="F88" s="13" t="s">
        <v>116</v>
      </c>
      <c r="G88" s="10" t="s">
        <v>79</v>
      </c>
      <c r="H88" s="12">
        <v>11.0</v>
      </c>
    </row>
    <row r="89">
      <c r="B89" s="10">
        <v>81.0</v>
      </c>
      <c r="C89" s="11" t="s">
        <v>83</v>
      </c>
      <c r="D89" s="10" t="s">
        <v>84</v>
      </c>
      <c r="E89" s="13" t="s">
        <v>109</v>
      </c>
      <c r="F89" s="13" t="s">
        <v>117</v>
      </c>
      <c r="G89" s="10" t="s">
        <v>79</v>
      </c>
      <c r="H89" s="12">
        <v>11.0</v>
      </c>
    </row>
    <row r="90" ht="15.75" customHeight="1">
      <c r="C90" s="14"/>
      <c r="H90" s="5"/>
    </row>
    <row r="91" ht="15.75" customHeight="1">
      <c r="C91" s="14"/>
      <c r="H91" s="5"/>
    </row>
    <row r="92" ht="15.75" customHeight="1">
      <c r="C92" s="14"/>
      <c r="H92" s="5"/>
    </row>
    <row r="93" ht="15.75" customHeight="1">
      <c r="C93" s="14"/>
      <c r="H93" s="5"/>
    </row>
    <row r="94" ht="15.75" customHeight="1">
      <c r="C94" s="14"/>
      <c r="H94" s="5"/>
    </row>
    <row r="95" ht="15.75" customHeight="1">
      <c r="C95" s="14"/>
      <c r="H95" s="5"/>
    </row>
    <row r="96" ht="15.75" customHeight="1">
      <c r="C96" s="14"/>
      <c r="H96" s="5"/>
    </row>
    <row r="97" ht="15.75" customHeight="1">
      <c r="C97" s="14"/>
      <c r="H97" s="5"/>
    </row>
    <row r="98" ht="15.75" customHeight="1">
      <c r="C98" s="14"/>
      <c r="H98" s="5"/>
    </row>
    <row r="99" ht="15.75" customHeight="1">
      <c r="C99" s="14"/>
      <c r="H99" s="5"/>
    </row>
    <row r="100" ht="15.75" customHeight="1">
      <c r="C100" s="14"/>
      <c r="H100" s="5"/>
    </row>
    <row r="101" ht="15.75" customHeight="1">
      <c r="C101" s="14"/>
      <c r="H101" s="5"/>
    </row>
    <row r="102" ht="15.75" customHeight="1">
      <c r="C102" s="14"/>
      <c r="H102" s="5"/>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7" max="7" width="14.88"/>
    <col customWidth="1" min="8" max="8" width="43.5"/>
  </cols>
  <sheetData>
    <row r="1" ht="15.75" customHeight="1"/>
    <row r="2" ht="15.75" customHeight="1">
      <c r="B2" s="2" t="s">
        <v>0</v>
      </c>
    </row>
    <row r="3" ht="15.75" customHeight="1"/>
    <row r="4" ht="15.75" customHeight="1">
      <c r="B4" s="15" t="s">
        <v>1</v>
      </c>
      <c r="C4" s="16" t="str">
        <f>'Diseño'!C4</f>
        <v>796 - Lenguajes Formales y de Programación</v>
      </c>
      <c r="D4" s="17"/>
      <c r="E4" s="17"/>
      <c r="F4" s="17"/>
      <c r="G4" s="18"/>
    </row>
    <row r="5" ht="15.75" customHeight="1">
      <c r="B5" s="19" t="s">
        <v>11</v>
      </c>
      <c r="C5" s="16">
        <v>1.0</v>
      </c>
      <c r="D5" s="17"/>
      <c r="E5" s="17"/>
      <c r="F5" s="17"/>
      <c r="G5" s="18"/>
    </row>
    <row r="6" ht="15.75" customHeight="1">
      <c r="B6" s="19" t="s">
        <v>118</v>
      </c>
      <c r="C6" s="20">
        <v>100.0</v>
      </c>
      <c r="D6" s="17"/>
      <c r="E6" s="17"/>
      <c r="F6" s="17"/>
      <c r="G6" s="18"/>
    </row>
    <row r="7" ht="15.75" customHeight="1"/>
    <row r="8" ht="15.75" customHeight="1"/>
    <row r="9" ht="15.75" customHeight="1">
      <c r="A9" s="21" t="s">
        <v>119</v>
      </c>
      <c r="G9" s="22" t="s">
        <v>120</v>
      </c>
      <c r="H9" s="23">
        <v>10.0</v>
      </c>
    </row>
    <row r="10" ht="15.75" customHeight="1">
      <c r="G10" s="24" t="s">
        <v>121</v>
      </c>
    </row>
    <row r="11" ht="30.75" customHeight="1">
      <c r="A11" s="25" t="s">
        <v>122</v>
      </c>
      <c r="B11" s="26" t="s">
        <v>123</v>
      </c>
      <c r="C11" s="17"/>
      <c r="D11" s="17"/>
      <c r="E11" s="17"/>
      <c r="F11" s="17"/>
      <c r="G11" s="17"/>
      <c r="H11" s="18"/>
    </row>
    <row r="12" ht="33.0" customHeight="1">
      <c r="A12" s="27" t="s">
        <v>124</v>
      </c>
      <c r="B12" s="26" t="s">
        <v>125</v>
      </c>
      <c r="C12" s="17"/>
      <c r="D12" s="17"/>
      <c r="E12" s="17"/>
      <c r="F12" s="17"/>
      <c r="G12" s="17"/>
      <c r="H12" s="18"/>
      <c r="K12" s="28" t="s">
        <v>126</v>
      </c>
    </row>
    <row r="13" ht="48.0" customHeight="1">
      <c r="A13" s="29" t="s">
        <v>127</v>
      </c>
      <c r="B13" s="20" t="s">
        <v>128</v>
      </c>
      <c r="C13" s="17"/>
      <c r="D13" s="17"/>
      <c r="E13" s="17"/>
      <c r="F13" s="17"/>
      <c r="G13" s="17"/>
      <c r="H13" s="18"/>
    </row>
    <row r="14" ht="32.25" customHeight="1">
      <c r="A14" s="29" t="s">
        <v>129</v>
      </c>
      <c r="B14" s="20" t="s">
        <v>130</v>
      </c>
      <c r="C14" s="17"/>
      <c r="D14" s="17"/>
      <c r="E14" s="17"/>
      <c r="F14" s="17"/>
      <c r="G14" s="17"/>
      <c r="H14" s="18"/>
    </row>
    <row r="15" ht="30.0" customHeight="1">
      <c r="A15" s="30" t="s">
        <v>131</v>
      </c>
      <c r="B15" s="20">
        <v>10.0</v>
      </c>
      <c r="C15" s="17"/>
      <c r="D15" s="17"/>
      <c r="E15" s="17"/>
      <c r="F15" s="17"/>
      <c r="G15" s="17"/>
      <c r="H15" s="18"/>
    </row>
    <row r="16" ht="15.75" customHeight="1"/>
    <row r="17" ht="15.75" customHeight="1"/>
    <row r="18" ht="15.75" customHeight="1">
      <c r="A18" s="31" t="s">
        <v>132</v>
      </c>
      <c r="G18" s="22" t="s">
        <v>120</v>
      </c>
      <c r="H18" s="23">
        <v>30.0</v>
      </c>
    </row>
    <row r="19" ht="15.75" customHeight="1">
      <c r="G19" s="24" t="s">
        <v>133</v>
      </c>
    </row>
    <row r="20" ht="421.5" customHeight="1">
      <c r="A20" s="32" t="s">
        <v>134</v>
      </c>
      <c r="B20" s="26" t="s">
        <v>135</v>
      </c>
      <c r="C20" s="17"/>
      <c r="D20" s="17"/>
      <c r="E20" s="17"/>
      <c r="F20" s="17"/>
      <c r="G20" s="17"/>
      <c r="H20" s="18"/>
      <c r="K20" s="33" t="s">
        <v>136</v>
      </c>
    </row>
    <row r="21" ht="15.75" customHeight="1">
      <c r="A21" s="25" t="s">
        <v>137</v>
      </c>
      <c r="B21" s="26" t="s">
        <v>138</v>
      </c>
      <c r="C21" s="17"/>
      <c r="D21" s="17"/>
      <c r="E21" s="17"/>
      <c r="F21" s="17"/>
      <c r="G21" s="17"/>
      <c r="H21" s="18"/>
    </row>
    <row r="22" ht="15.75" customHeight="1">
      <c r="A22" s="30" t="s">
        <v>131</v>
      </c>
      <c r="B22" s="20">
        <v>30.0</v>
      </c>
      <c r="C22" s="17"/>
      <c r="D22" s="17"/>
      <c r="E22" s="17"/>
      <c r="F22" s="17"/>
      <c r="G22" s="17"/>
      <c r="H22" s="18"/>
    </row>
    <row r="23" ht="15.75" customHeight="1"/>
    <row r="24" ht="15.75" customHeight="1"/>
    <row r="25" ht="15.75" customHeight="1">
      <c r="A25" s="31" t="s">
        <v>139</v>
      </c>
      <c r="G25" s="34" t="s">
        <v>120</v>
      </c>
      <c r="H25" s="23">
        <v>15.0</v>
      </c>
    </row>
    <row r="26" ht="15.75" customHeight="1">
      <c r="G26" s="24" t="s">
        <v>140</v>
      </c>
      <c r="H26" s="24"/>
      <c r="I26" s="24"/>
      <c r="J26" s="24"/>
    </row>
    <row r="27" ht="39.75" customHeight="1">
      <c r="A27" s="25" t="s">
        <v>141</v>
      </c>
      <c r="B27" s="26" t="s">
        <v>142</v>
      </c>
      <c r="C27" s="17"/>
      <c r="D27" s="17"/>
      <c r="E27" s="17"/>
      <c r="F27" s="17"/>
      <c r="G27" s="17"/>
      <c r="H27" s="18"/>
      <c r="K27" s="35" t="s">
        <v>143</v>
      </c>
    </row>
    <row r="28" ht="113.25" customHeight="1">
      <c r="A28" s="32" t="s">
        <v>144</v>
      </c>
      <c r="B28" s="36" t="s">
        <v>145</v>
      </c>
      <c r="C28" s="17"/>
      <c r="D28" s="17"/>
      <c r="E28" s="17"/>
      <c r="F28" s="17"/>
      <c r="G28" s="17"/>
      <c r="H28" s="18"/>
    </row>
    <row r="29" ht="15.75" customHeight="1">
      <c r="A29" s="30" t="s">
        <v>131</v>
      </c>
      <c r="B29" s="20">
        <v>15.0</v>
      </c>
      <c r="C29" s="17"/>
      <c r="D29" s="17"/>
      <c r="E29" s="17"/>
      <c r="F29" s="17"/>
      <c r="G29" s="17"/>
      <c r="H29" s="18"/>
    </row>
    <row r="30" ht="15.75" customHeight="1"/>
    <row r="31" ht="15.75" customHeight="1"/>
    <row r="32" ht="15.75" customHeight="1">
      <c r="A32" s="31" t="s">
        <v>146</v>
      </c>
      <c r="G32" s="34" t="s">
        <v>120</v>
      </c>
      <c r="H32" s="37">
        <f>B36</f>
        <v>5</v>
      </c>
    </row>
    <row r="33" ht="15.75" customHeight="1">
      <c r="A33" s="6" t="s">
        <v>147</v>
      </c>
      <c r="G33" s="6" t="s">
        <v>148</v>
      </c>
      <c r="H33" s="38"/>
      <c r="I33" s="38"/>
    </row>
    <row r="34" ht="36.75" customHeight="1">
      <c r="A34" s="25" t="s">
        <v>149</v>
      </c>
      <c r="B34" s="39" t="s">
        <v>150</v>
      </c>
      <c r="C34" s="17"/>
      <c r="D34" s="17"/>
      <c r="E34" s="17"/>
      <c r="F34" s="17"/>
      <c r="G34" s="17"/>
      <c r="H34" s="18"/>
      <c r="K34" s="40" t="s">
        <v>151</v>
      </c>
    </row>
    <row r="35" ht="41.25" customHeight="1">
      <c r="A35" s="25" t="s">
        <v>152</v>
      </c>
      <c r="B35" s="41" t="s">
        <v>153</v>
      </c>
      <c r="C35" s="17"/>
      <c r="D35" s="17"/>
      <c r="E35" s="17"/>
      <c r="F35" s="17"/>
      <c r="G35" s="17"/>
      <c r="H35" s="18"/>
    </row>
    <row r="36" ht="15.75" customHeight="1">
      <c r="A36" s="30" t="s">
        <v>131</v>
      </c>
      <c r="B36" s="20">
        <v>5.0</v>
      </c>
      <c r="C36" s="17"/>
      <c r="D36" s="17"/>
      <c r="E36" s="17"/>
      <c r="F36" s="17"/>
      <c r="G36" s="17"/>
      <c r="H36" s="18"/>
    </row>
    <row r="37" ht="15.75" customHeight="1"/>
    <row r="38" ht="15.75" customHeight="1"/>
    <row r="39" ht="15.75" customHeight="1">
      <c r="A39" s="31" t="s">
        <v>154</v>
      </c>
      <c r="G39" s="34" t="s">
        <v>120</v>
      </c>
      <c r="H39" s="23"/>
    </row>
    <row r="40" ht="15.75" customHeight="1">
      <c r="G40" s="24" t="s">
        <v>155</v>
      </c>
    </row>
    <row r="41" ht="15.75" customHeight="1">
      <c r="A41" s="30" t="s">
        <v>131</v>
      </c>
      <c r="B41" s="20">
        <v>25.0</v>
      </c>
      <c r="C41" s="17"/>
      <c r="D41" s="17"/>
      <c r="E41" s="17"/>
      <c r="F41" s="17"/>
      <c r="G41" s="17"/>
      <c r="H41" s="18"/>
    </row>
    <row r="42" ht="15.75" customHeight="1"/>
    <row r="43" ht="15.75" customHeight="1"/>
    <row r="44" ht="15.75" customHeight="1">
      <c r="A44" s="31" t="s">
        <v>156</v>
      </c>
      <c r="G44" s="34" t="s">
        <v>120</v>
      </c>
      <c r="H44" s="23"/>
    </row>
    <row r="45" ht="15.75" customHeight="1">
      <c r="G45" s="24" t="s">
        <v>121</v>
      </c>
    </row>
    <row r="46">
      <c r="A46" s="32" t="s">
        <v>157</v>
      </c>
      <c r="B46" s="36" t="s">
        <v>158</v>
      </c>
      <c r="C46" s="17"/>
      <c r="D46" s="17"/>
      <c r="E46" s="17"/>
      <c r="F46" s="17"/>
      <c r="G46" s="17"/>
      <c r="H46" s="18"/>
    </row>
    <row r="47" ht="15.75" customHeight="1">
      <c r="A47" s="30" t="s">
        <v>131</v>
      </c>
      <c r="B47" s="20">
        <v>15.0</v>
      </c>
      <c r="C47" s="17"/>
      <c r="D47" s="17"/>
      <c r="E47" s="17"/>
      <c r="F47" s="17"/>
      <c r="G47" s="17"/>
      <c r="H47" s="1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2.75"/>
    <col customWidth="1" min="8" max="8" width="30.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2.0</v>
      </c>
      <c r="D5" s="17"/>
      <c r="E5" s="17"/>
      <c r="F5" s="17"/>
      <c r="G5" s="18"/>
    </row>
    <row r="6" ht="15.75" customHeight="1">
      <c r="B6" s="43" t="s">
        <v>118</v>
      </c>
      <c r="C6" s="20">
        <f>H10+H21+H44+H68</f>
        <v>105</v>
      </c>
      <c r="D6" s="17"/>
      <c r="E6" s="17"/>
      <c r="F6" s="17"/>
      <c r="G6" s="18"/>
      <c r="I6" s="5"/>
    </row>
    <row r="7" ht="15.75" customHeight="1">
      <c r="B7" s="43" t="s">
        <v>160</v>
      </c>
      <c r="C7" s="16">
        <f>B49+B60</f>
        <v>0</v>
      </c>
      <c r="D7" s="17"/>
      <c r="E7" s="17"/>
      <c r="F7" s="17"/>
      <c r="G7" s="18"/>
    </row>
    <row r="8" ht="27.0"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165</v>
      </c>
      <c r="C12" s="17"/>
      <c r="D12" s="17"/>
      <c r="E12" s="17"/>
      <c r="F12" s="17"/>
      <c r="G12" s="17"/>
      <c r="H12" s="18"/>
    </row>
    <row r="13" ht="15.75" customHeight="1">
      <c r="A13" s="30" t="s">
        <v>120</v>
      </c>
      <c r="B13" s="20">
        <v>5.0</v>
      </c>
      <c r="C13" s="17"/>
      <c r="D13" s="17"/>
      <c r="E13" s="17"/>
      <c r="F13" s="17"/>
      <c r="G13" s="17"/>
      <c r="H13" s="18"/>
    </row>
    <row r="14" ht="15.75" customHeight="1">
      <c r="A14" s="46" t="s">
        <v>166</v>
      </c>
      <c r="B14" s="17"/>
      <c r="C14" s="17"/>
      <c r="D14" s="17"/>
      <c r="E14" s="17"/>
      <c r="F14" s="17"/>
      <c r="G14" s="17"/>
      <c r="H14" s="18"/>
    </row>
    <row r="15" ht="15.75" customHeight="1">
      <c r="A15" s="47" t="s">
        <v>167</v>
      </c>
      <c r="B15" s="48"/>
      <c r="C15" s="48"/>
      <c r="D15" s="48"/>
      <c r="E15" s="48"/>
      <c r="F15" s="48"/>
      <c r="G15" s="48"/>
      <c r="H15" s="49"/>
    </row>
    <row r="16" ht="32.25" customHeight="1">
      <c r="A16" s="50"/>
      <c r="B16" s="51"/>
      <c r="C16" s="51"/>
      <c r="D16" s="51"/>
      <c r="E16" s="51"/>
      <c r="F16" s="51"/>
      <c r="G16" s="51"/>
      <c r="H16" s="52"/>
    </row>
    <row r="17" ht="15.75" customHeight="1">
      <c r="A17" s="46" t="s">
        <v>168</v>
      </c>
      <c r="B17" s="17"/>
      <c r="C17" s="17"/>
      <c r="D17" s="17"/>
      <c r="E17" s="17"/>
      <c r="F17" s="17"/>
      <c r="G17" s="17"/>
      <c r="H17" s="18"/>
    </row>
    <row r="18" ht="15.75" customHeight="1">
      <c r="A18" s="47" t="s">
        <v>169</v>
      </c>
      <c r="B18" s="48"/>
      <c r="C18" s="48"/>
      <c r="D18" s="48"/>
      <c r="E18" s="48"/>
      <c r="F18" s="48"/>
      <c r="G18" s="48"/>
      <c r="H18" s="49"/>
    </row>
    <row r="19" ht="69.0"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34.5" customHeight="1">
      <c r="A23" s="29" t="s">
        <v>172</v>
      </c>
      <c r="B23" s="53" t="s">
        <v>12</v>
      </c>
      <c r="C23" s="17"/>
      <c r="D23" s="17"/>
      <c r="E23" s="17"/>
      <c r="F23" s="17"/>
      <c r="G23" s="17"/>
      <c r="H23" s="18"/>
    </row>
    <row r="24" ht="36.0" customHeight="1">
      <c r="A24" s="29" t="s">
        <v>172</v>
      </c>
      <c r="B24" s="53" t="s">
        <v>173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de Programacion")</f>
        <v>Lenguajes de Programacion</v>
      </c>
      <c r="C28" s="18"/>
      <c r="D28" s="16" t="str">
        <f>IFERROR(__xludf.DUMMYFUNCTION("FILTER('Diseño'!E:E,'Diseño'!H:H=$C$5)"),"Introduccion al lenguaje de Programacion")</f>
        <v>Introduccion al lenguaje de Programacion</v>
      </c>
      <c r="E28" s="18"/>
      <c r="F28" s="16" t="str">
        <f>IFERROR(__xludf.DUMMYFUNCTION("FILTER('Diseño'!F:F,'Diseño'!H:H=$C$5)"),"Historia de la Programacion")</f>
        <v>Historia de la Programacion</v>
      </c>
      <c r="G28" s="17"/>
      <c r="H28" s="18"/>
    </row>
    <row r="29" ht="15.75" customHeight="1">
      <c r="A29" s="19">
        <v>2.0</v>
      </c>
      <c r="B29" s="16" t="str">
        <f>IFERROR(__xludf.DUMMYFUNCTION("""COMPUTED_VALUE"""),"Lenguajes de Programacion")</f>
        <v>Lenguajes de Programacion</v>
      </c>
      <c r="C29" s="18"/>
      <c r="D29" s="16" t="str">
        <f>IFERROR(__xludf.DUMMYFUNCTION("""COMPUTED_VALUE"""),"Introduccion al lenguaje de Programacion")</f>
        <v>Introduccion al lenguaje de Programacion</v>
      </c>
      <c r="E29" s="18"/>
      <c r="F29" s="16" t="str">
        <f>IFERROR(__xludf.DUMMYFUNCTION("""COMPUTED_VALUE"""),"Aspectos Basicos de la Programacion")</f>
        <v>Aspectos Basicos de la Programacion</v>
      </c>
      <c r="G29" s="17"/>
      <c r="H29" s="18"/>
    </row>
    <row r="30" ht="15.75" customHeight="1">
      <c r="A30" s="19">
        <v>3.0</v>
      </c>
      <c r="B30" s="16" t="str">
        <f>IFERROR(__xludf.DUMMYFUNCTION("""COMPUTED_VALUE"""),"Lenguajes de Programacion")</f>
        <v>Lenguajes de Programacion</v>
      </c>
      <c r="C30" s="18"/>
      <c r="D30" s="16" t="str">
        <f>IFERROR(__xludf.DUMMYFUNCTION("""COMPUTED_VALUE"""),"Introduccion al lenguaje de Programacion")</f>
        <v>Introduccion al lenguaje de Programacion</v>
      </c>
      <c r="E30" s="18"/>
      <c r="F30" s="16" t="str">
        <f>IFERROR(__xludf.DUMMYFUNCTION("""COMPUTED_VALUE"""),"Reglas de Sintaxis")</f>
        <v>Reglas de Sintaxis</v>
      </c>
      <c r="G30" s="17"/>
      <c r="H30" s="18"/>
    </row>
    <row r="31" ht="15.75" customHeight="1">
      <c r="A31" s="19">
        <v>4.0</v>
      </c>
      <c r="B31" s="16" t="str">
        <f>IFERROR(__xludf.DUMMYFUNCTION("""COMPUTED_VALUE"""),"Lenguajes de Programacion")</f>
        <v>Lenguajes de Programacion</v>
      </c>
      <c r="C31" s="18"/>
      <c r="D31" s="16" t="str">
        <f>IFERROR(__xludf.DUMMYFUNCTION("""COMPUTED_VALUE"""),"Introduccion al lenguaje de Programacion")</f>
        <v>Introduccion al lenguaje de Programacion</v>
      </c>
      <c r="E31" s="18"/>
      <c r="F31" s="16" t="str">
        <f>IFERROR(__xludf.DUMMYFUNCTION("""COMPUTED_VALUE"""),"Estructura de un programa")</f>
        <v>Estructura de un programa</v>
      </c>
      <c r="G31" s="17"/>
      <c r="H31" s="18"/>
    </row>
    <row r="32" ht="15.75" customHeight="1">
      <c r="A32" s="19">
        <v>5.0</v>
      </c>
      <c r="B32" s="16"/>
      <c r="C32" s="18"/>
      <c r="D32" s="16"/>
      <c r="E32" s="18"/>
      <c r="F32" s="16"/>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59"/>
      <c r="D39" s="20">
        <v>25.0</v>
      </c>
      <c r="E39" s="17"/>
      <c r="F39" s="17"/>
      <c r="G39" s="17"/>
      <c r="H39" s="18"/>
    </row>
    <row r="40" ht="15.75" customHeight="1">
      <c r="A40" s="19" t="s">
        <v>184</v>
      </c>
      <c r="B40" s="19" t="s">
        <v>183</v>
      </c>
      <c r="C40" s="19" t="s">
        <v>185</v>
      </c>
      <c r="D40" s="20">
        <v>10.0</v>
      </c>
      <c r="E40" s="17"/>
      <c r="F40" s="17"/>
      <c r="G40" s="17"/>
      <c r="H40" s="18"/>
    </row>
    <row r="41" ht="15.75" customHeight="1">
      <c r="A41" s="19" t="s">
        <v>186</v>
      </c>
      <c r="B41" s="19" t="s">
        <v>187</v>
      </c>
      <c r="C41" s="19"/>
      <c r="D41" s="20">
        <v>15.0</v>
      </c>
      <c r="E41" s="17"/>
      <c r="F41" s="17"/>
      <c r="G41" s="17"/>
      <c r="H41" s="18"/>
    </row>
    <row r="42" ht="15.75" customHeight="1">
      <c r="A42" s="19" t="s">
        <v>188</v>
      </c>
      <c r="B42" s="19" t="s">
        <v>183</v>
      </c>
      <c r="C42" s="59"/>
      <c r="D42" s="20">
        <v>10.0</v>
      </c>
      <c r="E42" s="17"/>
      <c r="F42" s="17"/>
      <c r="G42" s="17"/>
      <c r="H42" s="18"/>
    </row>
    <row r="43" ht="15.75" customHeight="1"/>
    <row r="44" ht="15.75" customHeight="1">
      <c r="A44" s="44" t="s">
        <v>189</v>
      </c>
      <c r="G44" s="34" t="s">
        <v>120</v>
      </c>
      <c r="H44" s="45">
        <v>35.0</v>
      </c>
    </row>
    <row r="45" ht="15.75" customHeight="1">
      <c r="G45" s="24" t="s">
        <v>190</v>
      </c>
    </row>
    <row r="46" ht="15.75" customHeight="1">
      <c r="A46" s="24" t="s">
        <v>191</v>
      </c>
    </row>
    <row r="47" ht="39.0" customHeight="1">
      <c r="A47" s="29" t="s">
        <v>192</v>
      </c>
      <c r="B47" s="53" t="s">
        <v>12</v>
      </c>
      <c r="C47" s="17"/>
      <c r="D47" s="17"/>
      <c r="E47" s="17"/>
      <c r="F47" s="17"/>
      <c r="G47" s="17"/>
      <c r="H47" s="18"/>
    </row>
    <row r="48" ht="15.75" customHeight="1">
      <c r="A48" s="29" t="s">
        <v>193</v>
      </c>
      <c r="B48" s="20" t="s">
        <v>194</v>
      </c>
      <c r="C48" s="17"/>
      <c r="D48" s="17"/>
      <c r="E48" s="17"/>
      <c r="F48" s="17"/>
      <c r="G48" s="17"/>
      <c r="H48" s="18"/>
    </row>
    <row r="49" ht="15.75" customHeight="1">
      <c r="A49" s="29" t="s">
        <v>160</v>
      </c>
      <c r="B49" s="60">
        <v>0.0</v>
      </c>
      <c r="C49" s="17"/>
      <c r="D49" s="17"/>
      <c r="E49" s="17"/>
      <c r="F49" s="17"/>
      <c r="G49" s="17"/>
      <c r="H49" s="18"/>
    </row>
    <row r="50" ht="15.75" customHeight="1">
      <c r="A50" s="29" t="s">
        <v>120</v>
      </c>
      <c r="B50" s="20">
        <v>35.0</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61" t="s">
        <v>197</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ht="30.0"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65"/>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v>5.0</v>
      </c>
    </row>
    <row r="69" ht="15.75" customHeight="1">
      <c r="G69" s="24" t="s">
        <v>201</v>
      </c>
    </row>
    <row r="70" ht="15.75" customHeight="1">
      <c r="A70" s="29" t="s">
        <v>120</v>
      </c>
      <c r="B70" s="66">
        <v>5.0</v>
      </c>
      <c r="C70" s="17"/>
      <c r="D70" s="17"/>
      <c r="E70" s="17"/>
      <c r="F70" s="17"/>
      <c r="G70" s="17"/>
      <c r="H70" s="18"/>
    </row>
    <row r="71" ht="15.75" customHeight="1">
      <c r="A71" s="58" t="s">
        <v>202</v>
      </c>
      <c r="B71" s="17"/>
      <c r="C71" s="17"/>
      <c r="D71" s="17"/>
      <c r="E71" s="17"/>
      <c r="F71" s="17"/>
      <c r="G71" s="17"/>
      <c r="H71" s="18"/>
    </row>
    <row r="72" ht="15.75" customHeight="1">
      <c r="A72" s="65"/>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8.0"/>
    <col customWidth="1" min="8" max="8" width="13.88"/>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3.0</v>
      </c>
      <c r="D5" s="17"/>
      <c r="E5" s="17"/>
      <c r="F5" s="17"/>
      <c r="G5" s="18"/>
    </row>
    <row r="6" ht="15.75" customHeight="1">
      <c r="B6" s="43" t="s">
        <v>118</v>
      </c>
      <c r="C6" s="16">
        <f>H10+H21+H44+H68</f>
        <v>105</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204</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67" t="s">
        <v>206</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7" t="s">
        <v>207</v>
      </c>
      <c r="B18" s="48"/>
      <c r="C18" s="48"/>
      <c r="D18" s="48"/>
      <c r="E18" s="48"/>
      <c r="F18" s="48"/>
      <c r="G18" s="48"/>
      <c r="H18" s="49"/>
    </row>
    <row r="19" ht="35.25" customHeight="1">
      <c r="A19" s="50"/>
      <c r="B19" s="51"/>
      <c r="C19" s="51"/>
      <c r="D19" s="51"/>
      <c r="E19" s="51"/>
      <c r="F19" s="51"/>
      <c r="G19" s="51"/>
      <c r="H19" s="52"/>
    </row>
    <row r="20" ht="15.75" customHeight="1"/>
    <row r="21" ht="15.75" customHeight="1">
      <c r="A21" s="44" t="s">
        <v>170</v>
      </c>
      <c r="G21" s="34" t="s">
        <v>120</v>
      </c>
      <c r="H21" s="68">
        <f>D39+D40+D41+D42</f>
        <v>60</v>
      </c>
      <c r="I21" s="5"/>
    </row>
    <row r="22" ht="15.75" customHeight="1">
      <c r="G22" s="24" t="s">
        <v>171</v>
      </c>
    </row>
    <row r="23" ht="15.75" customHeight="1">
      <c r="A23" s="29" t="s">
        <v>172</v>
      </c>
      <c r="B23" s="20" t="s">
        <v>33</v>
      </c>
      <c r="C23" s="17"/>
      <c r="D23" s="17"/>
      <c r="E23" s="17"/>
      <c r="F23" s="17"/>
      <c r="G23" s="17"/>
      <c r="H23" s="18"/>
    </row>
    <row r="24" ht="15.75" customHeight="1">
      <c r="A24" s="29" t="s">
        <v>172</v>
      </c>
      <c r="B24" s="16"/>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de Programacion")</f>
        <v>Lenguajes de Programacion</v>
      </c>
      <c r="C28" s="18"/>
      <c r="D28" s="16" t="str">
        <f>IFERROR(__xludf.DUMMYFUNCTION("FILTER('Diseño'!E:E,'Diseño'!H:H=$C$5)"),"Buenas Practicas y funciones en Programacion")</f>
        <v>Buenas Practicas y funciones en Programacion</v>
      </c>
      <c r="E28" s="18"/>
      <c r="F28" s="16" t="str">
        <f>IFERROR(__xludf.DUMMYFUNCTION("FILTER('Diseño'!F:F,'Diseño'!H:H=$C$5)"),"Convenciones de nombres y estilo de código")</f>
        <v>Convenciones de nombres y estilo de código</v>
      </c>
      <c r="G28" s="17"/>
      <c r="H28" s="18"/>
    </row>
    <row r="29" ht="15.75" customHeight="1">
      <c r="A29" s="19">
        <v>2.0</v>
      </c>
      <c r="B29" s="16" t="str">
        <f>IFERROR(__xludf.DUMMYFUNCTION("""COMPUTED_VALUE"""),"Lenguajes de Programacion")</f>
        <v>Lenguajes de Programacion</v>
      </c>
      <c r="C29" s="18"/>
      <c r="D29" s="16" t="str">
        <f>IFERROR(__xludf.DUMMYFUNCTION("""COMPUTED_VALUE"""),"Buenas Practicas y funciones en Programacion")</f>
        <v>Buenas Practicas y funciones en Programacion</v>
      </c>
      <c r="E29" s="18"/>
      <c r="F29" s="16" t="str">
        <f>IFERROR(__xludf.DUMMYFUNCTION("""COMPUTED_VALUE"""),"Gestión de memoria y optimización")</f>
        <v>Gestión de memoria y optimización</v>
      </c>
      <c r="G29" s="17"/>
      <c r="H29" s="18"/>
    </row>
    <row r="30" ht="15.75" customHeight="1">
      <c r="A30" s="19">
        <v>3.0</v>
      </c>
      <c r="B30" s="16" t="str">
        <f>IFERROR(__xludf.DUMMYFUNCTION("""COMPUTED_VALUE"""),"Lenguajes de Programacion")</f>
        <v>Lenguajes de Programacion</v>
      </c>
      <c r="C30" s="18"/>
      <c r="D30" s="16" t="str">
        <f>IFERROR(__xludf.DUMMYFUNCTION("""COMPUTED_VALUE"""),"Buenas Practicas y funciones en Programacion")</f>
        <v>Buenas Practicas y funciones en Programacion</v>
      </c>
      <c r="E30" s="18"/>
      <c r="F30" s="16" t="str">
        <f>IFERROR(__xludf.DUMMYFUNCTION("""COMPUTED_VALUE"""),"Definición y uso de métodos y funciones")</f>
        <v>Definición y uso de métodos y funciones</v>
      </c>
      <c r="G30" s="17"/>
      <c r="H30" s="18"/>
    </row>
    <row r="31" ht="15.75" customHeight="1">
      <c r="A31" s="19">
        <v>4.0</v>
      </c>
      <c r="B31" s="16" t="str">
        <f>IFERROR(__xludf.DUMMYFUNCTION("""COMPUTED_VALUE"""),"Lenguajes de Programacion")</f>
        <v>Lenguajes de Programacion</v>
      </c>
      <c r="C31" s="18"/>
      <c r="D31" s="16" t="str">
        <f>IFERROR(__xludf.DUMMYFUNCTION("""COMPUTED_VALUE"""),"Buenas Practicas y funciones en Programacion")</f>
        <v>Buenas Practicas y funciones en Programacion</v>
      </c>
      <c r="E31" s="18"/>
      <c r="F31" s="16" t="str">
        <f>IFERROR(__xludf.DUMMYFUNCTION("""COMPUTED_VALUE"""),"Creación y uso de clases")</f>
        <v>Creación y uso de clases</v>
      </c>
      <c r="G31" s="17"/>
      <c r="H31" s="18"/>
    </row>
    <row r="32" ht="15.75" customHeight="1">
      <c r="A32" s="19">
        <v>5.0</v>
      </c>
      <c r="B32" s="16" t="str">
        <f>IFERROR(__xludf.DUMMYFUNCTION("""COMPUTED_VALUE"""),"Lenguajes de Programacion")</f>
        <v>Lenguajes de Programacion</v>
      </c>
      <c r="C32" s="18"/>
      <c r="D32" s="16" t="str">
        <f>IFERROR(__xludf.DUMMYFUNCTION("""COMPUTED_VALUE"""),"Buenas Practicas y funciones en Programacion")</f>
        <v>Buenas Practicas y funciones en Programacion</v>
      </c>
      <c r="E32" s="18"/>
      <c r="F32" s="16" t="str">
        <f>IFERROR(__xludf.DUMMYFUNCTION("""COMPUTED_VALUE"""),"Diferencias entre métodos y funciones")</f>
        <v>Diferencias entre métodos y funciones</v>
      </c>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19"/>
      <c r="D39" s="20">
        <v>25.0</v>
      </c>
      <c r="E39" s="17"/>
      <c r="F39" s="17"/>
      <c r="G39" s="17"/>
      <c r="H39" s="18"/>
    </row>
    <row r="40" ht="15.75" customHeight="1">
      <c r="A40" s="19" t="s">
        <v>184</v>
      </c>
      <c r="B40" s="19" t="s">
        <v>183</v>
      </c>
      <c r="C40" s="19" t="s">
        <v>185</v>
      </c>
      <c r="D40" s="20">
        <v>10.0</v>
      </c>
      <c r="E40" s="17"/>
      <c r="F40" s="17"/>
      <c r="G40" s="17"/>
      <c r="H40" s="18"/>
    </row>
    <row r="41" ht="15.75" customHeight="1">
      <c r="A41" s="19" t="s">
        <v>186</v>
      </c>
      <c r="B41" s="19" t="s">
        <v>187</v>
      </c>
      <c r="C41" s="19"/>
      <c r="D41" s="20">
        <v>15.0</v>
      </c>
      <c r="E41" s="17"/>
      <c r="F41" s="17"/>
      <c r="G41" s="17"/>
      <c r="H41" s="18"/>
    </row>
    <row r="42" ht="15.75" customHeight="1">
      <c r="A42" s="19" t="s">
        <v>188</v>
      </c>
      <c r="B42" s="19" t="s">
        <v>183</v>
      </c>
      <c r="C42" s="19"/>
      <c r="D42" s="20">
        <v>10.0</v>
      </c>
      <c r="E42" s="17"/>
      <c r="F42" s="17"/>
      <c r="G42" s="17"/>
      <c r="H42" s="18"/>
    </row>
    <row r="43" ht="15.75" customHeight="1"/>
    <row r="44" ht="15.75" customHeight="1">
      <c r="A44" s="44" t="s">
        <v>189</v>
      </c>
      <c r="G44" s="34" t="s">
        <v>120</v>
      </c>
      <c r="H44" s="68">
        <f>B50+B61</f>
        <v>35</v>
      </c>
    </row>
    <row r="45" ht="15.75" customHeight="1">
      <c r="G45" s="24" t="s">
        <v>190</v>
      </c>
    </row>
    <row r="46" ht="15.75" customHeight="1">
      <c r="A46" s="24" t="s">
        <v>191</v>
      </c>
    </row>
    <row r="47" ht="31.5" customHeight="1">
      <c r="A47" s="29" t="s">
        <v>192</v>
      </c>
      <c r="B47" s="53" t="s">
        <v>12</v>
      </c>
      <c r="C47" s="17"/>
      <c r="D47" s="17"/>
      <c r="E47" s="17"/>
      <c r="F47" s="17"/>
      <c r="G47" s="17"/>
      <c r="H47" s="18"/>
    </row>
    <row r="48" ht="15.75" customHeight="1">
      <c r="A48" s="29" t="s">
        <v>193</v>
      </c>
      <c r="B48" s="16" t="s">
        <v>208</v>
      </c>
      <c r="C48" s="17"/>
      <c r="D48" s="17"/>
      <c r="E48" s="17"/>
      <c r="F48" s="17"/>
      <c r="G48" s="17"/>
      <c r="H48" s="18"/>
    </row>
    <row r="49" ht="15.75" customHeight="1">
      <c r="A49" s="29" t="s">
        <v>160</v>
      </c>
      <c r="B49" s="60">
        <v>0.0</v>
      </c>
      <c r="C49" s="17"/>
      <c r="D49" s="17"/>
      <c r="E49" s="17"/>
      <c r="F49" s="17"/>
      <c r="G49" s="17"/>
      <c r="H49" s="18"/>
    </row>
    <row r="50" ht="15.75" customHeight="1">
      <c r="A50" s="29" t="s">
        <v>120</v>
      </c>
      <c r="B50" s="20">
        <v>35.0</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61" t="s">
        <v>209</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ht="35.2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65"/>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f>B70</f>
        <v>5</v>
      </c>
    </row>
    <row r="69" ht="15.75" customHeight="1">
      <c r="G69" s="24" t="s">
        <v>201</v>
      </c>
    </row>
    <row r="70" ht="15.75" customHeight="1">
      <c r="A70" s="29" t="s">
        <v>120</v>
      </c>
      <c r="B70" s="66">
        <v>5.0</v>
      </c>
      <c r="C70" s="17"/>
      <c r="D70" s="17"/>
      <c r="E70" s="17"/>
      <c r="F70" s="17"/>
      <c r="G70" s="17"/>
      <c r="H70" s="18"/>
    </row>
    <row r="71" ht="15.75" customHeight="1">
      <c r="A71" s="58" t="s">
        <v>202</v>
      </c>
      <c r="B71" s="17"/>
      <c r="C71" s="17"/>
      <c r="D71" s="17"/>
      <c r="E71" s="17"/>
      <c r="F71" s="17"/>
      <c r="G71" s="17"/>
      <c r="H71" s="18"/>
    </row>
    <row r="72" ht="15.75" customHeight="1">
      <c r="A72" s="65"/>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4.0</v>
      </c>
      <c r="D5" s="17"/>
      <c r="E5" s="17"/>
      <c r="F5" s="17"/>
      <c r="G5" s="18"/>
    </row>
    <row r="6" ht="15.75" customHeight="1">
      <c r="B6" s="43" t="s">
        <v>118</v>
      </c>
      <c r="C6" s="16">
        <f>H10+H21+H44+H68</f>
        <v>104</v>
      </c>
      <c r="D6" s="17"/>
      <c r="E6" s="17"/>
      <c r="F6" s="17"/>
      <c r="G6" s="18"/>
      <c r="I6" s="5"/>
    </row>
    <row r="7" ht="15.75" customHeight="1">
      <c r="B7" s="43" t="s">
        <v>160</v>
      </c>
      <c r="C7" s="16">
        <f>B49+B60</f>
        <v>2</v>
      </c>
      <c r="D7" s="17"/>
      <c r="E7" s="17"/>
      <c r="F7" s="17"/>
      <c r="G7" s="18"/>
    </row>
    <row r="8" ht="25.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2.0</v>
      </c>
    </row>
    <row r="11" ht="15.75" customHeight="1">
      <c r="G11" s="24" t="s">
        <v>163</v>
      </c>
    </row>
    <row r="12" ht="15.75" customHeight="1">
      <c r="A12" s="29" t="s">
        <v>164</v>
      </c>
      <c r="B12" s="20" t="s">
        <v>210</v>
      </c>
      <c r="C12" s="17"/>
      <c r="D12" s="17"/>
      <c r="E12" s="17"/>
      <c r="F12" s="17"/>
      <c r="G12" s="17"/>
      <c r="H12" s="18"/>
    </row>
    <row r="13" ht="15.75" customHeight="1">
      <c r="A13" s="30" t="s">
        <v>120</v>
      </c>
      <c r="B13" s="20" t="s">
        <v>211</v>
      </c>
      <c r="C13" s="17"/>
      <c r="D13" s="17"/>
      <c r="E13" s="17"/>
      <c r="F13" s="17"/>
      <c r="G13" s="17"/>
      <c r="H13" s="18"/>
    </row>
    <row r="14" ht="15.75" customHeight="1">
      <c r="A14" s="46" t="s">
        <v>166</v>
      </c>
      <c r="B14" s="17"/>
      <c r="C14" s="17"/>
      <c r="D14" s="17"/>
      <c r="E14" s="17"/>
      <c r="F14" s="17"/>
      <c r="G14" s="17"/>
      <c r="H14" s="18"/>
    </row>
    <row r="15" ht="15.75" customHeight="1">
      <c r="A15" s="69" t="s">
        <v>212</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9" t="s">
        <v>213</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c r="A23" s="29" t="s">
        <v>172</v>
      </c>
      <c r="B23" s="53" t="s">
        <v>12</v>
      </c>
      <c r="C23" s="17"/>
      <c r="D23" s="17"/>
      <c r="E23" s="17"/>
      <c r="F23" s="17"/>
      <c r="G23" s="17"/>
      <c r="H23" s="18"/>
    </row>
    <row r="24">
      <c r="A24" s="29" t="s">
        <v>172</v>
      </c>
      <c r="B24" s="53" t="s">
        <v>33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de Programacion")</f>
        <v>Lenguajes de Programacion</v>
      </c>
      <c r="C28" s="18"/>
      <c r="D28" s="16" t="str">
        <f>IFERROR(__xludf.DUMMYFUNCTION("FILTER('Diseño'!E:E,'Diseño'!H:H=$C$5)"),"Estructuras de Datos y Control en Programacion")</f>
        <v>Estructuras de Datos y Control en Programacion</v>
      </c>
      <c r="E28" s="18"/>
      <c r="F28" s="16" t="str">
        <f>IFERROR(__xludf.DUMMYFUNCTION("FILTER('Diseño'!F:F,'Diseño'!H:H=$C$5)"),"Arreglos en Java")</f>
        <v>Arreglos en Java</v>
      </c>
      <c r="G28" s="17"/>
      <c r="H28" s="18"/>
    </row>
    <row r="29" ht="15.75" customHeight="1">
      <c r="A29" s="19">
        <v>2.0</v>
      </c>
      <c r="B29" s="16" t="str">
        <f>IFERROR(__xludf.DUMMYFUNCTION("""COMPUTED_VALUE"""),"Lenguajes de Programacion")</f>
        <v>Lenguajes de Programacion</v>
      </c>
      <c r="C29" s="18"/>
      <c r="D29" s="16" t="str">
        <f>IFERROR(__xludf.DUMMYFUNCTION("""COMPUTED_VALUE"""),"Estructuras de Datos y Control en Programacion")</f>
        <v>Estructuras de Datos y Control en Programacion</v>
      </c>
      <c r="E29" s="18"/>
      <c r="F29" s="16" t="str">
        <f>IFERROR(__xludf.DUMMYFUNCTION("""COMPUTED_VALUE"""),"Diccionarios y estructuras de Datos")</f>
        <v>Diccionarios y estructuras de Datos</v>
      </c>
      <c r="G29" s="17"/>
      <c r="H29" s="18"/>
    </row>
    <row r="30" ht="15.75" customHeight="1">
      <c r="A30" s="19">
        <v>3.0</v>
      </c>
      <c r="B30" s="16" t="str">
        <f>IFERROR(__xludf.DUMMYFUNCTION("""COMPUTED_VALUE"""),"Lenguajes de Programacion")</f>
        <v>Lenguajes de Programacion</v>
      </c>
      <c r="C30" s="18"/>
      <c r="D30" s="16" t="str">
        <f>IFERROR(__xludf.DUMMYFUNCTION("""COMPUTED_VALUE"""),"Estructuras de Datos y Control en Programacion")</f>
        <v>Estructuras de Datos y Control en Programacion</v>
      </c>
      <c r="E30" s="18"/>
      <c r="F30" s="16" t="str">
        <f>IFERROR(__xludf.DUMMYFUNCTION("""COMPUTED_VALUE"""),"Iteracion en Java")</f>
        <v>Iteracion en Java</v>
      </c>
      <c r="G30" s="17"/>
      <c r="H30" s="18"/>
    </row>
    <row r="31" ht="15.75" customHeight="1">
      <c r="A31" s="19">
        <v>4.0</v>
      </c>
      <c r="B31" s="16" t="str">
        <f>IFERROR(__xludf.DUMMYFUNCTION("""COMPUTED_VALUE"""),"Lenguajes de Programacion")</f>
        <v>Lenguajes de Programacion</v>
      </c>
      <c r="C31" s="18"/>
      <c r="D31" s="16" t="str">
        <f>IFERROR(__xludf.DUMMYFUNCTION("""COMPUTED_VALUE"""),"Estructuras de Datos y Control en Programacion")</f>
        <v>Estructuras de Datos y Control en Programacion</v>
      </c>
      <c r="E31" s="18"/>
      <c r="F31" s="16" t="str">
        <f>IFERROR(__xludf.DUMMYFUNCTION("""COMPUTED_VALUE"""),"Lectura de Archivos")</f>
        <v>Lectura de Archivos</v>
      </c>
      <c r="G31" s="17"/>
      <c r="H31" s="18"/>
    </row>
    <row r="32" ht="15.75" customHeight="1">
      <c r="A32" s="19">
        <v>5.0</v>
      </c>
      <c r="B32" s="16" t="str">
        <f>IFERROR(__xludf.DUMMYFUNCTION("""COMPUTED_VALUE"""),"Lenguajes de Programacion")</f>
        <v>Lenguajes de Programacion</v>
      </c>
      <c r="C32" s="18"/>
      <c r="D32" s="16" t="str">
        <f>IFERROR(__xludf.DUMMYFUNCTION("""COMPUTED_VALUE"""),"Estructuras de Datos y Control en Programacion")</f>
        <v>Estructuras de Datos y Control en Programacion</v>
      </c>
      <c r="E32" s="18"/>
      <c r="F32" s="16" t="str">
        <f>IFERROR(__xludf.DUMMYFUNCTION("""COMPUTED_VALUE"""),"Escritura de Archivos")</f>
        <v>Escritura de Archivos</v>
      </c>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59" t="s">
        <v>214</v>
      </c>
      <c r="D39" s="20" t="s">
        <v>215</v>
      </c>
      <c r="E39" s="17"/>
      <c r="F39" s="17"/>
      <c r="G39" s="17"/>
      <c r="H39" s="18"/>
    </row>
    <row r="40" ht="15.75" customHeight="1">
      <c r="A40" s="19" t="s">
        <v>184</v>
      </c>
      <c r="B40" s="19" t="s">
        <v>183</v>
      </c>
      <c r="C40" s="59" t="s">
        <v>216</v>
      </c>
      <c r="D40" s="20" t="s">
        <v>217</v>
      </c>
      <c r="E40" s="17"/>
      <c r="F40" s="17"/>
      <c r="G40" s="17"/>
      <c r="H40" s="18"/>
    </row>
    <row r="41" ht="15.75" customHeight="1">
      <c r="A41" s="19" t="s">
        <v>186</v>
      </c>
      <c r="B41" s="19" t="s">
        <v>187</v>
      </c>
      <c r="C41" s="59" t="s">
        <v>218</v>
      </c>
      <c r="D41" s="20" t="s">
        <v>219</v>
      </c>
      <c r="E41" s="17"/>
      <c r="F41" s="17"/>
      <c r="G41" s="17"/>
      <c r="H41" s="18"/>
    </row>
    <row r="42" ht="15.75" customHeight="1">
      <c r="A42" s="19" t="s">
        <v>188</v>
      </c>
      <c r="B42" s="19" t="s">
        <v>183</v>
      </c>
      <c r="C42" s="59"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c r="A47" s="29" t="s">
        <v>192</v>
      </c>
      <c r="B47" s="53" t="s">
        <v>33</v>
      </c>
      <c r="C47" s="17"/>
      <c r="D47" s="17"/>
      <c r="E47" s="17"/>
      <c r="F47" s="17"/>
      <c r="G47" s="17"/>
      <c r="H47" s="18"/>
    </row>
    <row r="48" ht="15.75" customHeight="1">
      <c r="A48" s="29" t="s">
        <v>193</v>
      </c>
      <c r="B48" s="20" t="s">
        <v>194</v>
      </c>
      <c r="C48" s="17"/>
      <c r="D48" s="17"/>
      <c r="E48" s="17"/>
      <c r="F48" s="17"/>
      <c r="G48" s="17"/>
      <c r="H48" s="18"/>
    </row>
    <row r="49" ht="15.75" customHeight="1">
      <c r="A49" s="29" t="s">
        <v>160</v>
      </c>
      <c r="B49" s="66">
        <v>2.0</v>
      </c>
      <c r="C49" s="17"/>
      <c r="D49" s="17"/>
      <c r="E49" s="17"/>
      <c r="F49" s="17"/>
      <c r="G49" s="17"/>
      <c r="H49" s="18"/>
    </row>
    <row r="50" ht="15.75" customHeight="1">
      <c r="A50" s="29" t="s">
        <v>120</v>
      </c>
      <c r="B50" s="20" t="s">
        <v>215</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0" t="s">
        <v>220</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65"/>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v>2.0</v>
      </c>
    </row>
    <row r="69" ht="15.75" customHeight="1">
      <c r="G69" s="24" t="s">
        <v>201</v>
      </c>
    </row>
    <row r="70" ht="15.75" customHeight="1">
      <c r="A70" s="29" t="s">
        <v>120</v>
      </c>
      <c r="B70" s="66" t="s">
        <v>211</v>
      </c>
      <c r="C70" s="17"/>
      <c r="D70" s="17"/>
      <c r="E70" s="17"/>
      <c r="F70" s="17"/>
      <c r="G70" s="17"/>
      <c r="H70" s="18"/>
    </row>
    <row r="71" ht="15.75" customHeight="1">
      <c r="A71" s="58" t="s">
        <v>202</v>
      </c>
      <c r="B71" s="17"/>
      <c r="C71" s="17"/>
      <c r="D71" s="17"/>
      <c r="E71" s="17"/>
      <c r="F71" s="17"/>
      <c r="G71" s="17"/>
      <c r="H71" s="18"/>
    </row>
    <row r="72" ht="15.75" customHeight="1">
      <c r="A72" s="65"/>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5.0</v>
      </c>
      <c r="D5" s="17"/>
      <c r="E5" s="17"/>
      <c r="F5" s="17"/>
      <c r="G5" s="18"/>
    </row>
    <row r="6" ht="15.75" customHeight="1">
      <c r="B6" s="43" t="s">
        <v>118</v>
      </c>
      <c r="C6" s="16">
        <f>H10+H21+H44+H68</f>
        <v>104</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2.0</v>
      </c>
    </row>
    <row r="11" ht="15.75" customHeight="1">
      <c r="G11" s="24" t="s">
        <v>163</v>
      </c>
    </row>
    <row r="12" ht="15.75" customHeight="1">
      <c r="A12" s="29" t="s">
        <v>164</v>
      </c>
      <c r="B12" s="20" t="s">
        <v>221</v>
      </c>
      <c r="C12" s="17"/>
      <c r="D12" s="17"/>
      <c r="E12" s="17"/>
      <c r="F12" s="17"/>
      <c r="G12" s="17"/>
      <c r="H12" s="18"/>
    </row>
    <row r="13" ht="15.75" customHeight="1">
      <c r="A13" s="30" t="s">
        <v>120</v>
      </c>
      <c r="B13" s="20" t="s">
        <v>211</v>
      </c>
      <c r="C13" s="17"/>
      <c r="D13" s="17"/>
      <c r="E13" s="17"/>
      <c r="F13" s="17"/>
      <c r="G13" s="17"/>
      <c r="H13" s="18"/>
    </row>
    <row r="14" ht="15.75" customHeight="1">
      <c r="A14" s="46" t="s">
        <v>166</v>
      </c>
      <c r="B14" s="17"/>
      <c r="C14" s="17"/>
      <c r="D14" s="17"/>
      <c r="E14" s="17"/>
      <c r="F14" s="17"/>
      <c r="G14" s="17"/>
      <c r="H14" s="18"/>
    </row>
    <row r="15" ht="15.75" customHeight="1">
      <c r="A15" s="69" t="s">
        <v>222</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9" t="s">
        <v>223</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c r="A23" s="29" t="s">
        <v>172</v>
      </c>
      <c r="B23" s="53" t="s">
        <v>12</v>
      </c>
      <c r="C23" s="17"/>
      <c r="D23" s="17"/>
      <c r="E23" s="17"/>
      <c r="F23" s="17"/>
      <c r="G23" s="17"/>
      <c r="H23" s="18"/>
    </row>
    <row r="24">
      <c r="A24" s="29" t="s">
        <v>172</v>
      </c>
      <c r="B24" s="53" t="s">
        <v>33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Formales")</f>
        <v>Lenguajes Formales</v>
      </c>
      <c r="C28" s="18"/>
      <c r="D28" s="16" t="str">
        <f>IFERROR(__xludf.DUMMYFUNCTION("FILTER('Diseño'!E:E,'Diseño'!H:H=$C$5)"),"Lenguajes")</f>
        <v>Lenguajes</v>
      </c>
      <c r="E28" s="18"/>
      <c r="F28" s="16" t="str">
        <f>IFERROR(__xludf.DUMMYFUNCTION("FILTER('Diseño'!F:F,'Diseño'!H:H=$C$5)"),"Lenguajes Natural")</f>
        <v>Lenguajes Natural</v>
      </c>
      <c r="G28" s="17"/>
      <c r="H28" s="18"/>
    </row>
    <row r="29" ht="15.75" customHeight="1">
      <c r="A29" s="19">
        <v>2.0</v>
      </c>
      <c r="B29" s="16" t="str">
        <f>IFERROR(__xludf.DUMMYFUNCTION("""COMPUTED_VALUE"""),"Lenguajes Formales")</f>
        <v>Lenguajes Formales</v>
      </c>
      <c r="C29" s="18"/>
      <c r="D29" s="16" t="str">
        <f>IFERROR(__xludf.DUMMYFUNCTION("""COMPUTED_VALUE"""),"Lenguajes")</f>
        <v>Lenguajes</v>
      </c>
      <c r="E29" s="18"/>
      <c r="F29" s="16" t="str">
        <f>IFERROR(__xludf.DUMMYFUNCTION("""COMPUTED_VALUE"""),"Lenguajes Formales")</f>
        <v>Lenguajes Formales</v>
      </c>
      <c r="G29" s="17"/>
      <c r="H29" s="18"/>
    </row>
    <row r="30" ht="15.75" customHeight="1">
      <c r="A30" s="19">
        <v>3.0</v>
      </c>
      <c r="B30" s="16" t="str">
        <f>IFERROR(__xludf.DUMMYFUNCTION("""COMPUTED_VALUE"""),"Lenguajes Formales")</f>
        <v>Lenguajes Formales</v>
      </c>
      <c r="C30" s="18"/>
      <c r="D30" s="16" t="str">
        <f>IFERROR(__xludf.DUMMYFUNCTION("""COMPUTED_VALUE"""),"Lenguajes")</f>
        <v>Lenguajes</v>
      </c>
      <c r="E30" s="18"/>
      <c r="F30" s="16" t="str">
        <f>IFERROR(__xludf.DUMMYFUNCTION("""COMPUTED_VALUE"""),"Lenguajes de Programacion")</f>
        <v>Lenguajes de Programacion</v>
      </c>
      <c r="G30" s="17"/>
      <c r="H30" s="18"/>
    </row>
    <row r="31" ht="15.75" customHeight="1">
      <c r="A31" s="19">
        <v>4.0</v>
      </c>
      <c r="B31" s="16" t="str">
        <f>IFERROR(__xludf.DUMMYFUNCTION("""COMPUTED_VALUE"""),"Lenguajes Formales")</f>
        <v>Lenguajes Formales</v>
      </c>
      <c r="C31" s="18"/>
      <c r="D31" s="16" t="str">
        <f>IFERROR(__xludf.DUMMYFUNCTION("""COMPUTED_VALUE"""),"Lenguajes")</f>
        <v>Lenguajes</v>
      </c>
      <c r="E31" s="18"/>
      <c r="F31" s="16" t="str">
        <f>IFERROR(__xludf.DUMMYFUNCTION("""COMPUTED_VALUE"""),"Evolucion de los Lenguajes de Programacion")</f>
        <v>Evolucion de los Lenguajes de Programacion</v>
      </c>
      <c r="G31" s="17"/>
      <c r="H31" s="18"/>
    </row>
    <row r="32" ht="15.75" customHeight="1">
      <c r="A32" s="19">
        <v>5.0</v>
      </c>
      <c r="B32" s="16" t="str">
        <f>IFERROR(__xludf.DUMMYFUNCTION("""COMPUTED_VALUE"""),"Lenguajes Formales")</f>
        <v>Lenguajes Formales</v>
      </c>
      <c r="C32" s="18"/>
      <c r="D32" s="16" t="str">
        <f>IFERROR(__xludf.DUMMYFUNCTION("""COMPUTED_VALUE"""),"Lenguajes")</f>
        <v>Lenguajes</v>
      </c>
      <c r="E32" s="18"/>
      <c r="F32" s="16" t="str">
        <f>IFERROR(__xludf.DUMMYFUNCTION("""COMPUTED_VALUE"""),"Paradigmas")</f>
        <v>Paradigmas</v>
      </c>
      <c r="G32" s="17"/>
      <c r="H32" s="18"/>
    </row>
    <row r="33" ht="15.75" customHeight="1">
      <c r="A33" s="19">
        <v>6.0</v>
      </c>
      <c r="B33" s="16" t="str">
        <f>IFERROR(__xludf.DUMMYFUNCTION("""COMPUTED_VALUE"""),"Lenguajes Formales")</f>
        <v>Lenguajes Formales</v>
      </c>
      <c r="C33" s="18"/>
      <c r="D33" s="16" t="str">
        <f>IFERROR(__xludf.DUMMYFUNCTION("""COMPUTED_VALUE"""),"Lenguajes")</f>
        <v>Lenguajes</v>
      </c>
      <c r="E33" s="18"/>
      <c r="F33" s="16" t="str">
        <f>IFERROR(__xludf.DUMMYFUNCTION("""COMPUTED_VALUE"""),"Generaciones de lenguajes de programación")</f>
        <v>Generaciones de lenguajes de programación</v>
      </c>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59" t="s">
        <v>224</v>
      </c>
      <c r="D39" s="20" t="s">
        <v>215</v>
      </c>
      <c r="E39" s="17"/>
      <c r="F39" s="17"/>
      <c r="G39" s="17"/>
      <c r="H39" s="18"/>
    </row>
    <row r="40" ht="15.75" customHeight="1">
      <c r="A40" s="19" t="s">
        <v>184</v>
      </c>
      <c r="B40" s="19" t="s">
        <v>183</v>
      </c>
      <c r="C40" s="59" t="s">
        <v>216</v>
      </c>
      <c r="D40" s="20" t="s">
        <v>217</v>
      </c>
      <c r="E40" s="17"/>
      <c r="F40" s="17"/>
      <c r="G40" s="17"/>
      <c r="H40" s="18"/>
    </row>
    <row r="41" ht="15.75" customHeight="1">
      <c r="A41" s="19" t="s">
        <v>186</v>
      </c>
      <c r="B41" s="19" t="s">
        <v>187</v>
      </c>
      <c r="C41" s="59" t="s">
        <v>218</v>
      </c>
      <c r="D41" s="20" t="s">
        <v>219</v>
      </c>
      <c r="E41" s="17"/>
      <c r="F41" s="17"/>
      <c r="G41" s="17"/>
      <c r="H41" s="18"/>
    </row>
    <row r="42" ht="15.75" customHeight="1">
      <c r="A42" s="19" t="s">
        <v>188</v>
      </c>
      <c r="B42" s="19" t="s">
        <v>183</v>
      </c>
      <c r="C42" s="59"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ht="15.75" customHeight="1">
      <c r="A47" s="29" t="s">
        <v>192</v>
      </c>
      <c r="B47" s="20" t="s">
        <v>12</v>
      </c>
      <c r="C47" s="17"/>
      <c r="D47" s="17"/>
      <c r="E47" s="17"/>
      <c r="F47" s="17"/>
      <c r="G47" s="17"/>
      <c r="H47" s="18"/>
    </row>
    <row r="48" ht="15.75" customHeight="1">
      <c r="A48" s="29" t="s">
        <v>193</v>
      </c>
      <c r="B48" s="16" t="s">
        <v>208</v>
      </c>
      <c r="C48" s="17"/>
      <c r="D48" s="17"/>
      <c r="E48" s="17"/>
      <c r="F48" s="17"/>
      <c r="G48" s="17"/>
      <c r="H48" s="18"/>
    </row>
    <row r="49" ht="15.75" customHeight="1">
      <c r="A49" s="29" t="s">
        <v>160</v>
      </c>
      <c r="B49" s="60">
        <v>0.0</v>
      </c>
      <c r="C49" s="17"/>
      <c r="D49" s="17"/>
      <c r="E49" s="17"/>
      <c r="F49" s="17"/>
      <c r="G49" s="17"/>
      <c r="H49" s="18"/>
    </row>
    <row r="50" ht="15.75" customHeight="1">
      <c r="A50" s="29" t="s">
        <v>120</v>
      </c>
      <c r="B50" s="20" t="s">
        <v>215</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0" t="s">
        <v>225</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71"/>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v>2.0</v>
      </c>
    </row>
    <row r="69" ht="15.75" customHeight="1">
      <c r="G69" s="24" t="s">
        <v>201</v>
      </c>
    </row>
    <row r="70" ht="15.75" customHeight="1">
      <c r="A70" s="29" t="s">
        <v>120</v>
      </c>
      <c r="B70" s="66" t="s">
        <v>211</v>
      </c>
      <c r="C70" s="17"/>
      <c r="D70" s="17"/>
      <c r="E70" s="17"/>
      <c r="F70" s="17"/>
      <c r="G70" s="17"/>
      <c r="H70" s="18"/>
    </row>
    <row r="71" ht="15.75" customHeight="1">
      <c r="A71" s="58" t="s">
        <v>202</v>
      </c>
      <c r="B71" s="17"/>
      <c r="C71" s="17"/>
      <c r="D71" s="17"/>
      <c r="E71" s="17"/>
      <c r="F71" s="17"/>
      <c r="G71" s="17"/>
      <c r="H71" s="18"/>
    </row>
    <row r="72" ht="15.75" customHeight="1">
      <c r="A72" s="71"/>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6.0</v>
      </c>
      <c r="D5" s="17"/>
      <c r="E5" s="17"/>
      <c r="F5" s="17"/>
      <c r="G5" s="18"/>
    </row>
    <row r="6" ht="15.75" customHeight="1">
      <c r="B6" s="43" t="s">
        <v>118</v>
      </c>
      <c r="C6" s="16">
        <f>H10+H21+H44+H68</f>
        <v>104</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2.0</v>
      </c>
    </row>
    <row r="11" ht="15.75" customHeight="1">
      <c r="G11" s="24" t="s">
        <v>163</v>
      </c>
    </row>
    <row r="12" ht="15.75" customHeight="1">
      <c r="A12" s="29" t="s">
        <v>164</v>
      </c>
      <c r="B12" s="20" t="s">
        <v>226</v>
      </c>
      <c r="C12" s="17"/>
      <c r="D12" s="17"/>
      <c r="E12" s="17"/>
      <c r="F12" s="17"/>
      <c r="G12" s="17"/>
      <c r="H12" s="18"/>
    </row>
    <row r="13" ht="15.75" customHeight="1">
      <c r="A13" s="30" t="s">
        <v>120</v>
      </c>
      <c r="B13" s="20" t="s">
        <v>211</v>
      </c>
      <c r="C13" s="17"/>
      <c r="D13" s="17"/>
      <c r="E13" s="17"/>
      <c r="F13" s="17"/>
      <c r="G13" s="17"/>
      <c r="H13" s="18"/>
    </row>
    <row r="14" ht="15.75" customHeight="1">
      <c r="A14" s="46" t="s">
        <v>166</v>
      </c>
      <c r="B14" s="17"/>
      <c r="C14" s="17"/>
      <c r="D14" s="17"/>
      <c r="E14" s="17"/>
      <c r="F14" s="17"/>
      <c r="G14" s="17"/>
      <c r="H14" s="18"/>
    </row>
    <row r="15" ht="15.75" customHeight="1">
      <c r="A15" s="69" t="s">
        <v>227</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9" t="s">
        <v>228</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c r="A23" s="29" t="s">
        <v>172</v>
      </c>
      <c r="B23" s="72" t="s">
        <v>12</v>
      </c>
      <c r="C23" s="17"/>
      <c r="D23" s="17"/>
      <c r="E23" s="17"/>
      <c r="F23" s="17"/>
      <c r="G23" s="17"/>
      <c r="H23" s="18"/>
    </row>
    <row r="24">
      <c r="A24" s="29" t="s">
        <v>172</v>
      </c>
      <c r="B24" s="72" t="s">
        <v>48</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Formales")</f>
        <v>Lenguajes Formales</v>
      </c>
      <c r="C28" s="18"/>
      <c r="D28" s="16" t="str">
        <f>IFERROR(__xludf.DUMMYFUNCTION("FILTER('Diseño'!E:E,'Diseño'!H:H=$C$5)"),"Procesadores de Lenguaje")</f>
        <v>Procesadores de Lenguaje</v>
      </c>
      <c r="E28" s="18"/>
      <c r="F28" s="16" t="str">
        <f>IFERROR(__xludf.DUMMYFUNCTION("FILTER('Diseño'!F:F,'Diseño'!H:H=$C$5)"),"Interprete")</f>
        <v>Interprete</v>
      </c>
      <c r="G28" s="17"/>
      <c r="H28" s="18"/>
    </row>
    <row r="29" ht="15.75" customHeight="1">
      <c r="A29" s="19">
        <v>2.0</v>
      </c>
      <c r="B29" s="16" t="str">
        <f>IFERROR(__xludf.DUMMYFUNCTION("""COMPUTED_VALUE"""),"Lenguajes Formales")</f>
        <v>Lenguajes Formales</v>
      </c>
      <c r="C29" s="18"/>
      <c r="D29" s="16" t="str">
        <f>IFERROR(__xludf.DUMMYFUNCTION("""COMPUTED_VALUE"""),"Procesadores de Lenguaje")</f>
        <v>Procesadores de Lenguaje</v>
      </c>
      <c r="E29" s="18"/>
      <c r="F29" s="16" t="str">
        <f>IFERROR(__xludf.DUMMYFUNCTION("""COMPUTED_VALUE"""),"Compilador")</f>
        <v>Compilador</v>
      </c>
      <c r="G29" s="17"/>
      <c r="H29" s="18"/>
    </row>
    <row r="30" ht="15.75" customHeight="1">
      <c r="A30" s="19">
        <v>3.0</v>
      </c>
      <c r="B30" s="16" t="str">
        <f>IFERROR(__xludf.DUMMYFUNCTION("""COMPUTED_VALUE"""),"Lenguajes Formales")</f>
        <v>Lenguajes Formales</v>
      </c>
      <c r="C30" s="18"/>
      <c r="D30" s="16" t="str">
        <f>IFERROR(__xludf.DUMMYFUNCTION("""COMPUTED_VALUE"""),"Procesadores de Lenguaje")</f>
        <v>Procesadores de Lenguaje</v>
      </c>
      <c r="E30" s="18"/>
      <c r="F30" s="16" t="str">
        <f>IFERROR(__xludf.DUMMYFUNCTION("""COMPUTED_VALUE"""),"Estructura de un compilador")</f>
        <v>Estructura de un compilador</v>
      </c>
      <c r="G30" s="17"/>
      <c r="H30" s="18"/>
    </row>
    <row r="31" ht="15.75" customHeight="1">
      <c r="A31" s="19">
        <v>4.0</v>
      </c>
      <c r="B31" s="16" t="str">
        <f>IFERROR(__xludf.DUMMYFUNCTION("""COMPUTED_VALUE"""),"Lenguajes Formales")</f>
        <v>Lenguajes Formales</v>
      </c>
      <c r="C31" s="18"/>
      <c r="D31" s="16" t="str">
        <f>IFERROR(__xludf.DUMMYFUNCTION("""COMPUTED_VALUE"""),"Procesadores de Lenguaje")</f>
        <v>Procesadores de Lenguaje</v>
      </c>
      <c r="E31" s="18"/>
      <c r="F31" s="16" t="str">
        <f>IFERROR(__xludf.DUMMYFUNCTION("""COMPUTED_VALUE"""),"Diferencias y Ejemplos")</f>
        <v>Diferencias y Ejemplos</v>
      </c>
      <c r="G31" s="17"/>
      <c r="H31" s="18"/>
    </row>
    <row r="32" ht="15.75" customHeight="1">
      <c r="A32" s="19">
        <v>5.0</v>
      </c>
      <c r="B32" s="16" t="str">
        <f>IFERROR(__xludf.DUMMYFUNCTION("""COMPUTED_VALUE"""),"Lenguajes Formales")</f>
        <v>Lenguajes Formales</v>
      </c>
      <c r="C32" s="18"/>
      <c r="D32" s="16" t="str">
        <f>IFERROR(__xludf.DUMMYFUNCTION("""COMPUTED_VALUE"""),"Procesadores de Lenguaje")</f>
        <v>Procesadores de Lenguaje</v>
      </c>
      <c r="E32" s="18"/>
      <c r="F32" s="16" t="str">
        <f>IFERROR(__xludf.DUMMYFUNCTION("""COMPUTED_VALUE"""),"Herramientas")</f>
        <v>Herramientas</v>
      </c>
      <c r="G32" s="17"/>
      <c r="H32" s="18"/>
    </row>
    <row r="33" ht="15.75" customHeight="1">
      <c r="A33" s="19">
        <v>6.0</v>
      </c>
      <c r="B33" s="16" t="str">
        <f>IFERROR(__xludf.DUMMYFUNCTION("""COMPUTED_VALUE"""),"Lenguajes Formales")</f>
        <v>Lenguajes Formales</v>
      </c>
      <c r="C33" s="18"/>
      <c r="D33" s="16" t="str">
        <f>IFERROR(__xludf.DUMMYFUNCTION("""COMPUTED_VALUE"""),"Procesadores de Lenguaje")</f>
        <v>Procesadores de Lenguaje</v>
      </c>
      <c r="E33" s="18"/>
      <c r="F33" s="16" t="str">
        <f>IFERROR(__xludf.DUMMYFUNCTION("""COMPUTED_VALUE"""),"Jerarquia de Chosmky")</f>
        <v>Jerarquia de Chosmky</v>
      </c>
      <c r="G33" s="17"/>
      <c r="H33" s="18"/>
    </row>
    <row r="34" ht="15.75" customHeight="1">
      <c r="A34" s="19">
        <v>7.0</v>
      </c>
      <c r="B34" s="16" t="str">
        <f>IFERROR(__xludf.DUMMYFUNCTION("""COMPUTED_VALUE"""),"Lenguajes Formales")</f>
        <v>Lenguajes Formales</v>
      </c>
      <c r="C34" s="18"/>
      <c r="D34" s="16" t="str">
        <f>IFERROR(__xludf.DUMMYFUNCTION("""COMPUTED_VALUE"""),"Procesadores de Lenguaje")</f>
        <v>Procesadores de Lenguaje</v>
      </c>
      <c r="E34" s="18"/>
      <c r="F34" s="16" t="str">
        <f>IFERROR(__xludf.DUMMYFUNCTION("""COMPUTED_VALUE"""),"Clasificacion de Gramaticas")</f>
        <v>Clasificacion de Gramaticas</v>
      </c>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59" t="s">
        <v>224</v>
      </c>
      <c r="D39" s="20" t="s">
        <v>215</v>
      </c>
      <c r="E39" s="17"/>
      <c r="F39" s="17"/>
      <c r="G39" s="17"/>
      <c r="H39" s="18"/>
    </row>
    <row r="40" ht="15.75" customHeight="1">
      <c r="A40" s="19" t="s">
        <v>184</v>
      </c>
      <c r="B40" s="19" t="s">
        <v>183</v>
      </c>
      <c r="C40" s="59" t="s">
        <v>216</v>
      </c>
      <c r="D40" s="20" t="s">
        <v>217</v>
      </c>
      <c r="E40" s="17"/>
      <c r="F40" s="17"/>
      <c r="G40" s="17"/>
      <c r="H40" s="18"/>
    </row>
    <row r="41" ht="15.75" customHeight="1">
      <c r="A41" s="19" t="s">
        <v>186</v>
      </c>
      <c r="B41" s="19" t="s">
        <v>187</v>
      </c>
      <c r="C41" s="59" t="s">
        <v>218</v>
      </c>
      <c r="D41" s="20" t="s">
        <v>219</v>
      </c>
      <c r="E41" s="17"/>
      <c r="F41" s="17"/>
      <c r="G41" s="17"/>
      <c r="H41" s="18"/>
    </row>
    <row r="42" ht="15.75" customHeight="1">
      <c r="A42" s="19" t="s">
        <v>188</v>
      </c>
      <c r="B42" s="19" t="s">
        <v>183</v>
      </c>
      <c r="C42" s="59"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c r="A47" s="29" t="s">
        <v>192</v>
      </c>
      <c r="B47" s="53" t="s">
        <v>48</v>
      </c>
      <c r="C47" s="17"/>
      <c r="D47" s="17"/>
      <c r="E47" s="17"/>
      <c r="F47" s="17"/>
      <c r="G47" s="17"/>
      <c r="H47" s="18"/>
    </row>
    <row r="48" ht="15.75" customHeight="1">
      <c r="A48" s="29" t="s">
        <v>193</v>
      </c>
      <c r="B48" s="20" t="s">
        <v>229</v>
      </c>
      <c r="C48" s="17"/>
      <c r="D48" s="17"/>
      <c r="E48" s="17"/>
      <c r="F48" s="17"/>
      <c r="G48" s="17"/>
      <c r="H48" s="18"/>
    </row>
    <row r="49" ht="15.75" customHeight="1">
      <c r="A49" s="29" t="s">
        <v>160</v>
      </c>
      <c r="B49" s="66">
        <v>0.0</v>
      </c>
      <c r="C49" s="17"/>
      <c r="D49" s="17"/>
      <c r="E49" s="17"/>
      <c r="F49" s="17"/>
      <c r="G49" s="17"/>
      <c r="H49" s="18"/>
    </row>
    <row r="50" ht="15.75" customHeight="1">
      <c r="A50" s="29" t="s">
        <v>120</v>
      </c>
      <c r="B50" s="20" t="s">
        <v>215</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69" t="s">
        <v>230</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c r="A58" s="29" t="s">
        <v>192</v>
      </c>
      <c r="B58" s="73"/>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74"/>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v>2.0</v>
      </c>
    </row>
    <row r="69" ht="15.75" customHeight="1">
      <c r="G69" s="24" t="s">
        <v>201</v>
      </c>
    </row>
    <row r="70" ht="15.75" customHeight="1">
      <c r="A70" s="29" t="s">
        <v>120</v>
      </c>
      <c r="B70" s="66" t="s">
        <v>211</v>
      </c>
      <c r="C70" s="17"/>
      <c r="D70" s="17"/>
      <c r="E70" s="17"/>
      <c r="F70" s="17"/>
      <c r="G70" s="17"/>
      <c r="H70" s="18"/>
    </row>
    <row r="71" ht="15.75" customHeight="1">
      <c r="A71" s="58" t="s">
        <v>202</v>
      </c>
      <c r="B71" s="17"/>
      <c r="C71" s="17"/>
      <c r="D71" s="17"/>
      <c r="E71" s="17"/>
      <c r="F71" s="17"/>
      <c r="G71" s="17"/>
      <c r="H71" s="18"/>
    </row>
    <row r="72" ht="15.75" customHeight="1">
      <c r="A72" s="74"/>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0.0"/>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7.0</v>
      </c>
      <c r="D5" s="17"/>
      <c r="E5" s="17"/>
      <c r="F5" s="17"/>
      <c r="G5" s="18"/>
    </row>
    <row r="6" ht="15.75" customHeight="1">
      <c r="B6" s="43" t="s">
        <v>118</v>
      </c>
      <c r="C6" s="16">
        <f>H10+H21+H50+H74</f>
        <v>105</v>
      </c>
      <c r="D6" s="17"/>
      <c r="E6" s="17"/>
      <c r="F6" s="17"/>
      <c r="G6" s="18"/>
      <c r="I6" s="5"/>
    </row>
    <row r="7" ht="15.75" customHeight="1">
      <c r="B7" s="43" t="s">
        <v>160</v>
      </c>
      <c r="C7" s="16">
        <f>B55+B66</f>
        <v>2</v>
      </c>
      <c r="D7" s="17"/>
      <c r="E7" s="17"/>
      <c r="F7" s="17"/>
      <c r="G7" s="18"/>
    </row>
    <row r="8" ht="15.75" customHeight="1">
      <c r="B8" s="43" t="s">
        <v>161</v>
      </c>
      <c r="C8" s="16" t="str">
        <f>IF(H50&lt;=0, "❌ ERROR: La Actividad 1 debe tener un tiempo mayor a 0.", IF(H21&gt;60, "❌ ERROR: El 'Área de Conocimiento' no puede exceder los 60 min.", IF((H10+H21+H50)&lt;100,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231</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5" t="s">
        <v>232</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5" t="s">
        <v>233</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33</v>
      </c>
      <c r="C23" s="17"/>
      <c r="D23" s="17"/>
      <c r="E23" s="17"/>
      <c r="F23" s="17"/>
      <c r="G23" s="17"/>
      <c r="H23" s="18"/>
    </row>
    <row r="24" ht="15.75" customHeight="1">
      <c r="A24" s="29" t="s">
        <v>172</v>
      </c>
      <c r="B24" s="20" t="s">
        <v>48</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IFERROR(__xludf.DUMMYFUNCTION("FILTER('Diseño'!E:E,'Diseño'!H:H=$C$5)"),"Definicion y Funcion del analizador lexico")</f>
        <v>Definicion y Funcion del analizador lexico</v>
      </c>
      <c r="E28" s="18"/>
      <c r="F28" s="16" t="str">
        <f>IFERROR(__xludf.DUMMYFUNCTION("FILTER('Diseño'!F:F,'Diseño'!H:H=$C$5)"),"Patrones")</f>
        <v>Patrones</v>
      </c>
      <c r="G28" s="17"/>
      <c r="H28" s="18"/>
    </row>
    <row r="29" ht="15.75" customHeight="1">
      <c r="A29" s="19">
        <v>2.0</v>
      </c>
      <c r="B29" s="16" t="str">
        <f>IFERROR(__xludf.DUMMYFUNCTION("""COMPUTED_VALUE"""),"Analisis Lexico")</f>
        <v>Analisis Lexico</v>
      </c>
      <c r="C29" s="18"/>
      <c r="D29" s="16" t="str">
        <f>IFERROR(__xludf.DUMMYFUNCTION("""COMPUTED_VALUE"""),"Definicion y Funcion del analizador lexico")</f>
        <v>Definicion y Funcion del analizador lexico</v>
      </c>
      <c r="E29" s="18"/>
      <c r="F29" s="16" t="str">
        <f>IFERROR(__xludf.DUMMYFUNCTION("""COMPUTED_VALUE"""),"Tokens")</f>
        <v>Tokens</v>
      </c>
      <c r="G29" s="17"/>
      <c r="H29" s="18"/>
    </row>
    <row r="30" ht="15.75" customHeight="1">
      <c r="A30" s="19">
        <v>3.0</v>
      </c>
      <c r="B30" s="16" t="str">
        <f>IFERROR(__xludf.DUMMYFUNCTION("""COMPUTED_VALUE"""),"Analisis Lexico")</f>
        <v>Analisis Lexico</v>
      </c>
      <c r="C30" s="18"/>
      <c r="D30" s="16" t="str">
        <f>IFERROR(__xludf.DUMMYFUNCTION("""COMPUTED_VALUE"""),"Definicion y Funcion del analizador lexico")</f>
        <v>Definicion y Funcion del analizador lexico</v>
      </c>
      <c r="E30" s="18"/>
      <c r="F30" s="16" t="str">
        <f>IFERROR(__xludf.DUMMYFUNCTION("""COMPUTED_VALUE"""),"Lexemas")</f>
        <v>Lexemas</v>
      </c>
      <c r="G30" s="17"/>
      <c r="H30" s="18"/>
    </row>
    <row r="31" ht="15.75" customHeight="1">
      <c r="A31" s="19">
        <v>4.0</v>
      </c>
      <c r="B31" s="16" t="str">
        <f>IFERROR(__xludf.DUMMYFUNCTION("""COMPUTED_VALUE"""),"Analisis Lexico")</f>
        <v>Analisis Lexico</v>
      </c>
      <c r="C31" s="18"/>
      <c r="D31" s="16" t="str">
        <f>IFERROR(__xludf.DUMMYFUNCTION("""COMPUTED_VALUE"""),"Definicion y Funcion del analizador lexico")</f>
        <v>Definicion y Funcion del analizador lexico</v>
      </c>
      <c r="E31" s="18"/>
      <c r="F31" s="16" t="str">
        <f>IFERROR(__xludf.DUMMYFUNCTION("""COMPUTED_VALUE"""),"Errores Lexicos")</f>
        <v>Errores Lexicos</v>
      </c>
      <c r="G31" s="17"/>
      <c r="H31" s="18"/>
    </row>
    <row r="32" ht="15.75" customHeight="1">
      <c r="A32" s="19">
        <v>5.0</v>
      </c>
      <c r="B32" s="16" t="str">
        <f>IFERROR(__xludf.DUMMYFUNCTION("""COMPUTED_VALUE"""),"Analisis Lexico")</f>
        <v>Analisis Lexico</v>
      </c>
      <c r="C32" s="18"/>
      <c r="D32" s="16" t="str">
        <f>IFERROR(__xludf.DUMMYFUNCTION("""COMPUTED_VALUE"""),"Definicion y Funcion del analizador lexico")</f>
        <v>Definicion y Funcion del analizador lexico</v>
      </c>
      <c r="E32" s="18"/>
      <c r="F32" s="16" t="str">
        <f>IFERROR(__xludf.DUMMYFUNCTION("""COMPUTED_VALUE"""),"Ejemplos de tokens en diferentes lenguajes")</f>
        <v>Ejemplos de tokens en diferentes lenguajes</v>
      </c>
      <c r="G32" s="17"/>
      <c r="H32" s="18"/>
    </row>
    <row r="33" ht="15.75" customHeight="1">
      <c r="A33" s="19">
        <v>6.0</v>
      </c>
      <c r="B33" s="16" t="str">
        <f>IFERROR(__xludf.DUMMYFUNCTION("""COMPUTED_VALUE"""),"Analisis Lexico")</f>
        <v>Analisis Lexico</v>
      </c>
      <c r="C33" s="18"/>
      <c r="D33" s="16" t="str">
        <f>IFERROR(__xludf.DUMMYFUNCTION("""COMPUTED_VALUE"""),"Operaciones Entre Lenguajes y Expresiones regulares")</f>
        <v>Operaciones Entre Lenguajes y Expresiones regulares</v>
      </c>
      <c r="E33" s="18"/>
      <c r="F33" s="16" t="str">
        <f>IFERROR(__xludf.DUMMYFUNCTION("""COMPUTED_VALUE"""),"Interoperabilidad entre Lenguajes")</f>
        <v>Interoperabilidad entre Lenguajes</v>
      </c>
      <c r="G33" s="17"/>
      <c r="H33" s="18"/>
    </row>
    <row r="34" ht="15.75" customHeight="1">
      <c r="A34" s="19">
        <v>7.0</v>
      </c>
      <c r="B34" s="16" t="str">
        <f>IFERROR(__xludf.DUMMYFUNCTION("""COMPUTED_VALUE"""),"Analisis Lexico")</f>
        <v>Analisis Lexico</v>
      </c>
      <c r="C34" s="18"/>
      <c r="D34" s="16" t="str">
        <f>IFERROR(__xludf.DUMMYFUNCTION("""COMPUTED_VALUE"""),"Operaciones Entre Lenguajes y Expresiones regulares")</f>
        <v>Operaciones Entre Lenguajes y Expresiones regulares</v>
      </c>
      <c r="E34" s="18"/>
      <c r="F34" s="16" t="str">
        <f>IFERROR(__xludf.DUMMYFUNCTION("""COMPUTED_VALUE"""),"Concepto de interoperabilidad")</f>
        <v>Concepto de interoperabilidad</v>
      </c>
      <c r="G34" s="17"/>
      <c r="H34" s="18"/>
    </row>
    <row r="35" ht="15.75" customHeight="1">
      <c r="A35" s="19">
        <v>8.0</v>
      </c>
      <c r="B35" s="16" t="str">
        <f>IFERROR(__xludf.DUMMYFUNCTION("""COMPUTED_VALUE"""),"Analisis Lexico")</f>
        <v>Analisis Lexico</v>
      </c>
      <c r="C35" s="18"/>
      <c r="D35" s="16" t="str">
        <f>IFERROR(__xludf.DUMMYFUNCTION("""COMPUTED_VALUE"""),"Operaciones Entre Lenguajes y Expresiones regulares")</f>
        <v>Operaciones Entre Lenguajes y Expresiones regulares</v>
      </c>
      <c r="E35" s="18"/>
      <c r="F35" s="16" t="str">
        <f>IFERROR(__xludf.DUMMYFUNCTION("""COMPUTED_VALUE"""),"Traducción y Compilación:Proceso de traducción de un lenguaje a otro")</f>
        <v>Traducción y Compilación:Proceso de traducción de un lenguaje a otro</v>
      </c>
      <c r="G35" s="17"/>
      <c r="H35" s="18"/>
    </row>
    <row r="36" ht="15.75" customHeight="1">
      <c r="A36" s="19">
        <v>9.0</v>
      </c>
      <c r="B36" s="16" t="str">
        <f>IFERROR(__xludf.DUMMYFUNCTION("""COMPUTED_VALUE"""),"Analisis Lexico")</f>
        <v>Analisis Lexico</v>
      </c>
      <c r="C36" s="18"/>
      <c r="D36" s="16" t="str">
        <f>IFERROR(__xludf.DUMMYFUNCTION("""COMPUTED_VALUE"""),"Operaciones Entre Lenguajes y Expresiones regulares")</f>
        <v>Operaciones Entre Lenguajes y Expresiones regulares</v>
      </c>
      <c r="E36" s="18"/>
      <c r="F36" s="16" t="str">
        <f>IFERROR(__xludf.DUMMYFUNCTION("""COMPUTED_VALUE"""),"Buenas Prácticas en Interoperabilidad")</f>
        <v>Buenas Prácticas en Interoperabilidad</v>
      </c>
      <c r="G36" s="17"/>
      <c r="H36" s="18"/>
    </row>
    <row r="37" ht="15.75" customHeight="1">
      <c r="A37" s="19">
        <v>10.0</v>
      </c>
      <c r="B37" s="16" t="str">
        <f>IFERROR(__xludf.DUMMYFUNCTION("""COMPUTED_VALUE"""),"Analisis Lexico")</f>
        <v>Analisis Lexico</v>
      </c>
      <c r="C37" s="18"/>
      <c r="D37" s="16" t="str">
        <f>IFERROR(__xludf.DUMMYFUNCTION("""COMPUTED_VALUE"""),"Operaciones Entre Lenguajes y Expresiones regulares")</f>
        <v>Operaciones Entre Lenguajes y Expresiones regulares</v>
      </c>
      <c r="E37" s="18"/>
      <c r="F37" s="16" t="str">
        <f>IFERROR(__xludf.DUMMYFUNCTION("""COMPUTED_VALUE"""),"¿Qué son las expresiones regulares?")</f>
        <v>¿Qué son las expresiones regulares?</v>
      </c>
      <c r="G37" s="17"/>
      <c r="H37" s="18"/>
    </row>
    <row r="38" ht="15.75" customHeight="1">
      <c r="A38" s="19">
        <v>11.0</v>
      </c>
      <c r="B38" s="16" t="str">
        <f>IFERROR(__xludf.DUMMYFUNCTION("""COMPUTED_VALUE"""),"Analisis Lexico")</f>
        <v>Analisis Lexico</v>
      </c>
      <c r="C38" s="18"/>
      <c r="D38" s="16" t="str">
        <f>IFERROR(__xludf.DUMMYFUNCTION("""COMPUTED_VALUE"""),"Operaciones Entre Lenguajes y Expresiones regulares")</f>
        <v>Operaciones Entre Lenguajes y Expresiones regulares</v>
      </c>
      <c r="E38" s="18"/>
      <c r="F38" s="16" t="str">
        <f>IFERROR(__xludf.DUMMYFUNCTION("""COMPUTED_VALUE"""),"Aplicaciones de Expresiones Regulares en Análisis Léxico")</f>
        <v>Aplicaciones de Expresiones Regulares en Análisis Léxico</v>
      </c>
      <c r="G38" s="17"/>
      <c r="H38" s="18"/>
    </row>
    <row r="39" ht="15.75" customHeight="1">
      <c r="A39" s="19">
        <v>12.0</v>
      </c>
      <c r="B39" s="16" t="str">
        <f>IFERROR(__xludf.DUMMYFUNCTION("""COMPUTED_VALUE"""),"Analisis Lexico")</f>
        <v>Analisis Lexico</v>
      </c>
      <c r="C39" s="18"/>
      <c r="D39" s="16" t="str">
        <f>IFERROR(__xludf.DUMMYFUNCTION("""COMPUTED_VALUE"""),"Operaciones Entre Lenguajes y Expresiones regulares")</f>
        <v>Operaciones Entre Lenguajes y Expresiones regulares</v>
      </c>
      <c r="E39" s="18"/>
      <c r="F39" s="16" t="str">
        <f>IFERROR(__xludf.DUMMYFUNCTION("""COMPUTED_VALUE"""),"Diagrama de transición de estados")</f>
        <v>Diagrama de transición de estados</v>
      </c>
      <c r="G39" s="17"/>
      <c r="H39" s="18"/>
    </row>
    <row r="40" ht="15.75" customHeight="1">
      <c r="A40" s="19">
        <v>13.0</v>
      </c>
      <c r="B40" s="16" t="str">
        <f>IFERROR(__xludf.DUMMYFUNCTION("""COMPUTED_VALUE"""),"Analisis Lexico")</f>
        <v>Analisis Lexico</v>
      </c>
      <c r="C40" s="18"/>
      <c r="D40" s="16" t="str">
        <f>IFERROR(__xludf.DUMMYFUNCTION("""COMPUTED_VALUE"""),"Operaciones Entre Lenguajes y Expresiones regulares")</f>
        <v>Operaciones Entre Lenguajes y Expresiones regulares</v>
      </c>
      <c r="E40" s="18"/>
      <c r="F40" s="16" t="str">
        <f>IFERROR(__xludf.DUMMYFUNCTION("""COMPUTED_VALUE"""),"Tablas de Transicion")</f>
        <v>Tablas de Transicion</v>
      </c>
      <c r="G40" s="17"/>
      <c r="H40" s="18"/>
    </row>
    <row r="41" ht="15.75" customHeight="1"/>
    <row r="42" ht="15.75" customHeight="1">
      <c r="A42" s="54" t="s">
        <v>178</v>
      </c>
    </row>
    <row r="43" ht="15.75" customHeight="1">
      <c r="A43" s="5"/>
      <c r="B43" s="5"/>
      <c r="C43" s="5"/>
      <c r="D43" s="5"/>
      <c r="E43" s="5"/>
      <c r="F43" s="5"/>
      <c r="G43" s="5"/>
      <c r="H43" s="5"/>
    </row>
    <row r="44" ht="15.75" customHeight="1">
      <c r="A44" s="55" t="s">
        <v>179</v>
      </c>
      <c r="B44" s="55" t="s">
        <v>180</v>
      </c>
      <c r="C44" s="57" t="s">
        <v>181</v>
      </c>
      <c r="D44" s="58" t="s">
        <v>120</v>
      </c>
      <c r="E44" s="17"/>
      <c r="F44" s="17"/>
      <c r="G44" s="17"/>
      <c r="H44" s="18"/>
    </row>
    <row r="45" ht="15.75" customHeight="1">
      <c r="A45" s="19" t="s">
        <v>182</v>
      </c>
      <c r="B45" s="19" t="s">
        <v>183</v>
      </c>
      <c r="C45" s="59" t="s">
        <v>224</v>
      </c>
      <c r="D45" s="20" t="s">
        <v>215</v>
      </c>
      <c r="E45" s="17"/>
      <c r="F45" s="17"/>
      <c r="G45" s="17"/>
      <c r="H45" s="18"/>
    </row>
    <row r="46" ht="15.75" customHeight="1">
      <c r="A46" s="19" t="s">
        <v>184</v>
      </c>
      <c r="B46" s="19" t="s">
        <v>183</v>
      </c>
      <c r="C46" s="59" t="s">
        <v>216</v>
      </c>
      <c r="D46" s="20" t="s">
        <v>217</v>
      </c>
      <c r="E46" s="17"/>
      <c r="F46" s="17"/>
      <c r="G46" s="17"/>
      <c r="H46" s="18"/>
    </row>
    <row r="47" ht="15.75" customHeight="1">
      <c r="A47" s="19" t="s">
        <v>186</v>
      </c>
      <c r="B47" s="19" t="s">
        <v>187</v>
      </c>
      <c r="C47" s="59" t="s">
        <v>218</v>
      </c>
      <c r="D47" s="20" t="s">
        <v>219</v>
      </c>
      <c r="E47" s="17"/>
      <c r="F47" s="17"/>
      <c r="G47" s="17"/>
      <c r="H47" s="18"/>
    </row>
    <row r="48" ht="15.75" customHeight="1">
      <c r="A48" s="19" t="s">
        <v>188</v>
      </c>
      <c r="B48" s="19" t="s">
        <v>183</v>
      </c>
      <c r="C48" s="59" t="s">
        <v>216</v>
      </c>
      <c r="D48" s="20" t="s">
        <v>217</v>
      </c>
      <c r="E48" s="17"/>
      <c r="F48" s="17"/>
      <c r="G48" s="17"/>
      <c r="H48" s="18"/>
    </row>
    <row r="49" ht="15.75" customHeight="1"/>
    <row r="50" ht="15.75" customHeight="1">
      <c r="A50" s="44" t="s">
        <v>189</v>
      </c>
      <c r="G50" s="34" t="s">
        <v>120</v>
      </c>
      <c r="H50" s="45">
        <v>40.0</v>
      </c>
    </row>
    <row r="51" ht="15.75" customHeight="1">
      <c r="G51" s="24" t="s">
        <v>190</v>
      </c>
    </row>
    <row r="52" ht="15.75" customHeight="1">
      <c r="A52" s="24" t="s">
        <v>191</v>
      </c>
    </row>
    <row r="53" ht="15.75" customHeight="1">
      <c r="A53" s="29" t="s">
        <v>192</v>
      </c>
      <c r="B53" s="20" t="s">
        <v>48</v>
      </c>
      <c r="C53" s="17"/>
      <c r="D53" s="17"/>
      <c r="E53" s="17"/>
      <c r="F53" s="17"/>
      <c r="G53" s="17"/>
      <c r="H53" s="18"/>
    </row>
    <row r="54" ht="15.75" customHeight="1">
      <c r="A54" s="29" t="s">
        <v>193</v>
      </c>
      <c r="B54" s="20" t="s">
        <v>229</v>
      </c>
      <c r="C54" s="17"/>
      <c r="D54" s="17"/>
      <c r="E54" s="17"/>
      <c r="F54" s="17"/>
      <c r="G54" s="17"/>
      <c r="H54" s="18"/>
    </row>
    <row r="55" ht="15.75" customHeight="1">
      <c r="A55" s="29" t="s">
        <v>160</v>
      </c>
      <c r="B55" s="66">
        <v>2.0</v>
      </c>
      <c r="C55" s="17"/>
      <c r="D55" s="17"/>
      <c r="E55" s="17"/>
      <c r="F55" s="17"/>
      <c r="G55" s="17"/>
      <c r="H55" s="18"/>
    </row>
    <row r="56" ht="15.75" customHeight="1">
      <c r="A56" s="29" t="s">
        <v>120</v>
      </c>
      <c r="B56" s="20" t="s">
        <v>234</v>
      </c>
      <c r="C56" s="17"/>
      <c r="D56" s="17"/>
      <c r="E56" s="17"/>
      <c r="F56" s="17"/>
      <c r="G56" s="17"/>
      <c r="H56" s="18"/>
    </row>
    <row r="57" ht="15.75" customHeight="1">
      <c r="A57" s="38" t="s">
        <v>195</v>
      </c>
      <c r="B57" s="5"/>
      <c r="C57" s="5"/>
      <c r="D57" s="5"/>
      <c r="E57" s="5"/>
      <c r="F57" s="5"/>
      <c r="G57" s="5"/>
      <c r="H57" s="5"/>
    </row>
    <row r="58" ht="15.75" customHeight="1">
      <c r="A58" s="46" t="s">
        <v>196</v>
      </c>
      <c r="B58" s="17"/>
      <c r="C58" s="17"/>
      <c r="D58" s="17"/>
      <c r="E58" s="17"/>
      <c r="F58" s="17"/>
      <c r="G58" s="17"/>
      <c r="H58" s="18"/>
    </row>
    <row r="59" ht="15.75" customHeight="1">
      <c r="A59" s="76" t="s">
        <v>235</v>
      </c>
      <c r="B59" s="48"/>
      <c r="C59" s="48"/>
      <c r="D59" s="48"/>
      <c r="E59" s="48"/>
      <c r="F59" s="48"/>
      <c r="G59" s="48"/>
      <c r="H59" s="49"/>
    </row>
    <row r="60" ht="15.75" customHeight="1">
      <c r="A60" s="62"/>
      <c r="H60" s="63"/>
    </row>
    <row r="61" ht="15.75" customHeight="1">
      <c r="A61" s="50"/>
      <c r="B61" s="51"/>
      <c r="C61" s="51"/>
      <c r="D61" s="51"/>
      <c r="E61" s="51"/>
      <c r="F61" s="51"/>
      <c r="G61" s="51"/>
      <c r="H61" s="52"/>
    </row>
    <row r="62" ht="15.75" customHeight="1"/>
    <row r="63" ht="15.75" customHeight="1">
      <c r="A63" s="24" t="s">
        <v>198</v>
      </c>
    </row>
    <row r="64" ht="15.75" customHeight="1">
      <c r="A64" s="29" t="s">
        <v>192</v>
      </c>
      <c r="B64" s="16"/>
      <c r="C64" s="17"/>
      <c r="D64" s="17"/>
      <c r="E64" s="17"/>
      <c r="F64" s="17"/>
      <c r="G64" s="17"/>
      <c r="H64" s="18"/>
    </row>
    <row r="65" ht="15.75" customHeight="1">
      <c r="A65" s="29" t="s">
        <v>193</v>
      </c>
      <c r="B65" s="16"/>
      <c r="C65" s="17"/>
      <c r="D65" s="17"/>
      <c r="E65" s="17"/>
      <c r="F65" s="17"/>
      <c r="G65" s="17"/>
      <c r="H65" s="18"/>
    </row>
    <row r="66" ht="15.75" customHeight="1">
      <c r="A66" s="29" t="s">
        <v>160</v>
      </c>
      <c r="B66" s="60"/>
      <c r="C66" s="17"/>
      <c r="D66" s="17"/>
      <c r="E66" s="17"/>
      <c r="F66" s="17"/>
      <c r="G66" s="17"/>
      <c r="H66" s="18"/>
    </row>
    <row r="67" ht="15.75" customHeight="1">
      <c r="A67" s="29" t="s">
        <v>120</v>
      </c>
      <c r="B67" s="60"/>
      <c r="C67" s="17"/>
      <c r="D67" s="17"/>
      <c r="E67" s="17"/>
      <c r="F67" s="17"/>
      <c r="G67" s="17"/>
      <c r="H67" s="18"/>
    </row>
    <row r="68" ht="15.75" customHeight="1">
      <c r="A68" s="64" t="s">
        <v>199</v>
      </c>
      <c r="B68" s="5"/>
      <c r="C68" s="5"/>
      <c r="D68" s="5"/>
      <c r="E68" s="5"/>
      <c r="F68" s="5"/>
      <c r="G68" s="5"/>
      <c r="H68" s="5"/>
    </row>
    <row r="69" ht="15.75" customHeight="1">
      <c r="A69" s="46" t="s">
        <v>196</v>
      </c>
      <c r="B69" s="17"/>
      <c r="C69" s="17"/>
      <c r="D69" s="17"/>
      <c r="E69" s="17"/>
      <c r="F69" s="17"/>
      <c r="G69" s="17"/>
      <c r="H69" s="18"/>
    </row>
    <row r="70" ht="15.75" customHeight="1">
      <c r="A70" s="65"/>
      <c r="B70" s="48"/>
      <c r="C70" s="48"/>
      <c r="D70" s="48"/>
      <c r="E70" s="48"/>
      <c r="F70" s="48"/>
      <c r="G70" s="48"/>
      <c r="H70" s="49"/>
    </row>
    <row r="71" ht="15.75" customHeight="1">
      <c r="A71" s="62"/>
      <c r="H71" s="63"/>
    </row>
    <row r="72" ht="15.75" customHeight="1">
      <c r="A72" s="50"/>
      <c r="B72" s="51"/>
      <c r="C72" s="51"/>
      <c r="D72" s="51"/>
      <c r="E72" s="51"/>
      <c r="F72" s="51"/>
      <c r="G72" s="51"/>
      <c r="H72" s="52"/>
    </row>
    <row r="73" ht="15.75" customHeight="1"/>
    <row r="74" ht="15.75" customHeight="1">
      <c r="A74" s="44" t="s">
        <v>200</v>
      </c>
      <c r="G74" s="34" t="s">
        <v>120</v>
      </c>
      <c r="H74" s="45">
        <v>0.0</v>
      </c>
    </row>
    <row r="75" ht="15.75" customHeight="1">
      <c r="G75" s="24" t="s">
        <v>201</v>
      </c>
    </row>
    <row r="76" ht="15.75" customHeight="1">
      <c r="A76" s="29" t="s">
        <v>120</v>
      </c>
      <c r="B76" s="60"/>
      <c r="C76" s="17"/>
      <c r="D76" s="17"/>
      <c r="E76" s="17"/>
      <c r="F76" s="17"/>
      <c r="G76" s="17"/>
      <c r="H76" s="18"/>
    </row>
    <row r="77" ht="15.75" customHeight="1">
      <c r="A77" s="58" t="s">
        <v>202</v>
      </c>
      <c r="B77" s="17"/>
      <c r="C77" s="17"/>
      <c r="D77" s="17"/>
      <c r="E77" s="17"/>
      <c r="F77" s="17"/>
      <c r="G77" s="17"/>
      <c r="H77" s="18"/>
    </row>
    <row r="78" ht="15.75" customHeight="1">
      <c r="A78" s="65"/>
      <c r="B78" s="48"/>
      <c r="C78" s="48"/>
      <c r="D78" s="48"/>
      <c r="E78" s="48"/>
      <c r="F78" s="48"/>
      <c r="G78" s="48"/>
      <c r="H78" s="49"/>
    </row>
    <row r="79" ht="15.75" customHeight="1">
      <c r="A79" s="50"/>
      <c r="B79" s="51"/>
      <c r="C79" s="51"/>
      <c r="D79" s="51"/>
      <c r="E79" s="51"/>
      <c r="F79" s="51"/>
      <c r="G79" s="51"/>
      <c r="H79" s="52"/>
    </row>
    <row r="80" ht="15.75" customHeight="1">
      <c r="A80" s="24" t="s">
        <v>203</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79">
    <mergeCell ref="D37:E37"/>
    <mergeCell ref="F37:H37"/>
    <mergeCell ref="B35:C35"/>
    <mergeCell ref="D35:E35"/>
    <mergeCell ref="F35:H35"/>
    <mergeCell ref="B36:C36"/>
    <mergeCell ref="D36:E36"/>
    <mergeCell ref="F36:H36"/>
    <mergeCell ref="B37:C37"/>
    <mergeCell ref="B38:C38"/>
    <mergeCell ref="D38:E38"/>
    <mergeCell ref="F38:H38"/>
    <mergeCell ref="B39:C39"/>
    <mergeCell ref="D39:E39"/>
    <mergeCell ref="F39:H39"/>
    <mergeCell ref="B40:C40"/>
    <mergeCell ref="D40:E40"/>
    <mergeCell ref="F40:H40"/>
    <mergeCell ref="D44:H44"/>
    <mergeCell ref="D45:H45"/>
    <mergeCell ref="D46:H46"/>
    <mergeCell ref="D47:H47"/>
    <mergeCell ref="D48:H48"/>
    <mergeCell ref="A50:F50"/>
    <mergeCell ref="B53:H53"/>
    <mergeCell ref="B54:H54"/>
    <mergeCell ref="B55:H55"/>
    <mergeCell ref="B56:H56"/>
    <mergeCell ref="A58:H58"/>
    <mergeCell ref="A59:H61"/>
    <mergeCell ref="B76:H76"/>
    <mergeCell ref="A77:H77"/>
    <mergeCell ref="A78:H79"/>
    <mergeCell ref="B64:H64"/>
    <mergeCell ref="B65:H65"/>
    <mergeCell ref="B66:H66"/>
    <mergeCell ref="B67:H67"/>
    <mergeCell ref="A69:H69"/>
    <mergeCell ref="A70:H72"/>
    <mergeCell ref="A74:F7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dataValidations>
    <dataValidation type="list" allowBlank="1" showErrorMessage="1" sqref="B23:B24 B53 B64">
      <formula1>METADATA!$I$17:$I$40</formula1>
    </dataValidation>
    <dataValidation type="list" allowBlank="1" showErrorMessage="1" sqref="B54">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8.0</v>
      </c>
      <c r="D5" s="17"/>
      <c r="E5" s="17"/>
      <c r="F5" s="17"/>
      <c r="G5" s="18"/>
    </row>
    <row r="6" ht="15.75" customHeight="1">
      <c r="B6" s="43" t="s">
        <v>118</v>
      </c>
      <c r="C6" s="16">
        <f>H10+H21+H44+H68</f>
        <v>105</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236</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5" t="s">
        <v>237</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5" t="s">
        <v>238</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48</v>
      </c>
      <c r="C23" s="17"/>
      <c r="D23" s="17"/>
      <c r="E23" s="17"/>
      <c r="F23" s="17"/>
      <c r="G23" s="17"/>
      <c r="H23" s="18"/>
    </row>
    <row r="24" ht="15.75" customHeight="1">
      <c r="A24" s="29" t="s">
        <v>172</v>
      </c>
      <c r="B24" s="20" t="s">
        <v>33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IFERROR(__xludf.DUMMYFUNCTION("FILTER('Diseño'!E:E,'Diseño'!H:H=$C$5)"),"Automata Finitos")</f>
        <v>Automata Finitos</v>
      </c>
      <c r="E28" s="18"/>
      <c r="F28" s="16" t="str">
        <f>IFERROR(__xludf.DUMMYFUNCTION("FILTER('Diseño'!F:F,'Diseño'!H:H=$C$5)"),"Definición de AFN")</f>
        <v>Definición de AFN</v>
      </c>
      <c r="G28" s="17"/>
      <c r="H28" s="18"/>
    </row>
    <row r="29" ht="15.75" customHeight="1">
      <c r="A29" s="19">
        <v>2.0</v>
      </c>
      <c r="B29" s="16" t="str">
        <f>IFERROR(__xludf.DUMMYFUNCTION("""COMPUTED_VALUE"""),"Analisis Lexico")</f>
        <v>Analisis Lexico</v>
      </c>
      <c r="C29" s="18"/>
      <c r="D29" s="16" t="str">
        <f>IFERROR(__xludf.DUMMYFUNCTION("""COMPUTED_VALUE"""),"Automata Finitos")</f>
        <v>Automata Finitos</v>
      </c>
      <c r="E29" s="18"/>
      <c r="F29" s="16" t="str">
        <f>IFERROR(__xludf.DUMMYFUNCTION("""COMPUTED_VALUE"""),"Estructura de un AFN")</f>
        <v>Estructura de un AFN</v>
      </c>
      <c r="G29" s="17"/>
      <c r="H29" s="18"/>
    </row>
    <row r="30" ht="15.75" customHeight="1">
      <c r="A30" s="19">
        <v>3.0</v>
      </c>
      <c r="B30" s="16" t="str">
        <f>IFERROR(__xludf.DUMMYFUNCTION("""COMPUTED_VALUE"""),"Analisis Lexico")</f>
        <v>Analisis Lexico</v>
      </c>
      <c r="C30" s="18"/>
      <c r="D30" s="16" t="str">
        <f>IFERROR(__xludf.DUMMYFUNCTION("""COMPUTED_VALUE"""),"Automata Finitos")</f>
        <v>Automata Finitos</v>
      </c>
      <c r="E30" s="18"/>
      <c r="F30" s="16" t="str">
        <f>IFERROR(__xludf.DUMMYFUNCTION("""COMPUTED_VALUE"""),"Ejemplo de AFN")</f>
        <v>Ejemplo de AFN</v>
      </c>
      <c r="G30" s="17"/>
      <c r="H30" s="18"/>
    </row>
    <row r="31" ht="15.75" customHeight="1">
      <c r="A31" s="19">
        <v>4.0</v>
      </c>
      <c r="B31" s="16" t="str">
        <f>IFERROR(__xludf.DUMMYFUNCTION("""COMPUTED_VALUE"""),"Analisis Lexico")</f>
        <v>Analisis Lexico</v>
      </c>
      <c r="C31" s="18"/>
      <c r="D31" s="16" t="str">
        <f>IFERROR(__xludf.DUMMYFUNCTION("""COMPUTED_VALUE"""),"Automata Finitos")</f>
        <v>Automata Finitos</v>
      </c>
      <c r="E31" s="18"/>
      <c r="F31" s="16" t="str">
        <f>IFERROR(__xludf.DUMMYFUNCTION("""COMPUTED_VALUE"""),"Definición de AFD")</f>
        <v>Definición de AFD</v>
      </c>
      <c r="G31" s="17"/>
      <c r="H31" s="18"/>
    </row>
    <row r="32" ht="15.75" customHeight="1">
      <c r="A32" s="19">
        <v>5.0</v>
      </c>
      <c r="B32" s="16" t="str">
        <f>IFERROR(__xludf.DUMMYFUNCTION("""COMPUTED_VALUE"""),"Analisis Lexico")</f>
        <v>Analisis Lexico</v>
      </c>
      <c r="C32" s="18"/>
      <c r="D32" s="16" t="str">
        <f>IFERROR(__xludf.DUMMYFUNCTION("""COMPUTED_VALUE"""),"Automata Finitos")</f>
        <v>Automata Finitos</v>
      </c>
      <c r="E32" s="18"/>
      <c r="F32" s="16" t="str">
        <f>IFERROR(__xludf.DUMMYFUNCTION("""COMPUTED_VALUE"""),"Estructura de un AFD")</f>
        <v>Estructura de un AFD</v>
      </c>
      <c r="G32" s="17"/>
      <c r="H32" s="18"/>
    </row>
    <row r="33" ht="15.75" customHeight="1">
      <c r="A33" s="19">
        <v>6.0</v>
      </c>
      <c r="B33" s="16" t="str">
        <f>IFERROR(__xludf.DUMMYFUNCTION("""COMPUTED_VALUE"""),"Analisis Lexico")</f>
        <v>Analisis Lexico</v>
      </c>
      <c r="C33" s="18"/>
      <c r="D33" s="16" t="str">
        <f>IFERROR(__xludf.DUMMYFUNCTION("""COMPUTED_VALUE"""),"Automata Finitos")</f>
        <v>Automata Finitos</v>
      </c>
      <c r="E33" s="18"/>
      <c r="F33" s="16" t="str">
        <f>IFERROR(__xludf.DUMMYFUNCTION("""COMPUTED_VALUE"""),"Ejemplo de AFD")</f>
        <v>Ejemplo de AFD</v>
      </c>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59" t="s">
        <v>224</v>
      </c>
      <c r="D39" s="20" t="s">
        <v>215</v>
      </c>
      <c r="E39" s="17"/>
      <c r="F39" s="17"/>
      <c r="G39" s="17"/>
      <c r="H39" s="18"/>
    </row>
    <row r="40" ht="15.75" customHeight="1">
      <c r="A40" s="19" t="s">
        <v>184</v>
      </c>
      <c r="B40" s="19" t="s">
        <v>183</v>
      </c>
      <c r="C40" s="59" t="s">
        <v>216</v>
      </c>
      <c r="D40" s="20" t="s">
        <v>217</v>
      </c>
      <c r="E40" s="17"/>
      <c r="F40" s="17"/>
      <c r="G40" s="17"/>
      <c r="H40" s="18"/>
    </row>
    <row r="41" ht="15.75" customHeight="1">
      <c r="A41" s="19" t="s">
        <v>186</v>
      </c>
      <c r="B41" s="19" t="s">
        <v>187</v>
      </c>
      <c r="C41" s="59" t="s">
        <v>218</v>
      </c>
      <c r="D41" s="20" t="s">
        <v>219</v>
      </c>
      <c r="E41" s="17"/>
      <c r="F41" s="17"/>
      <c r="G41" s="17"/>
      <c r="H41" s="18"/>
    </row>
    <row r="42" ht="15.75" customHeight="1">
      <c r="A42" s="19" t="s">
        <v>188</v>
      </c>
      <c r="B42" s="19" t="s">
        <v>183</v>
      </c>
      <c r="C42" s="59"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c r="A47" s="29" t="s">
        <v>192</v>
      </c>
      <c r="B47" s="20" t="s">
        <v>48</v>
      </c>
      <c r="C47" s="17"/>
      <c r="D47" s="17"/>
      <c r="E47" s="17"/>
      <c r="F47" s="17"/>
      <c r="G47" s="17"/>
      <c r="H47" s="18"/>
    </row>
    <row r="48" ht="15.75" customHeight="1">
      <c r="A48" s="29" t="s">
        <v>193</v>
      </c>
      <c r="B48" s="20" t="s">
        <v>229</v>
      </c>
      <c r="C48" s="17"/>
      <c r="D48" s="17"/>
      <c r="E48" s="17"/>
      <c r="F48" s="17"/>
      <c r="G48" s="17"/>
      <c r="H48" s="18"/>
    </row>
    <row r="49" ht="15.75" customHeight="1">
      <c r="A49" s="29" t="s">
        <v>160</v>
      </c>
      <c r="B49" s="60">
        <v>0.0</v>
      </c>
      <c r="C49" s="17"/>
      <c r="D49" s="17"/>
      <c r="E49" s="17"/>
      <c r="F49" s="17"/>
      <c r="G49" s="17"/>
      <c r="H49" s="18"/>
    </row>
    <row r="50" ht="15.75" customHeight="1">
      <c r="A50" s="29" t="s">
        <v>120</v>
      </c>
      <c r="B50" s="20" t="s">
        <v>234</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5" t="s">
        <v>239</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65"/>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v>0.0</v>
      </c>
    </row>
    <row r="69" ht="15.75" customHeight="1">
      <c r="G69" s="24" t="s">
        <v>201</v>
      </c>
    </row>
    <row r="70" ht="15.75" customHeight="1">
      <c r="A70" s="29" t="s">
        <v>120</v>
      </c>
      <c r="B70" s="60"/>
      <c r="C70" s="17"/>
      <c r="D70" s="17"/>
      <c r="E70" s="17"/>
      <c r="F70" s="17"/>
      <c r="G70" s="17"/>
      <c r="H70" s="18"/>
    </row>
    <row r="71" ht="15.75" customHeight="1">
      <c r="A71" s="58" t="s">
        <v>202</v>
      </c>
      <c r="B71" s="17"/>
      <c r="C71" s="17"/>
      <c r="D71" s="17"/>
      <c r="E71" s="17"/>
      <c r="F71" s="17"/>
      <c r="G71" s="17"/>
      <c r="H71" s="18"/>
    </row>
    <row r="72" ht="15.75" customHeight="1">
      <c r="A72" s="65"/>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9.0</v>
      </c>
      <c r="D5" s="17"/>
      <c r="E5" s="17"/>
      <c r="F5" s="17"/>
      <c r="G5" s="18"/>
    </row>
    <row r="6" ht="15.75" customHeight="1">
      <c r="B6" s="43" t="s">
        <v>118</v>
      </c>
      <c r="C6" s="16">
        <f>H10+H21+H44+H68</f>
        <v>105</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240</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5" t="s">
        <v>241</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5" t="s">
        <v>242</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48</v>
      </c>
      <c r="C23" s="17"/>
      <c r="D23" s="17"/>
      <c r="E23" s="17"/>
      <c r="F23" s="17"/>
      <c r="G23" s="17"/>
      <c r="H23" s="18"/>
    </row>
    <row r="24" ht="15.75" customHeight="1">
      <c r="A24" s="29" t="s">
        <v>172</v>
      </c>
      <c r="B24" s="20" t="s">
        <v>92</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IFERROR(__xludf.DUMMYFUNCTION("FILTER('Diseño'!E:E,'Diseño'!H:H=$C$5)"),"Conversion AFN a AFD")</f>
        <v>Conversion AFN a AFD</v>
      </c>
      <c r="E28" s="18"/>
      <c r="F28" s="16" t="str">
        <f>IFERROR(__xludf.DUMMYFUNCTION("FILTER('Diseño'!F:F,'Diseño'!H:H=$C$5)"),"Método del Árbol")</f>
        <v>Método del Árbol</v>
      </c>
      <c r="G28" s="17"/>
      <c r="H28" s="18"/>
    </row>
    <row r="29" ht="15.75" customHeight="1">
      <c r="A29" s="19">
        <v>2.0</v>
      </c>
      <c r="B29" s="16" t="str">
        <f>IFERROR(__xludf.DUMMYFUNCTION("""COMPUTED_VALUE"""),"Analisis Lexico")</f>
        <v>Analisis Lexico</v>
      </c>
      <c r="C29" s="18"/>
      <c r="D29" s="16" t="str">
        <f>IFERROR(__xludf.DUMMYFUNCTION("""COMPUTED_VALUE"""),"Conversion AFN a AFD")</f>
        <v>Conversion AFN a AFD</v>
      </c>
      <c r="E29" s="18"/>
      <c r="F29" s="16" t="str">
        <f>IFERROR(__xludf.DUMMYFUNCTION("""COMPUTED_VALUE"""),"Anulables")</f>
        <v>Anulables</v>
      </c>
      <c r="G29" s="17"/>
      <c r="H29" s="18"/>
    </row>
    <row r="30" ht="15.75" customHeight="1">
      <c r="A30" s="19">
        <v>3.0</v>
      </c>
      <c r="B30" s="16" t="str">
        <f>IFERROR(__xludf.DUMMYFUNCTION("""COMPUTED_VALUE"""),"Analisis Lexico")</f>
        <v>Analisis Lexico</v>
      </c>
      <c r="C30" s="18"/>
      <c r="D30" s="16" t="str">
        <f>IFERROR(__xludf.DUMMYFUNCTION("""COMPUTED_VALUE"""),"Conversion AFN a AFD")</f>
        <v>Conversion AFN a AFD</v>
      </c>
      <c r="E30" s="18"/>
      <c r="F30" s="16" t="str">
        <f>IFERROR(__xludf.DUMMYFUNCTION("""COMPUTED_VALUE"""),"Cálculo de First, Last y Next")</f>
        <v>Cálculo de First, Last y Next</v>
      </c>
      <c r="G30" s="17"/>
      <c r="H30" s="18"/>
    </row>
    <row r="31" ht="15.75" customHeight="1">
      <c r="A31" s="19">
        <v>4.0</v>
      </c>
      <c r="B31" s="16"/>
      <c r="C31" s="18"/>
      <c r="D31" s="16"/>
      <c r="E31" s="18"/>
      <c r="F31" s="16"/>
      <c r="G31" s="17"/>
      <c r="H31" s="18"/>
    </row>
    <row r="32" ht="15.75" customHeight="1">
      <c r="A32" s="19">
        <v>5.0</v>
      </c>
      <c r="B32" s="16"/>
      <c r="C32" s="18"/>
      <c r="D32" s="16"/>
      <c r="E32" s="18"/>
      <c r="F32" s="16"/>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57" t="s">
        <v>181</v>
      </c>
      <c r="D38" s="58" t="s">
        <v>120</v>
      </c>
      <c r="E38" s="17"/>
      <c r="F38" s="17"/>
      <c r="G38" s="17"/>
      <c r="H38" s="18"/>
    </row>
    <row r="39" ht="15.75" customHeight="1">
      <c r="A39" s="19" t="s">
        <v>182</v>
      </c>
      <c r="B39" s="19" t="s">
        <v>183</v>
      </c>
      <c r="C39" s="59" t="s">
        <v>224</v>
      </c>
      <c r="D39" s="20" t="s">
        <v>215</v>
      </c>
      <c r="E39" s="17"/>
      <c r="F39" s="17"/>
      <c r="G39" s="17"/>
      <c r="H39" s="18"/>
    </row>
    <row r="40" ht="15.75" customHeight="1">
      <c r="A40" s="19" t="s">
        <v>184</v>
      </c>
      <c r="B40" s="19" t="s">
        <v>183</v>
      </c>
      <c r="C40" s="59" t="s">
        <v>216</v>
      </c>
      <c r="D40" s="20" t="s">
        <v>217</v>
      </c>
      <c r="E40" s="17"/>
      <c r="F40" s="17"/>
      <c r="G40" s="17"/>
      <c r="H40" s="18"/>
    </row>
    <row r="41" ht="15.75" customHeight="1">
      <c r="A41" s="19" t="s">
        <v>186</v>
      </c>
      <c r="B41" s="19" t="s">
        <v>187</v>
      </c>
      <c r="C41" s="59" t="s">
        <v>218</v>
      </c>
      <c r="D41" s="20" t="s">
        <v>219</v>
      </c>
      <c r="E41" s="17"/>
      <c r="F41" s="17"/>
      <c r="G41" s="17"/>
      <c r="H41" s="18"/>
    </row>
    <row r="42" ht="15.75" customHeight="1">
      <c r="A42" s="19" t="s">
        <v>188</v>
      </c>
      <c r="B42" s="19" t="s">
        <v>183</v>
      </c>
      <c r="C42" s="59"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ht="15.75" customHeight="1">
      <c r="A47" s="29" t="s">
        <v>192</v>
      </c>
      <c r="B47" s="20" t="s">
        <v>48</v>
      </c>
      <c r="C47" s="17"/>
      <c r="D47" s="17"/>
      <c r="E47" s="17"/>
      <c r="F47" s="17"/>
      <c r="G47" s="17"/>
      <c r="H47" s="18"/>
    </row>
    <row r="48" ht="15.75" customHeight="1">
      <c r="A48" s="29" t="s">
        <v>193</v>
      </c>
      <c r="B48" s="20" t="s">
        <v>229</v>
      </c>
      <c r="C48" s="17"/>
      <c r="D48" s="17"/>
      <c r="E48" s="17"/>
      <c r="F48" s="17"/>
      <c r="G48" s="17"/>
      <c r="H48" s="18"/>
    </row>
    <row r="49" ht="15.75" customHeight="1">
      <c r="A49" s="29" t="s">
        <v>160</v>
      </c>
      <c r="B49" s="60">
        <v>0.0</v>
      </c>
      <c r="C49" s="17"/>
      <c r="D49" s="17"/>
      <c r="E49" s="17"/>
      <c r="F49" s="17"/>
      <c r="G49" s="17"/>
      <c r="H49" s="18"/>
    </row>
    <row r="50" ht="15.75" customHeight="1">
      <c r="A50" s="29" t="s">
        <v>120</v>
      </c>
      <c r="B50" s="20" t="s">
        <v>234</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5" t="s">
        <v>243</v>
      </c>
      <c r="B53" s="48"/>
      <c r="C53" s="48"/>
      <c r="D53" s="48"/>
      <c r="E53" s="48"/>
      <c r="F53" s="48"/>
      <c r="G53" s="48"/>
      <c r="H53" s="49"/>
    </row>
    <row r="54" ht="15.75" customHeight="1">
      <c r="A54" s="62"/>
      <c r="H54" s="63"/>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0"/>
      <c r="C60" s="17"/>
      <c r="D60" s="17"/>
      <c r="E60" s="17"/>
      <c r="F60" s="17"/>
      <c r="G60" s="17"/>
      <c r="H60" s="18"/>
    </row>
    <row r="61" ht="15.75" customHeight="1">
      <c r="A61" s="29" t="s">
        <v>120</v>
      </c>
      <c r="B61" s="60"/>
      <c r="C61" s="17"/>
      <c r="D61" s="17"/>
      <c r="E61" s="17"/>
      <c r="F61" s="17"/>
      <c r="G61" s="17"/>
      <c r="H61" s="18"/>
    </row>
    <row r="62" ht="15.75" customHeight="1">
      <c r="A62" s="64" t="s">
        <v>199</v>
      </c>
      <c r="B62" s="5"/>
      <c r="C62" s="5"/>
      <c r="D62" s="5"/>
      <c r="E62" s="5"/>
      <c r="F62" s="5"/>
      <c r="G62" s="5"/>
      <c r="H62" s="5"/>
    </row>
    <row r="63" ht="15.75" customHeight="1">
      <c r="A63" s="46" t="s">
        <v>196</v>
      </c>
      <c r="B63" s="17"/>
      <c r="C63" s="17"/>
      <c r="D63" s="17"/>
      <c r="E63" s="17"/>
      <c r="F63" s="17"/>
      <c r="G63" s="17"/>
      <c r="H63" s="18"/>
    </row>
    <row r="64" ht="15.75" customHeight="1">
      <c r="A64" s="65"/>
      <c r="B64" s="48"/>
      <c r="C64" s="48"/>
      <c r="D64" s="48"/>
      <c r="E64" s="48"/>
      <c r="F64" s="48"/>
      <c r="G64" s="48"/>
      <c r="H64" s="49"/>
    </row>
    <row r="65" ht="15.75" customHeight="1">
      <c r="A65" s="62"/>
      <c r="H65" s="63"/>
    </row>
    <row r="66" ht="15.75" customHeight="1">
      <c r="A66" s="50"/>
      <c r="B66" s="51"/>
      <c r="C66" s="51"/>
      <c r="D66" s="51"/>
      <c r="E66" s="51"/>
      <c r="F66" s="51"/>
      <c r="G66" s="51"/>
      <c r="H66" s="52"/>
    </row>
    <row r="67" ht="15.75" customHeight="1"/>
    <row r="68" ht="15.75" customHeight="1">
      <c r="A68" s="44" t="s">
        <v>200</v>
      </c>
      <c r="G68" s="34" t="s">
        <v>120</v>
      </c>
      <c r="H68" s="45">
        <v>0.0</v>
      </c>
    </row>
    <row r="69" ht="15.75" customHeight="1">
      <c r="G69" s="24" t="s">
        <v>201</v>
      </c>
    </row>
    <row r="70" ht="15.75" customHeight="1">
      <c r="A70" s="29" t="s">
        <v>120</v>
      </c>
      <c r="B70" s="60"/>
      <c r="C70" s="17"/>
      <c r="D70" s="17"/>
      <c r="E70" s="17"/>
      <c r="F70" s="17"/>
      <c r="G70" s="17"/>
      <c r="H70" s="18"/>
    </row>
    <row r="71" ht="15.75" customHeight="1">
      <c r="A71" s="58" t="s">
        <v>202</v>
      </c>
      <c r="B71" s="17"/>
      <c r="C71" s="17"/>
      <c r="D71" s="17"/>
      <c r="E71" s="17"/>
      <c r="F71" s="17"/>
      <c r="G71" s="17"/>
      <c r="H71" s="18"/>
    </row>
    <row r="72" ht="15.75" customHeight="1">
      <c r="A72" s="65"/>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10.0</v>
      </c>
      <c r="D5" s="17"/>
      <c r="E5" s="17"/>
      <c r="F5" s="17"/>
      <c r="G5" s="18"/>
    </row>
    <row r="6" ht="15.75" customHeight="1">
      <c r="B6" s="43" t="s">
        <v>118</v>
      </c>
      <c r="C6" s="20">
        <f>H10+H21+H44+H68</f>
        <v>65</v>
      </c>
      <c r="D6" s="17"/>
      <c r="E6" s="17"/>
      <c r="F6" s="17"/>
      <c r="G6" s="18"/>
      <c r="I6" s="5"/>
    </row>
    <row r="7" ht="15.75" customHeight="1">
      <c r="B7" s="43" t="s">
        <v>160</v>
      </c>
      <c r="C7" s="16">
        <f>B58+B69</f>
        <v>2</v>
      </c>
      <c r="D7" s="17"/>
      <c r="E7" s="17"/>
      <c r="F7" s="17"/>
      <c r="G7" s="18"/>
    </row>
    <row r="8" ht="15.75" customHeight="1">
      <c r="B8" s="43" t="s">
        <v>161</v>
      </c>
      <c r="C8" s="16" t="str">
        <f>IF(H53&lt;=0, "❌ ERROR: La Actividad 1 debe tener un tiempo mayor a 0.", IF(H21&gt;60, "❌ ERROR: El 'Área de Conocimiento' no puede exceder los 60 min.", IF((H10+H21+H53)&lt;100,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210</v>
      </c>
      <c r="C12" s="17"/>
      <c r="D12" s="17"/>
      <c r="E12" s="17"/>
      <c r="F12" s="17"/>
      <c r="G12" s="17"/>
      <c r="H12" s="18"/>
    </row>
    <row r="13" ht="15.75" customHeight="1">
      <c r="A13" s="30" t="s">
        <v>120</v>
      </c>
      <c r="B13" s="20">
        <v>5.0</v>
      </c>
      <c r="C13" s="17"/>
      <c r="D13" s="17"/>
      <c r="E13" s="17"/>
      <c r="F13" s="17"/>
      <c r="G13" s="17"/>
      <c r="H13" s="18"/>
    </row>
    <row r="14" ht="15.75" customHeight="1">
      <c r="A14" s="46" t="s">
        <v>166</v>
      </c>
      <c r="B14" s="17"/>
      <c r="C14" s="17"/>
      <c r="D14" s="17"/>
      <c r="E14" s="17"/>
      <c r="F14" s="17"/>
      <c r="G14" s="17"/>
      <c r="H14" s="18"/>
    </row>
    <row r="15" ht="15.75" customHeight="1">
      <c r="A15" s="75" t="s">
        <v>244</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5"/>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83</v>
      </c>
      <c r="C23" s="17"/>
      <c r="D23" s="17"/>
      <c r="E23" s="17"/>
      <c r="F23" s="17"/>
      <c r="G23" s="17"/>
      <c r="H23" s="18"/>
    </row>
    <row r="24" ht="15.75" customHeight="1">
      <c r="A24" s="29" t="s">
        <v>172</v>
      </c>
      <c r="B24" s="16"/>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IFERROR(__xludf.DUMMYFUNCTION("FILTER('Diseño'!E:E,'Diseño'!H:H=$C$5)"),"Optimizacion de Estados")</f>
        <v>Optimizacion de Estados</v>
      </c>
      <c r="E28" s="18"/>
      <c r="F28" s="16" t="str">
        <f>IFERROR(__xludf.DUMMYFUNCTION("FILTER('Diseño'!F:F,'Diseño'!H:H=$C$5)"),"Minimización de un AFD")</f>
        <v>Minimización de un AFD</v>
      </c>
      <c r="G28" s="17"/>
      <c r="H28" s="18"/>
    </row>
    <row r="29" ht="15.75" customHeight="1">
      <c r="A29" s="19">
        <v>2.0</v>
      </c>
      <c r="B29" s="16" t="str">
        <f>IFERROR(__xludf.DUMMYFUNCTION("""COMPUTED_VALUE"""),"Analisis Lexico")</f>
        <v>Analisis Lexico</v>
      </c>
      <c r="C29" s="18"/>
      <c r="D29" s="16" t="str">
        <f>IFERROR(__xludf.DUMMYFUNCTION("""COMPUTED_VALUE"""),"Optimizacion de Estados")</f>
        <v>Optimizacion de Estados</v>
      </c>
      <c r="E29" s="18"/>
      <c r="F29" s="16" t="str">
        <f>IFERROR(__xludf.DUMMYFUNCTION("""COMPUTED_VALUE"""),"Identificación de Estados Equivalentes")</f>
        <v>Identificación de Estados Equivalentes</v>
      </c>
      <c r="G29" s="17"/>
      <c r="H29" s="18"/>
    </row>
    <row r="30" ht="15.75" customHeight="1">
      <c r="A30" s="19">
        <v>3.0</v>
      </c>
      <c r="B30" s="16" t="str">
        <f>IFERROR(__xludf.DUMMYFUNCTION("""COMPUTED_VALUE"""),"Analisis Lexico")</f>
        <v>Analisis Lexico</v>
      </c>
      <c r="C30" s="18"/>
      <c r="D30" s="16" t="str">
        <f>IFERROR(__xludf.DUMMYFUNCTION("""COMPUTED_VALUE"""),"Optimizacion de Estados")</f>
        <v>Optimizacion de Estados</v>
      </c>
      <c r="E30" s="18"/>
      <c r="F30" s="16" t="str">
        <f>IFERROR(__xludf.DUMMYFUNCTION("""COMPUTED_VALUE"""),"Representación Compacta de AFD")</f>
        <v>Representación Compacta de AFD</v>
      </c>
      <c r="G30" s="17"/>
      <c r="H30" s="18"/>
    </row>
    <row r="31" ht="15.75" customHeight="1">
      <c r="A31" s="19">
        <v>4.0</v>
      </c>
      <c r="B31" s="16" t="str">
        <f>IFERROR(__xludf.DUMMYFUNCTION("""COMPUTED_VALUE"""),"Analisis Lexico")</f>
        <v>Analisis Lexico</v>
      </c>
      <c r="C31" s="18"/>
      <c r="D31" s="16" t="str">
        <f>IFERROR(__xludf.DUMMYFUNCTION("""COMPUTED_VALUE"""),"Optimizacion de Estados")</f>
        <v>Optimizacion de Estados</v>
      </c>
      <c r="E31" s="18"/>
      <c r="F31" s="16" t="str">
        <f>IFERROR(__xludf.DUMMYFUNCTION("""COMPUTED_VALUE"""),"Ventajas de una representación optimizada")</f>
        <v>Ventajas de una representación optimizada</v>
      </c>
      <c r="G31" s="17"/>
      <c r="H31" s="18"/>
    </row>
    <row r="32" ht="15.75" customHeight="1">
      <c r="A32" s="19">
        <v>5.0</v>
      </c>
      <c r="B32" s="16" t="str">
        <f>IFERROR(__xludf.DUMMYFUNCTION("""COMPUTED_VALUE"""),"Analisis Sintactico")</f>
        <v>Analisis Sintactico</v>
      </c>
      <c r="C32" s="18"/>
      <c r="D32" s="16" t="str">
        <f>IFERROR(__xludf.DUMMYFUNCTION("""COMPUTED_VALUE"""),"Funcion del Analizador Sintactico")</f>
        <v>Funcion del Analizador Sintactico</v>
      </c>
      <c r="E32" s="18"/>
      <c r="F32" s="16" t="str">
        <f>IFERROR(__xludf.DUMMYFUNCTION("""COMPUTED_VALUE"""),"Definición de análisis sintáctico")</f>
        <v>Definición de análisis sintáctico</v>
      </c>
      <c r="G32" s="17"/>
      <c r="H32" s="18"/>
    </row>
    <row r="33" ht="15.75" customHeight="1">
      <c r="A33" s="19">
        <v>6.0</v>
      </c>
      <c r="B33" s="16" t="str">
        <f>IFERROR(__xludf.DUMMYFUNCTION("""COMPUTED_VALUE"""),"Analisis Sintactico")</f>
        <v>Analisis Sintactico</v>
      </c>
      <c r="C33" s="18"/>
      <c r="D33" s="16" t="str">
        <f>IFERROR(__xludf.DUMMYFUNCTION("""COMPUTED_VALUE"""),"Funcion del Analizador Sintactico")</f>
        <v>Funcion del Analizador Sintactico</v>
      </c>
      <c r="E33" s="18"/>
      <c r="F33" s="16" t="str">
        <f>IFERROR(__xludf.DUMMYFUNCTION("""COMPUTED_VALUE"""),"Propósito del analizador sintáctico en un compilador")</f>
        <v>Propósito del analizador sintáctico en un compilador</v>
      </c>
      <c r="G33" s="17"/>
      <c r="H33" s="18"/>
    </row>
    <row r="34" ht="15.75" customHeight="1">
      <c r="A34" s="19">
        <v>7.0</v>
      </c>
      <c r="B34" s="16" t="str">
        <f>IFERROR(__xludf.DUMMYFUNCTION("""COMPUTED_VALUE"""),"Analisis Sintactico")</f>
        <v>Analisis Sintactico</v>
      </c>
      <c r="C34" s="18"/>
      <c r="D34" s="16" t="str">
        <f>IFERROR(__xludf.DUMMYFUNCTION("""COMPUTED_VALUE"""),"Funcion del Analizador Sintactico")</f>
        <v>Funcion del Analizador Sintactico</v>
      </c>
      <c r="E34" s="18"/>
      <c r="F34" s="16" t="str">
        <f>IFERROR(__xludf.DUMMYFUNCTION("""COMPUTED_VALUE"""),"Diferencias entre análisis léxico y sintáctico")</f>
        <v>Diferencias entre análisis léxico y sintáctico</v>
      </c>
      <c r="G34" s="17"/>
      <c r="H34" s="18"/>
    </row>
    <row r="35" ht="15.75" customHeight="1">
      <c r="A35" s="19">
        <v>8.0</v>
      </c>
      <c r="B35" s="16" t="str">
        <f>IFERROR(__xludf.DUMMYFUNCTION("""COMPUTED_VALUE"""),"Analisis Sintactico")</f>
        <v>Analisis Sintactico</v>
      </c>
      <c r="C35" s="18"/>
      <c r="D35" s="16" t="str">
        <f>IFERROR(__xludf.DUMMYFUNCTION("""COMPUTED_VALUE"""),"Funcion del Analizador Sintactico")</f>
        <v>Funcion del Analizador Sintactico</v>
      </c>
      <c r="E35" s="18"/>
      <c r="F35" s="16" t="str">
        <f>IFERROR(__xludf.DUMMYFUNCTION("""COMPUTED_VALUE"""),"Analizadores sintácticos ascendentes")</f>
        <v>Analizadores sintácticos ascendentes</v>
      </c>
      <c r="G35" s="17"/>
      <c r="H35" s="18"/>
    </row>
    <row r="36" ht="15.75" customHeight="1">
      <c r="A36" s="19">
        <v>9.0</v>
      </c>
      <c r="B36" s="16" t="str">
        <f>IFERROR(__xludf.DUMMYFUNCTION("""COMPUTED_VALUE"""),"Analisis Sintactico")</f>
        <v>Analisis Sintactico</v>
      </c>
      <c r="C36" s="18"/>
      <c r="D36" s="16" t="str">
        <f>IFERROR(__xludf.DUMMYFUNCTION("""COMPUTED_VALUE"""),"Funcion del Analizador Sintactico")</f>
        <v>Funcion del Analizador Sintactico</v>
      </c>
      <c r="E36" s="18"/>
      <c r="F36" s="16" t="str">
        <f>IFERROR(__xludf.DUMMYFUNCTION("""COMPUTED_VALUE"""),"Analizadores sintácticos descendentes")</f>
        <v>Analizadores sintácticos descendentes</v>
      </c>
      <c r="G36" s="17"/>
      <c r="H36" s="18"/>
    </row>
    <row r="37" ht="15.75" customHeight="1">
      <c r="A37" s="19">
        <v>10.0</v>
      </c>
      <c r="B37" s="16" t="str">
        <f>IFERROR(__xludf.DUMMYFUNCTION("""COMPUTED_VALUE"""),"Analisis Sintactico")</f>
        <v>Analisis Sintactico</v>
      </c>
      <c r="C37" s="18"/>
      <c r="D37" s="16" t="str">
        <f>IFERROR(__xludf.DUMMYFUNCTION("""COMPUTED_VALUE"""),"Funcion del Analizador Sintactico")</f>
        <v>Funcion del Analizador Sintactico</v>
      </c>
      <c r="E37" s="18"/>
      <c r="F37" s="16" t="str">
        <f>IFERROR(__xludf.DUMMYFUNCTION("""COMPUTED_VALUE"""),"Comparación de técnicas de análisis sintáctico")</f>
        <v>Comparación de técnicas de análisis sintáctico</v>
      </c>
      <c r="G37" s="17"/>
      <c r="H37" s="18"/>
    </row>
    <row r="38" ht="15.75" customHeight="1">
      <c r="A38" s="19">
        <v>11.0</v>
      </c>
      <c r="B38" s="16" t="str">
        <f>IFERROR(__xludf.DUMMYFUNCTION("""COMPUTED_VALUE"""),"Analisis Sintactico")</f>
        <v>Analisis Sintactico</v>
      </c>
      <c r="C38" s="18"/>
      <c r="D38" s="16" t="str">
        <f>IFERROR(__xludf.DUMMYFUNCTION("""COMPUTED_VALUE"""),"Lenguajes Libres de Contexto")</f>
        <v>Lenguajes Libres de Contexto</v>
      </c>
      <c r="E38" s="18"/>
      <c r="F38" s="16" t="str">
        <f>IFERROR(__xludf.DUMMYFUNCTION("""COMPUTED_VALUE"""),"Definición de lenguajes libres de contexto (LFC)")</f>
        <v>Definición de lenguajes libres de contexto (LFC)</v>
      </c>
      <c r="G38" s="17"/>
      <c r="H38" s="18"/>
    </row>
    <row r="39" ht="15.75" customHeight="1">
      <c r="A39" s="19">
        <v>12.0</v>
      </c>
      <c r="B39" s="16" t="str">
        <f>IFERROR(__xludf.DUMMYFUNCTION("""COMPUTED_VALUE"""),"Analisis Sintactico")</f>
        <v>Analisis Sintactico</v>
      </c>
      <c r="C39" s="18"/>
      <c r="D39" s="16" t="str">
        <f>IFERROR(__xludf.DUMMYFUNCTION("""COMPUTED_VALUE"""),"Lenguajes Libres de Contexto")</f>
        <v>Lenguajes Libres de Contexto</v>
      </c>
      <c r="E39" s="18"/>
      <c r="F39" s="16" t="str">
        <f>IFERROR(__xludf.DUMMYFUNCTION("""COMPUTED_VALUE"""),"Características de LFC")</f>
        <v>Características de LFC</v>
      </c>
      <c r="G39" s="17"/>
      <c r="H39" s="18"/>
    </row>
    <row r="40" ht="15.75" customHeight="1">
      <c r="A40" s="19">
        <v>13.0</v>
      </c>
      <c r="B40" s="16" t="str">
        <f>IFERROR(__xludf.DUMMYFUNCTION("""COMPUTED_VALUE"""),"Analisis Sintactico")</f>
        <v>Analisis Sintactico</v>
      </c>
      <c r="C40" s="18"/>
      <c r="D40" s="16" t="str">
        <f>IFERROR(__xludf.DUMMYFUNCTION("""COMPUTED_VALUE"""),"Lenguajes Libres de Contexto")</f>
        <v>Lenguajes Libres de Contexto</v>
      </c>
      <c r="E40" s="18"/>
      <c r="F40" s="16" t="str">
        <f>IFERROR(__xludf.DUMMYFUNCTION("""COMPUTED_VALUE"""),"Importancia de los LFC en la teoría de lenguajes de programación")</f>
        <v>Importancia de los LFC en la teoría de lenguajes de programación</v>
      </c>
      <c r="G40" s="17"/>
      <c r="H40" s="18"/>
    </row>
    <row r="41" ht="15.75" customHeight="1">
      <c r="A41" s="19">
        <v>14.0</v>
      </c>
      <c r="B41" s="16" t="str">
        <f>IFERROR(__xludf.DUMMYFUNCTION("""COMPUTED_VALUE"""),"Analisis Sintactico")</f>
        <v>Analisis Sintactico</v>
      </c>
      <c r="C41" s="18"/>
      <c r="D41" s="16" t="str">
        <f>IFERROR(__xludf.DUMMYFUNCTION("""COMPUTED_VALUE"""),"Lenguajes Libres de Contexto")</f>
        <v>Lenguajes Libres de Contexto</v>
      </c>
      <c r="E41" s="18"/>
      <c r="F41" s="16" t="str">
        <f>IFERROR(__xludf.DUMMYFUNCTION("""COMPUTED_VALUE"""),"Gramáticas Tipo 2")</f>
        <v>Gramáticas Tipo 2</v>
      </c>
      <c r="G41" s="17"/>
      <c r="H41" s="18"/>
    </row>
    <row r="42" ht="15.75" customHeight="1">
      <c r="A42" s="19">
        <v>15.0</v>
      </c>
      <c r="B42" s="16" t="str">
        <f>IFERROR(__xludf.DUMMYFUNCTION("""COMPUTED_VALUE"""),"Analisis Sintactico")</f>
        <v>Analisis Sintactico</v>
      </c>
      <c r="C42" s="18"/>
      <c r="D42" s="16" t="str">
        <f>IFERROR(__xludf.DUMMYFUNCTION("""COMPUTED_VALUE"""),"Lenguajes Libres de Contexto")</f>
        <v>Lenguajes Libres de Contexto</v>
      </c>
      <c r="E42" s="18"/>
      <c r="F42" s="16" t="str">
        <f>IFERROR(__xludf.DUMMYFUNCTION("""COMPUTED_VALUE"""),"Ejemplos de generación de cadenas usando gramáticas Tipo 2")</f>
        <v>Ejemplos de generación de cadenas usando gramáticas Tipo 2</v>
      </c>
      <c r="G42" s="17"/>
      <c r="H42" s="18"/>
    </row>
    <row r="43" ht="15.75" customHeight="1">
      <c r="A43" s="19">
        <v>16.0</v>
      </c>
      <c r="B43" s="16" t="str">
        <f>IFERROR(__xludf.DUMMYFUNCTION("""COMPUTED_VALUE"""),"Analisis Sintactico")</f>
        <v>Analisis Sintactico</v>
      </c>
      <c r="C43" s="18"/>
      <c r="D43" s="16" t="str">
        <f>IFERROR(__xludf.DUMMYFUNCTION("""COMPUTED_VALUE"""),"Lenguajes Libres de Contexto")</f>
        <v>Lenguajes Libres de Contexto</v>
      </c>
      <c r="E43" s="18"/>
      <c r="F43" s="16" t="str">
        <f>IFERROR(__xludf.DUMMYFUNCTION("""COMPUTED_VALUE"""),"Aplicaciones prácticas de gramáticas Tipo 2 en lenguajes de programación")</f>
        <v>Aplicaciones prácticas de gramáticas Tipo 2 en lenguajes de programación</v>
      </c>
      <c r="G43" s="17"/>
      <c r="H43" s="18"/>
    </row>
    <row r="44" ht="15.75" customHeight="1"/>
    <row r="45" ht="15.75" customHeight="1">
      <c r="A45" s="54" t="s">
        <v>178</v>
      </c>
    </row>
    <row r="46" ht="15.75" customHeight="1">
      <c r="A46" s="5"/>
      <c r="B46" s="5"/>
      <c r="C46" s="5"/>
      <c r="D46" s="5"/>
      <c r="E46" s="5"/>
      <c r="F46" s="5"/>
      <c r="G46" s="5"/>
      <c r="H46" s="5"/>
    </row>
    <row r="47" ht="15.75" customHeight="1">
      <c r="A47" s="55" t="s">
        <v>179</v>
      </c>
      <c r="B47" s="55" t="s">
        <v>180</v>
      </c>
      <c r="C47" s="57" t="s">
        <v>181</v>
      </c>
      <c r="D47" s="58" t="s">
        <v>120</v>
      </c>
      <c r="E47" s="17"/>
      <c r="F47" s="17"/>
      <c r="G47" s="17"/>
      <c r="H47" s="18"/>
    </row>
    <row r="48" ht="15.75" customHeight="1">
      <c r="A48" s="19" t="s">
        <v>182</v>
      </c>
      <c r="B48" s="19" t="s">
        <v>183</v>
      </c>
      <c r="C48" s="59" t="s">
        <v>224</v>
      </c>
      <c r="D48" s="20" t="s">
        <v>215</v>
      </c>
      <c r="E48" s="17"/>
      <c r="F48" s="17"/>
      <c r="G48" s="17"/>
      <c r="H48" s="18"/>
    </row>
    <row r="49" ht="15.75" customHeight="1">
      <c r="A49" s="19" t="s">
        <v>184</v>
      </c>
      <c r="B49" s="19" t="s">
        <v>183</v>
      </c>
      <c r="C49" s="59" t="s">
        <v>216</v>
      </c>
      <c r="D49" s="20" t="s">
        <v>217</v>
      </c>
      <c r="E49" s="17"/>
      <c r="F49" s="17"/>
      <c r="G49" s="17"/>
      <c r="H49" s="18"/>
    </row>
    <row r="50" ht="15.75" customHeight="1">
      <c r="A50" s="19" t="s">
        <v>186</v>
      </c>
      <c r="B50" s="19" t="s">
        <v>187</v>
      </c>
      <c r="C50" s="59" t="s">
        <v>218</v>
      </c>
      <c r="D50" s="20" t="s">
        <v>219</v>
      </c>
      <c r="E50" s="17"/>
      <c r="F50" s="17"/>
      <c r="G50" s="17"/>
      <c r="H50" s="18"/>
    </row>
    <row r="51" ht="15.75" customHeight="1">
      <c r="A51" s="19" t="s">
        <v>188</v>
      </c>
      <c r="B51" s="19" t="s">
        <v>183</v>
      </c>
      <c r="C51" s="59" t="s">
        <v>216</v>
      </c>
      <c r="D51" s="20" t="s">
        <v>217</v>
      </c>
      <c r="E51" s="17"/>
      <c r="F51" s="17"/>
      <c r="G51" s="17"/>
      <c r="H51" s="18"/>
    </row>
    <row r="52" ht="15.75" customHeight="1"/>
    <row r="53" ht="15.75" customHeight="1">
      <c r="A53" s="44" t="s">
        <v>189</v>
      </c>
      <c r="G53" s="34" t="s">
        <v>120</v>
      </c>
      <c r="H53" s="45">
        <v>40.0</v>
      </c>
    </row>
    <row r="54" ht="15.75" customHeight="1">
      <c r="G54" s="24" t="s">
        <v>190</v>
      </c>
    </row>
    <row r="55" ht="15.75" customHeight="1">
      <c r="A55" s="24" t="s">
        <v>191</v>
      </c>
    </row>
    <row r="56" ht="15.75" customHeight="1">
      <c r="A56" s="29" t="s">
        <v>192</v>
      </c>
      <c r="B56" s="20" t="s">
        <v>12</v>
      </c>
      <c r="C56" s="17"/>
      <c r="D56" s="17"/>
      <c r="E56" s="17"/>
      <c r="F56" s="17"/>
      <c r="G56" s="17"/>
      <c r="H56" s="18"/>
    </row>
    <row r="57" ht="15.75" customHeight="1">
      <c r="A57" s="29" t="s">
        <v>193</v>
      </c>
      <c r="B57" s="20" t="s">
        <v>194</v>
      </c>
      <c r="C57" s="17"/>
      <c r="D57" s="17"/>
      <c r="E57" s="17"/>
      <c r="F57" s="17"/>
      <c r="G57" s="17"/>
      <c r="H57" s="18"/>
    </row>
    <row r="58" ht="15.75" customHeight="1">
      <c r="A58" s="29" t="s">
        <v>160</v>
      </c>
      <c r="B58" s="66">
        <v>2.0</v>
      </c>
      <c r="C58" s="17"/>
      <c r="D58" s="17"/>
      <c r="E58" s="17"/>
      <c r="F58" s="17"/>
      <c r="G58" s="17"/>
      <c r="H58" s="18"/>
    </row>
    <row r="59" ht="15.75" customHeight="1">
      <c r="A59" s="29" t="s">
        <v>120</v>
      </c>
      <c r="B59" s="20">
        <v>40.0</v>
      </c>
      <c r="C59" s="17"/>
      <c r="D59" s="17"/>
      <c r="E59" s="17"/>
      <c r="F59" s="17"/>
      <c r="G59" s="17"/>
      <c r="H59" s="18"/>
    </row>
    <row r="60" ht="15.75" customHeight="1">
      <c r="A60" s="38" t="s">
        <v>195</v>
      </c>
      <c r="B60" s="5"/>
      <c r="C60" s="5"/>
      <c r="D60" s="5"/>
      <c r="E60" s="5"/>
      <c r="F60" s="5"/>
      <c r="G60" s="5"/>
      <c r="H60" s="5"/>
    </row>
    <row r="61" ht="15.75" customHeight="1">
      <c r="A61" s="46" t="s">
        <v>196</v>
      </c>
      <c r="B61" s="17"/>
      <c r="C61" s="17"/>
      <c r="D61" s="17"/>
      <c r="E61" s="17"/>
      <c r="F61" s="17"/>
      <c r="G61" s="17"/>
      <c r="H61" s="18"/>
    </row>
    <row r="62" ht="15.75" customHeight="1">
      <c r="A62" s="75" t="s">
        <v>245</v>
      </c>
      <c r="B62" s="48"/>
      <c r="C62" s="48"/>
      <c r="D62" s="48"/>
      <c r="E62" s="48"/>
      <c r="F62" s="48"/>
      <c r="G62" s="48"/>
      <c r="H62" s="49"/>
    </row>
    <row r="63" ht="15.75" customHeight="1">
      <c r="A63" s="62"/>
      <c r="H63" s="63"/>
    </row>
    <row r="64" ht="15.75" customHeight="1">
      <c r="A64" s="50"/>
      <c r="B64" s="51"/>
      <c r="C64" s="51"/>
      <c r="D64" s="51"/>
      <c r="E64" s="51"/>
      <c r="F64" s="51"/>
      <c r="G64" s="51"/>
      <c r="H64" s="52"/>
    </row>
    <row r="65" ht="15.75" customHeight="1"/>
    <row r="66" ht="15.75" customHeight="1">
      <c r="A66" s="24" t="s">
        <v>198</v>
      </c>
    </row>
    <row r="67">
      <c r="A67" s="29" t="s">
        <v>192</v>
      </c>
      <c r="B67" s="16"/>
      <c r="C67" s="17"/>
      <c r="D67" s="17"/>
      <c r="E67" s="17"/>
      <c r="F67" s="17"/>
      <c r="G67" s="17"/>
      <c r="H67" s="18"/>
    </row>
    <row r="68" ht="15.75" customHeight="1">
      <c r="A68" s="29" t="s">
        <v>193</v>
      </c>
      <c r="B68" s="16"/>
      <c r="C68" s="17"/>
      <c r="D68" s="17"/>
      <c r="E68" s="17"/>
      <c r="F68" s="17"/>
      <c r="G68" s="17"/>
      <c r="H68" s="18"/>
    </row>
    <row r="69" ht="15.75" customHeight="1">
      <c r="A69" s="29" t="s">
        <v>160</v>
      </c>
      <c r="B69" s="60"/>
      <c r="C69" s="17"/>
      <c r="D69" s="17"/>
      <c r="E69" s="17"/>
      <c r="F69" s="17"/>
      <c r="G69" s="17"/>
      <c r="H69" s="18"/>
    </row>
    <row r="70" ht="15.75" customHeight="1">
      <c r="A70" s="29" t="s">
        <v>120</v>
      </c>
      <c r="B70" s="60"/>
      <c r="C70" s="17"/>
      <c r="D70" s="17"/>
      <c r="E70" s="17"/>
      <c r="F70" s="17"/>
      <c r="G70" s="17"/>
      <c r="H70" s="18"/>
    </row>
    <row r="71" ht="15.75" customHeight="1">
      <c r="A71" s="64" t="s">
        <v>199</v>
      </c>
      <c r="B71" s="5"/>
      <c r="C71" s="5"/>
      <c r="D71" s="5"/>
      <c r="E71" s="5"/>
      <c r="F71" s="5"/>
      <c r="G71" s="5"/>
      <c r="H71" s="5"/>
    </row>
    <row r="72" ht="15.75" customHeight="1">
      <c r="A72" s="46" t="s">
        <v>196</v>
      </c>
      <c r="B72" s="17"/>
      <c r="C72" s="17"/>
      <c r="D72" s="17"/>
      <c r="E72" s="17"/>
      <c r="F72" s="17"/>
      <c r="G72" s="17"/>
      <c r="H72" s="18"/>
    </row>
    <row r="73" ht="15.75" customHeight="1">
      <c r="A73" s="65"/>
      <c r="B73" s="48"/>
      <c r="C73" s="48"/>
      <c r="D73" s="48"/>
      <c r="E73" s="48"/>
      <c r="F73" s="48"/>
      <c r="G73" s="48"/>
      <c r="H73" s="49"/>
    </row>
    <row r="74" ht="15.75" customHeight="1">
      <c r="A74" s="62"/>
      <c r="H74" s="63"/>
    </row>
    <row r="75" ht="15.75" customHeight="1">
      <c r="A75" s="50"/>
      <c r="B75" s="51"/>
      <c r="C75" s="51"/>
      <c r="D75" s="51"/>
      <c r="E75" s="51"/>
      <c r="F75" s="51"/>
      <c r="G75" s="51"/>
      <c r="H75" s="52"/>
    </row>
    <row r="76" ht="15.75" customHeight="1"/>
    <row r="77" ht="15.75" customHeight="1">
      <c r="A77" s="44" t="s">
        <v>200</v>
      </c>
      <c r="G77" s="34" t="s">
        <v>120</v>
      </c>
      <c r="H77" s="45">
        <v>10.0</v>
      </c>
    </row>
    <row r="78" ht="15.75" customHeight="1">
      <c r="G78" s="24" t="s">
        <v>201</v>
      </c>
    </row>
    <row r="79" ht="15.75" customHeight="1">
      <c r="A79" s="29" t="s">
        <v>120</v>
      </c>
      <c r="B79" s="60"/>
      <c r="C79" s="17"/>
      <c r="D79" s="17"/>
      <c r="E79" s="17"/>
      <c r="F79" s="17"/>
      <c r="G79" s="17"/>
      <c r="H79" s="18"/>
    </row>
    <row r="80" ht="15.75" customHeight="1">
      <c r="A80" s="58" t="s">
        <v>202</v>
      </c>
      <c r="B80" s="17"/>
      <c r="C80" s="17"/>
      <c r="D80" s="17"/>
      <c r="E80" s="17"/>
      <c r="F80" s="17"/>
      <c r="G80" s="17"/>
      <c r="H80" s="18"/>
    </row>
    <row r="81" ht="15.75" customHeight="1">
      <c r="A81" s="65"/>
      <c r="B81" s="48"/>
      <c r="C81" s="48"/>
      <c r="D81" s="48"/>
      <c r="E81" s="48"/>
      <c r="F81" s="48"/>
      <c r="G81" s="48"/>
      <c r="H81" s="49"/>
    </row>
    <row r="82" ht="15.75" customHeight="1">
      <c r="A82" s="50"/>
      <c r="B82" s="51"/>
      <c r="C82" s="51"/>
      <c r="D82" s="51"/>
      <c r="E82" s="51"/>
      <c r="F82" s="51"/>
      <c r="G82" s="51"/>
      <c r="H82" s="52"/>
    </row>
    <row r="83" ht="15.75" customHeight="1">
      <c r="A83" s="24" t="s">
        <v>203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8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B79:H79"/>
    <mergeCell ref="A80:H80"/>
    <mergeCell ref="A81:H82"/>
    <mergeCell ref="B67:H67"/>
    <mergeCell ref="B68:H68"/>
    <mergeCell ref="B69:H69"/>
    <mergeCell ref="B70:H70"/>
    <mergeCell ref="A72:H72"/>
    <mergeCell ref="A73:H75"/>
    <mergeCell ref="A77:F77"/>
    <mergeCell ref="D37:E37"/>
    <mergeCell ref="F37:H37"/>
    <mergeCell ref="B35:C35"/>
    <mergeCell ref="D35:E35"/>
    <mergeCell ref="F35:H35"/>
    <mergeCell ref="B36:C36"/>
    <mergeCell ref="D36:E36"/>
    <mergeCell ref="F36:H36"/>
    <mergeCell ref="B37:C37"/>
    <mergeCell ref="D40:E40"/>
    <mergeCell ref="F40:H40"/>
    <mergeCell ref="B38:C38"/>
    <mergeCell ref="D38:E38"/>
    <mergeCell ref="F38:H38"/>
    <mergeCell ref="B39:C39"/>
    <mergeCell ref="D39:E39"/>
    <mergeCell ref="F39:H39"/>
    <mergeCell ref="B40:C40"/>
    <mergeCell ref="B41:C41"/>
    <mergeCell ref="D41:E41"/>
    <mergeCell ref="F41:H41"/>
    <mergeCell ref="B42:C42"/>
    <mergeCell ref="D42:E42"/>
    <mergeCell ref="F42:H42"/>
    <mergeCell ref="B43:C43"/>
    <mergeCell ref="D43:E43"/>
    <mergeCell ref="F43:H43"/>
    <mergeCell ref="D47:H47"/>
    <mergeCell ref="D48:H48"/>
    <mergeCell ref="D49:H49"/>
    <mergeCell ref="D50:H50"/>
    <mergeCell ref="D51:H51"/>
    <mergeCell ref="A53:F53"/>
    <mergeCell ref="B56:H56"/>
    <mergeCell ref="B57:H57"/>
    <mergeCell ref="B58:H58"/>
    <mergeCell ref="B59:H59"/>
    <mergeCell ref="A61:H61"/>
    <mergeCell ref="A62:H64"/>
  </mergeCells>
  <dataValidations>
    <dataValidation type="list" allowBlank="1" showErrorMessage="1" sqref="B23:B24 B56 B67">
      <formula1>METADATA!$I$17:$I$40</formula1>
    </dataValidation>
    <dataValidation type="list" allowBlank="1" showErrorMessage="1" sqref="B57">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11.0</v>
      </c>
      <c r="D5" s="17"/>
      <c r="E5" s="17"/>
      <c r="F5" s="17"/>
      <c r="G5" s="18"/>
    </row>
    <row r="6" ht="15.75" customHeight="1">
      <c r="B6" s="43" t="s">
        <v>118</v>
      </c>
      <c r="C6" s="16">
        <f>H10+H21+H53+H77</f>
        <v>100</v>
      </c>
      <c r="D6" s="17"/>
      <c r="E6" s="17"/>
      <c r="F6" s="17"/>
      <c r="G6" s="18"/>
      <c r="I6" s="5"/>
    </row>
    <row r="7" ht="15.75" customHeight="1">
      <c r="B7" s="43" t="s">
        <v>160</v>
      </c>
      <c r="C7" s="16">
        <f>B58+B69</f>
        <v>0</v>
      </c>
      <c r="D7" s="17"/>
      <c r="E7" s="17"/>
      <c r="F7" s="17"/>
      <c r="G7" s="18"/>
    </row>
    <row r="8" ht="15.75" customHeight="1">
      <c r="B8" s="43" t="s">
        <v>161</v>
      </c>
      <c r="C8" s="16" t="str">
        <f>IF(H53&lt;=0, "❌ ERROR: La Actividad 1 debe tener un tiempo mayor a 0.", IF(H21&gt;60, "❌ ERROR: El 'Área de Conocimiento' no puede exceder los 60 min.", IF((H10+H21+H53)&lt;100,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246</v>
      </c>
      <c r="C12" s="17"/>
      <c r="D12" s="17"/>
      <c r="E12" s="17"/>
      <c r="F12" s="17"/>
      <c r="G12" s="17"/>
      <c r="H12" s="18"/>
    </row>
    <row r="13" ht="15.75" customHeight="1">
      <c r="A13" s="30" t="s">
        <v>120</v>
      </c>
      <c r="B13" s="20">
        <v>5.0</v>
      </c>
      <c r="C13" s="17"/>
      <c r="D13" s="17"/>
      <c r="E13" s="17"/>
      <c r="F13" s="17"/>
      <c r="G13" s="17"/>
      <c r="H13" s="18"/>
    </row>
    <row r="14" ht="15.75" customHeight="1">
      <c r="A14" s="46" t="s">
        <v>166</v>
      </c>
      <c r="B14" s="17"/>
      <c r="C14" s="17"/>
      <c r="D14" s="17"/>
      <c r="E14" s="17"/>
      <c r="F14" s="17"/>
      <c r="G14" s="17"/>
      <c r="H14" s="18"/>
    </row>
    <row r="15" ht="15.75" customHeight="1">
      <c r="A15" s="75" t="s">
        <v>247</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5"/>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248</v>
      </c>
      <c r="C23" s="17"/>
      <c r="D23" s="17"/>
      <c r="E23" s="17"/>
      <c r="F23" s="17"/>
      <c r="G23" s="17"/>
      <c r="H23" s="18"/>
    </row>
    <row r="24" ht="15.75" customHeight="1">
      <c r="A24" s="29" t="s">
        <v>172</v>
      </c>
      <c r="B24" s="20" t="s">
        <v>83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Sintactico")</f>
        <v>Analisis Sintactico</v>
      </c>
      <c r="C28" s="18"/>
      <c r="D28" s="16" t="str">
        <f>IFERROR(__xludf.DUMMYFUNCTION("FILTER('Diseño'!E:E,'Diseño'!H:H=$C$5)"),"Arboles de Derivacion y Ambigueadad")</f>
        <v>Arboles de Derivacion y Ambigueadad</v>
      </c>
      <c r="E28" s="18"/>
      <c r="F28" s="16" t="str">
        <f>IFERROR(__xludf.DUMMYFUNCTION("FILTER('Diseño'!F:F,'Diseño'!H:H=$C$5)"),"Árboles de derivación")</f>
        <v>Árboles de derivación</v>
      </c>
      <c r="G28" s="17"/>
      <c r="H28" s="18"/>
    </row>
    <row r="29" ht="15.75" customHeight="1">
      <c r="A29" s="19">
        <v>2.0</v>
      </c>
      <c r="B29" s="16" t="str">
        <f>IFERROR(__xludf.DUMMYFUNCTION("""COMPUTED_VALUE"""),"Analisis Sintactico")</f>
        <v>Analisis Sintactico</v>
      </c>
      <c r="C29" s="18"/>
      <c r="D29" s="16" t="str">
        <f>IFERROR(__xludf.DUMMYFUNCTION("""COMPUTED_VALUE"""),"Arboles de Derivacion y Ambigueadad")</f>
        <v>Arboles de Derivacion y Ambigueadad</v>
      </c>
      <c r="E29" s="18"/>
      <c r="F29" s="16" t="str">
        <f>IFERROR(__xludf.DUMMYFUNCTION("""COMPUTED_VALUE"""),"Definición y construcción de árboles de derivación")</f>
        <v>Definición y construcción de árboles de derivación</v>
      </c>
      <c r="G29" s="17"/>
      <c r="H29" s="18"/>
    </row>
    <row r="30" ht="15.75" customHeight="1">
      <c r="A30" s="19">
        <v>3.0</v>
      </c>
      <c r="B30" s="16" t="str">
        <f>IFERROR(__xludf.DUMMYFUNCTION("""COMPUTED_VALUE"""),"Analisis Sintactico")</f>
        <v>Analisis Sintactico</v>
      </c>
      <c r="C30" s="18"/>
      <c r="D30" s="16" t="str">
        <f>IFERROR(__xludf.DUMMYFUNCTION("""COMPUTED_VALUE"""),"Arboles de Derivacion y Ambigueadad")</f>
        <v>Arboles de Derivacion y Ambigueadad</v>
      </c>
      <c r="E30" s="18"/>
      <c r="F30" s="16" t="str">
        <f>IFERROR(__xludf.DUMMYFUNCTION("""COMPUTED_VALUE"""),"Ambigüedad")</f>
        <v>Ambigüedad</v>
      </c>
      <c r="G30" s="17"/>
      <c r="H30" s="18"/>
    </row>
    <row r="31" ht="15.75" customHeight="1">
      <c r="A31" s="19">
        <v>4.0</v>
      </c>
      <c r="B31" s="16" t="str">
        <f>IFERROR(__xludf.DUMMYFUNCTION("""COMPUTED_VALUE"""),"Analisis Sintactico")</f>
        <v>Analisis Sintactico</v>
      </c>
      <c r="C31" s="18"/>
      <c r="D31" s="16" t="str">
        <f>IFERROR(__xludf.DUMMYFUNCTION("""COMPUTED_VALUE"""),"Arboles de Derivacion y Ambigueadad")</f>
        <v>Arboles de Derivacion y Ambigueadad</v>
      </c>
      <c r="E31" s="18"/>
      <c r="F31" s="16" t="str">
        <f>IFERROR(__xludf.DUMMYFUNCTION("""COMPUTED_VALUE"""),"Concepto de ambigüedad en gramáticas")</f>
        <v>Concepto de ambigüedad en gramáticas</v>
      </c>
      <c r="G31" s="17"/>
      <c r="H31" s="18"/>
    </row>
    <row r="32" ht="15.75" customHeight="1">
      <c r="A32" s="19">
        <v>5.0</v>
      </c>
      <c r="B32" s="16" t="str">
        <f>IFERROR(__xludf.DUMMYFUNCTION("""COMPUTED_VALUE"""),"Analisis Sintactico")</f>
        <v>Analisis Sintactico</v>
      </c>
      <c r="C32" s="18"/>
      <c r="D32" s="16" t="str">
        <f>IFERROR(__xludf.DUMMYFUNCTION("""COMPUTED_VALUE"""),"Arboles de Derivacion y Ambigueadad")</f>
        <v>Arboles de Derivacion y Ambigueadad</v>
      </c>
      <c r="E32" s="18"/>
      <c r="F32" s="16" t="str">
        <f>IFERROR(__xludf.DUMMYFUNCTION("""COMPUTED_VALUE"""),"Ejemplos de gramáticas ambiguas")</f>
        <v>Ejemplos de gramáticas ambiguas</v>
      </c>
      <c r="G32" s="17"/>
      <c r="H32" s="18"/>
    </row>
    <row r="33" ht="15.75" customHeight="1">
      <c r="A33" s="19">
        <v>6.0</v>
      </c>
      <c r="B33" s="16" t="str">
        <f>IFERROR(__xludf.DUMMYFUNCTION("""COMPUTED_VALUE"""),"Analisis Sintactico")</f>
        <v>Analisis Sintactico</v>
      </c>
      <c r="C33" s="18"/>
      <c r="D33" s="16" t="str">
        <f>IFERROR(__xludf.DUMMYFUNCTION("""COMPUTED_VALUE"""),"Arboles de Derivacion y Ambigueadad")</f>
        <v>Arboles de Derivacion y Ambigueadad</v>
      </c>
      <c r="E33" s="18"/>
      <c r="F33" s="16" t="str">
        <f>IFERROR(__xludf.DUMMYFUNCTION("""COMPUTED_VALUE"""),"Recursividad")</f>
        <v>Recursividad</v>
      </c>
      <c r="G33" s="17"/>
      <c r="H33" s="18"/>
    </row>
    <row r="34" ht="15.75" customHeight="1">
      <c r="A34" s="19">
        <v>7.0</v>
      </c>
      <c r="B34" s="16" t="str">
        <f>IFERROR(__xludf.DUMMYFUNCTION("""COMPUTED_VALUE"""),"Analisis Sintactico")</f>
        <v>Analisis Sintactico</v>
      </c>
      <c r="C34" s="18"/>
      <c r="D34" s="16" t="str">
        <f>IFERROR(__xludf.DUMMYFUNCTION("""COMPUTED_VALUE"""),"Arboles de Derivacion y Ambigueadad")</f>
        <v>Arboles de Derivacion y Ambigueadad</v>
      </c>
      <c r="E34" s="18"/>
      <c r="F34" s="16" t="str">
        <f>IFERROR(__xludf.DUMMYFUNCTION("""COMPUTED_VALUE"""),"Definición de recursividad en gramáticas")</f>
        <v>Definición de recursividad en gramáticas</v>
      </c>
      <c r="G34" s="17"/>
      <c r="H34" s="18"/>
    </row>
    <row r="35" ht="15.75" customHeight="1">
      <c r="A35" s="19">
        <v>8.0</v>
      </c>
      <c r="B35" s="16" t="str">
        <f>IFERROR(__xludf.DUMMYFUNCTION("""COMPUTED_VALUE"""),"Analisis Sintactico")</f>
        <v>Analisis Sintactico</v>
      </c>
      <c r="C35" s="18"/>
      <c r="D35" s="16" t="str">
        <f>IFERROR(__xludf.DUMMYFUNCTION("""COMPUTED_VALUE"""),"Arboles de Derivacion y Ambigueadad")</f>
        <v>Arboles de Derivacion y Ambigueadad</v>
      </c>
      <c r="E35" s="18"/>
      <c r="F35" s="16" t="str">
        <f>IFERROR(__xludf.DUMMYFUNCTION("""COMPUTED_VALUE"""),"Ejemplos de gramáticas recursivas")</f>
        <v>Ejemplos de gramáticas recursivas</v>
      </c>
      <c r="G35" s="17"/>
      <c r="H35" s="18"/>
    </row>
    <row r="36" ht="15.75" customHeight="1">
      <c r="A36" s="19">
        <v>9.0</v>
      </c>
      <c r="B36" s="16" t="str">
        <f>IFERROR(__xludf.DUMMYFUNCTION("""COMPUTED_VALUE"""),"Analisis Sintactico")</f>
        <v>Analisis Sintactico</v>
      </c>
      <c r="C36" s="18"/>
      <c r="D36" s="16" t="str">
        <f>IFERROR(__xludf.DUMMYFUNCTION("""COMPUTED_VALUE"""),"Automatas de Pila")</f>
        <v>Automatas de Pila</v>
      </c>
      <c r="E36" s="18"/>
      <c r="F36" s="16" t="str">
        <f>IFERROR(__xludf.DUMMYFUNCTION("""COMPUTED_VALUE"""),"Introducción a los autómatas de pila")</f>
        <v>Introducción a los autómatas de pila</v>
      </c>
      <c r="G36" s="17"/>
      <c r="H36" s="18"/>
    </row>
    <row r="37" ht="15.75" customHeight="1">
      <c r="A37" s="19">
        <v>10.0</v>
      </c>
      <c r="B37" s="16" t="str">
        <f>IFERROR(__xludf.DUMMYFUNCTION("""COMPUTED_VALUE"""),"Analisis Sintactico")</f>
        <v>Analisis Sintactico</v>
      </c>
      <c r="C37" s="18"/>
      <c r="D37" s="16" t="str">
        <f>IFERROR(__xludf.DUMMYFUNCTION("""COMPUTED_VALUE"""),"Automatas de Pila")</f>
        <v>Automatas de Pila</v>
      </c>
      <c r="E37" s="18"/>
      <c r="F37" s="16" t="str">
        <f>IFERROR(__xludf.DUMMYFUNCTION("""COMPUTED_VALUE"""),"Definición y funcionamiento de un autómata de pila")</f>
        <v>Definición y funcionamiento de un autómata de pila</v>
      </c>
      <c r="G37" s="17"/>
      <c r="H37" s="18"/>
    </row>
    <row r="38" ht="15.75" customHeight="1">
      <c r="A38" s="19">
        <v>11.0</v>
      </c>
      <c r="B38" s="16" t="str">
        <f>IFERROR(__xludf.DUMMYFUNCTION("""COMPUTED_VALUE"""),"Analisis Sintactico")</f>
        <v>Analisis Sintactico</v>
      </c>
      <c r="C38" s="18"/>
      <c r="D38" s="16" t="str">
        <f>IFERROR(__xludf.DUMMYFUNCTION("""COMPUTED_VALUE"""),"Automatas de Pila")</f>
        <v>Automatas de Pila</v>
      </c>
      <c r="E38" s="18"/>
      <c r="F38" s="16" t="str">
        <f>IFERROR(__xludf.DUMMYFUNCTION("""COMPUTED_VALUE"""),"Diferencias entre autómatas de pila y autómatas finitos")</f>
        <v>Diferencias entre autómatas de pila y autómatas finitos</v>
      </c>
      <c r="G38" s="17"/>
      <c r="H38" s="18"/>
    </row>
    <row r="39" ht="15.75" customHeight="1">
      <c r="A39" s="19">
        <v>12.0</v>
      </c>
      <c r="B39" s="16" t="str">
        <f>IFERROR(__xludf.DUMMYFUNCTION("""COMPUTED_VALUE"""),"Analisis Sintactico")</f>
        <v>Analisis Sintactico</v>
      </c>
      <c r="C39" s="18"/>
      <c r="D39" s="16" t="str">
        <f>IFERROR(__xludf.DUMMYFUNCTION("""COMPUTED_VALUE"""),"Automatas de Pila")</f>
        <v>Automatas de Pila</v>
      </c>
      <c r="E39" s="18"/>
      <c r="F39" s="16" t="str">
        <f>IFERROR(__xludf.DUMMYFUNCTION("""COMPUTED_VALUE"""),"Procesamiento")</f>
        <v>Procesamiento</v>
      </c>
      <c r="G39" s="17"/>
      <c r="H39" s="18"/>
    </row>
    <row r="40" ht="15.75" customHeight="1">
      <c r="A40" s="19">
        <v>13.0</v>
      </c>
      <c r="B40" s="16" t="str">
        <f>IFERROR(__xludf.DUMMYFUNCTION("""COMPUTED_VALUE"""),"Analisis Sintactico")</f>
        <v>Analisis Sintactico</v>
      </c>
      <c r="C40" s="18"/>
      <c r="D40" s="16" t="str">
        <f>IFERROR(__xludf.DUMMYFUNCTION("""COMPUTED_VALUE"""),"Automatas de Pila")</f>
        <v>Automatas de Pila</v>
      </c>
      <c r="E40" s="18"/>
      <c r="F40" s="16" t="str">
        <f>IFERROR(__xludf.DUMMYFUNCTION("""COMPUTED_VALUE"""),"Tipos de aceptación")</f>
        <v>Tipos de aceptación</v>
      </c>
      <c r="G40" s="17"/>
      <c r="H40" s="18"/>
    </row>
    <row r="41" ht="15.75" customHeight="1">
      <c r="A41" s="19">
        <v>14.0</v>
      </c>
      <c r="B41" s="16" t="str">
        <f>IFERROR(__xludf.DUMMYFUNCTION("""COMPUTED_VALUE"""),"Analisis Sintactico")</f>
        <v>Analisis Sintactico</v>
      </c>
      <c r="C41" s="18"/>
      <c r="D41" s="16" t="str">
        <f>IFERROR(__xludf.DUMMYFUNCTION("""COMPUTED_VALUE"""),"Automatas de Pila")</f>
        <v>Automatas de Pila</v>
      </c>
      <c r="E41" s="18"/>
      <c r="F41" s="16" t="str">
        <f>IFERROR(__xludf.DUMMYFUNCTION("""COMPUTED_VALUE"""),"Estado Final")</f>
        <v>Estado Final</v>
      </c>
      <c r="G41" s="17"/>
      <c r="H41" s="18"/>
    </row>
    <row r="42" ht="15.75" customHeight="1">
      <c r="A42" s="19">
        <v>15.0</v>
      </c>
      <c r="B42" s="16" t="str">
        <f>IFERROR(__xludf.DUMMYFUNCTION("""COMPUTED_VALUE"""),"Analisis Sintactico")</f>
        <v>Analisis Sintactico</v>
      </c>
      <c r="C42" s="18"/>
      <c r="D42" s="16" t="str">
        <f>IFERROR(__xludf.DUMMYFUNCTION("""COMPUTED_VALUE"""),"Automatas de Pila")</f>
        <v>Automatas de Pila</v>
      </c>
      <c r="E42" s="18"/>
      <c r="F42" s="16" t="str">
        <f>IFERROR(__xludf.DUMMYFUNCTION("""COMPUTED_VALUE"""),"Pila vacía")</f>
        <v>Pila vacía</v>
      </c>
      <c r="G42" s="17"/>
      <c r="H42" s="18"/>
    </row>
    <row r="43" ht="15.75" customHeight="1">
      <c r="A43" s="19">
        <v>16.0</v>
      </c>
      <c r="B43" s="16" t="str">
        <f>IFERROR(__xludf.DUMMYFUNCTION("""COMPUTED_VALUE"""),"Analisis Sintactico")</f>
        <v>Analisis Sintactico</v>
      </c>
      <c r="C43" s="18"/>
      <c r="D43" s="16" t="str">
        <f>IFERROR(__xludf.DUMMYFUNCTION("""COMPUTED_VALUE"""),"Automatas de Pila")</f>
        <v>Automatas de Pila</v>
      </c>
      <c r="E43" s="18"/>
      <c r="F43" s="16" t="str">
        <f>IFERROR(__xludf.DUMMYFUNCTION("""COMPUTED_VALUE"""),"Autómata de Pila desde Gramática Tipo 2")</f>
        <v>Autómata de Pila desde Gramática Tipo 2</v>
      </c>
      <c r="G43" s="17"/>
      <c r="H43" s="18"/>
    </row>
    <row r="44" ht="15.75" customHeight="1"/>
    <row r="45" ht="15.75" customHeight="1">
      <c r="A45" s="54" t="s">
        <v>178</v>
      </c>
    </row>
    <row r="46" ht="15.75" customHeight="1">
      <c r="A46" s="5"/>
      <c r="B46" s="5"/>
      <c r="C46" s="5"/>
      <c r="D46" s="5"/>
      <c r="E46" s="5"/>
      <c r="F46" s="5"/>
      <c r="G46" s="5"/>
      <c r="H46" s="5"/>
    </row>
    <row r="47" ht="15.75" customHeight="1">
      <c r="A47" s="55" t="s">
        <v>179</v>
      </c>
      <c r="B47" s="55" t="s">
        <v>180</v>
      </c>
      <c r="C47" s="57" t="s">
        <v>181</v>
      </c>
      <c r="D47" s="58" t="s">
        <v>120</v>
      </c>
      <c r="E47" s="17"/>
      <c r="F47" s="17"/>
      <c r="G47" s="17"/>
      <c r="H47" s="18"/>
    </row>
    <row r="48" ht="15.75" customHeight="1">
      <c r="A48" s="19" t="s">
        <v>182</v>
      </c>
      <c r="B48" s="19" t="s">
        <v>183</v>
      </c>
      <c r="C48" s="59" t="s">
        <v>224</v>
      </c>
      <c r="D48" s="20" t="s">
        <v>215</v>
      </c>
      <c r="E48" s="17"/>
      <c r="F48" s="17"/>
      <c r="G48" s="17"/>
      <c r="H48" s="18"/>
    </row>
    <row r="49" ht="15.75" customHeight="1">
      <c r="A49" s="19" t="s">
        <v>184</v>
      </c>
      <c r="B49" s="19" t="s">
        <v>183</v>
      </c>
      <c r="C49" s="59" t="s">
        <v>216</v>
      </c>
      <c r="D49" s="20" t="s">
        <v>217</v>
      </c>
      <c r="E49" s="17"/>
      <c r="F49" s="17"/>
      <c r="G49" s="17"/>
      <c r="H49" s="18"/>
    </row>
    <row r="50" ht="15.75" customHeight="1">
      <c r="A50" s="19" t="s">
        <v>186</v>
      </c>
      <c r="B50" s="19" t="s">
        <v>187</v>
      </c>
      <c r="C50" s="59" t="s">
        <v>218</v>
      </c>
      <c r="D50" s="20" t="s">
        <v>219</v>
      </c>
      <c r="E50" s="17"/>
      <c r="F50" s="17"/>
      <c r="G50" s="17"/>
      <c r="H50" s="18"/>
    </row>
    <row r="51" ht="15.75" customHeight="1">
      <c r="A51" s="19" t="s">
        <v>188</v>
      </c>
      <c r="B51" s="19" t="s">
        <v>183</v>
      </c>
      <c r="C51" s="59" t="s">
        <v>216</v>
      </c>
      <c r="D51" s="20" t="s">
        <v>217</v>
      </c>
      <c r="E51" s="17"/>
      <c r="F51" s="17"/>
      <c r="G51" s="17"/>
      <c r="H51" s="18"/>
    </row>
    <row r="52" ht="15.75" customHeight="1"/>
    <row r="53" ht="15.75" customHeight="1">
      <c r="A53" s="44" t="s">
        <v>189</v>
      </c>
      <c r="G53" s="34" t="s">
        <v>120</v>
      </c>
      <c r="H53" s="45">
        <v>35.0</v>
      </c>
    </row>
    <row r="54" ht="15.75" customHeight="1">
      <c r="G54" s="24" t="s">
        <v>190</v>
      </c>
    </row>
    <row r="55" ht="15.75" customHeight="1">
      <c r="A55" s="24" t="s">
        <v>191</v>
      </c>
    </row>
    <row r="56" ht="15.75" customHeight="1">
      <c r="A56" s="29" t="s">
        <v>192</v>
      </c>
      <c r="B56" s="20" t="s">
        <v>92</v>
      </c>
      <c r="C56" s="17"/>
      <c r="D56" s="17"/>
      <c r="E56" s="17"/>
      <c r="F56" s="17"/>
      <c r="G56" s="17"/>
      <c r="H56" s="18"/>
    </row>
    <row r="57" ht="15.75" customHeight="1">
      <c r="A57" s="29" t="s">
        <v>193</v>
      </c>
      <c r="B57" s="16" t="s">
        <v>229</v>
      </c>
      <c r="C57" s="17"/>
      <c r="D57" s="17"/>
      <c r="E57" s="17"/>
      <c r="F57" s="17"/>
      <c r="G57" s="17"/>
      <c r="H57" s="18"/>
    </row>
    <row r="58" ht="15.75" customHeight="1">
      <c r="A58" s="29" t="s">
        <v>160</v>
      </c>
      <c r="B58" s="60">
        <v>0.0</v>
      </c>
      <c r="C58" s="17"/>
      <c r="D58" s="17"/>
      <c r="E58" s="17"/>
      <c r="F58" s="17"/>
      <c r="G58" s="17"/>
      <c r="H58" s="18"/>
    </row>
    <row r="59" ht="15.75" customHeight="1">
      <c r="A59" s="29" t="s">
        <v>120</v>
      </c>
      <c r="B59" s="20">
        <v>35.0</v>
      </c>
      <c r="C59" s="17"/>
      <c r="D59" s="17"/>
      <c r="E59" s="17"/>
      <c r="F59" s="17"/>
      <c r="G59" s="17"/>
      <c r="H59" s="18"/>
    </row>
    <row r="60" ht="15.75" customHeight="1">
      <c r="A60" s="38" t="s">
        <v>195</v>
      </c>
      <c r="B60" s="5"/>
      <c r="C60" s="5"/>
      <c r="D60" s="5"/>
      <c r="E60" s="5"/>
      <c r="F60" s="5"/>
      <c r="G60" s="5"/>
      <c r="H60" s="5"/>
    </row>
    <row r="61" ht="15.75" customHeight="1">
      <c r="A61" s="46" t="s">
        <v>196</v>
      </c>
      <c r="B61" s="17"/>
      <c r="C61" s="17"/>
      <c r="D61" s="17"/>
      <c r="E61" s="17"/>
      <c r="F61" s="17"/>
      <c r="G61" s="17"/>
      <c r="H61" s="18"/>
    </row>
    <row r="62" ht="15.75" customHeight="1">
      <c r="A62" s="65"/>
      <c r="B62" s="48"/>
      <c r="C62" s="48"/>
      <c r="D62" s="48"/>
      <c r="E62" s="48"/>
      <c r="F62" s="48"/>
      <c r="G62" s="48"/>
      <c r="H62" s="49"/>
    </row>
    <row r="63" ht="15.75" customHeight="1">
      <c r="A63" s="62"/>
      <c r="H63" s="63"/>
    </row>
    <row r="64" ht="15.75" customHeight="1">
      <c r="A64" s="50"/>
      <c r="B64" s="51"/>
      <c r="C64" s="51"/>
      <c r="D64" s="51"/>
      <c r="E64" s="51"/>
      <c r="F64" s="51"/>
      <c r="G64" s="51"/>
      <c r="H64" s="52"/>
    </row>
    <row r="65" ht="15.75" customHeight="1"/>
    <row r="66" ht="15.75" customHeight="1">
      <c r="A66" s="24" t="s">
        <v>198</v>
      </c>
    </row>
    <row r="67" ht="15.75" customHeight="1">
      <c r="A67" s="29" t="s">
        <v>192</v>
      </c>
      <c r="B67" s="16"/>
      <c r="C67" s="17"/>
      <c r="D67" s="17"/>
      <c r="E67" s="17"/>
      <c r="F67" s="17"/>
      <c r="G67" s="17"/>
      <c r="H67" s="18"/>
    </row>
    <row r="68" ht="15.75" customHeight="1">
      <c r="A68" s="29" t="s">
        <v>193</v>
      </c>
      <c r="B68" s="16"/>
      <c r="C68" s="17"/>
      <c r="D68" s="17"/>
      <c r="E68" s="17"/>
      <c r="F68" s="17"/>
      <c r="G68" s="17"/>
      <c r="H68" s="18"/>
    </row>
    <row r="69" ht="15.75" customHeight="1">
      <c r="A69" s="29" t="s">
        <v>160</v>
      </c>
      <c r="B69" s="60"/>
      <c r="C69" s="17"/>
      <c r="D69" s="17"/>
      <c r="E69" s="17"/>
      <c r="F69" s="17"/>
      <c r="G69" s="17"/>
      <c r="H69" s="18"/>
    </row>
    <row r="70" ht="15.75" customHeight="1">
      <c r="A70" s="29" t="s">
        <v>120</v>
      </c>
      <c r="B70" s="60"/>
      <c r="C70" s="17"/>
      <c r="D70" s="17"/>
      <c r="E70" s="17"/>
      <c r="F70" s="17"/>
      <c r="G70" s="17"/>
      <c r="H70" s="18"/>
    </row>
    <row r="71" ht="15.75" customHeight="1">
      <c r="A71" s="64" t="s">
        <v>199</v>
      </c>
      <c r="B71" s="5"/>
      <c r="C71" s="5"/>
      <c r="D71" s="5"/>
      <c r="E71" s="5"/>
      <c r="F71" s="5"/>
      <c r="G71" s="5"/>
      <c r="H71" s="5"/>
    </row>
    <row r="72" ht="15.75" customHeight="1">
      <c r="A72" s="46" t="s">
        <v>196</v>
      </c>
      <c r="B72" s="17"/>
      <c r="C72" s="17"/>
      <c r="D72" s="17"/>
      <c r="E72" s="17"/>
      <c r="F72" s="17"/>
      <c r="G72" s="17"/>
      <c r="H72" s="18"/>
    </row>
    <row r="73" ht="15.75" customHeight="1">
      <c r="A73" s="65"/>
      <c r="B73" s="48"/>
      <c r="C73" s="48"/>
      <c r="D73" s="48"/>
      <c r="E73" s="48"/>
      <c r="F73" s="48"/>
      <c r="G73" s="48"/>
      <c r="H73" s="49"/>
    </row>
    <row r="74" ht="15.75" customHeight="1">
      <c r="A74" s="62"/>
      <c r="H74" s="63"/>
    </row>
    <row r="75" ht="15.75" customHeight="1">
      <c r="A75" s="50"/>
      <c r="B75" s="51"/>
      <c r="C75" s="51"/>
      <c r="D75" s="51"/>
      <c r="E75" s="51"/>
      <c r="F75" s="51"/>
      <c r="G75" s="51"/>
      <c r="H75" s="52"/>
    </row>
    <row r="76" ht="15.75" customHeight="1"/>
    <row r="77" ht="15.75" customHeight="1">
      <c r="A77" s="44" t="s">
        <v>200</v>
      </c>
      <c r="G77" s="34" t="s">
        <v>120</v>
      </c>
      <c r="H77" s="45">
        <v>0.0</v>
      </c>
    </row>
    <row r="78" ht="15.75" customHeight="1">
      <c r="G78" s="24" t="s">
        <v>201</v>
      </c>
    </row>
    <row r="79" ht="15.75" customHeight="1">
      <c r="A79" s="29" t="s">
        <v>120</v>
      </c>
      <c r="B79" s="66">
        <v>10.0</v>
      </c>
      <c r="C79" s="17"/>
      <c r="D79" s="17"/>
      <c r="E79" s="17"/>
      <c r="F79" s="17"/>
      <c r="G79" s="17"/>
      <c r="H79" s="18"/>
    </row>
    <row r="80" ht="15.75" customHeight="1">
      <c r="A80" s="58" t="s">
        <v>202</v>
      </c>
      <c r="B80" s="17"/>
      <c r="C80" s="17"/>
      <c r="D80" s="17"/>
      <c r="E80" s="17"/>
      <c r="F80" s="17"/>
      <c r="G80" s="17"/>
      <c r="H80" s="18"/>
    </row>
    <row r="81" ht="15.75" customHeight="1">
      <c r="A81" s="65"/>
      <c r="B81" s="48"/>
      <c r="C81" s="48"/>
      <c r="D81" s="48"/>
      <c r="E81" s="48"/>
      <c r="F81" s="48"/>
      <c r="G81" s="48"/>
      <c r="H81" s="49"/>
    </row>
    <row r="82" ht="15.75" customHeight="1">
      <c r="A82" s="50"/>
      <c r="B82" s="51"/>
      <c r="C82" s="51"/>
      <c r="D82" s="51"/>
      <c r="E82" s="51"/>
      <c r="F82" s="51"/>
      <c r="G82" s="51"/>
      <c r="H82" s="52"/>
    </row>
    <row r="83" ht="15.75" customHeight="1">
      <c r="A83" s="24" t="s">
        <v>203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8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B79:H79"/>
    <mergeCell ref="A80:H80"/>
    <mergeCell ref="A81:H82"/>
    <mergeCell ref="B67:H67"/>
    <mergeCell ref="B68:H68"/>
    <mergeCell ref="B69:H69"/>
    <mergeCell ref="B70:H70"/>
    <mergeCell ref="A72:H72"/>
    <mergeCell ref="A73:H75"/>
    <mergeCell ref="A77:F77"/>
    <mergeCell ref="D37:E37"/>
    <mergeCell ref="F37:H37"/>
    <mergeCell ref="B35:C35"/>
    <mergeCell ref="D35:E35"/>
    <mergeCell ref="F35:H35"/>
    <mergeCell ref="B36:C36"/>
    <mergeCell ref="D36:E36"/>
    <mergeCell ref="F36:H36"/>
    <mergeCell ref="B37:C37"/>
    <mergeCell ref="D40:E40"/>
    <mergeCell ref="F40:H40"/>
    <mergeCell ref="B38:C38"/>
    <mergeCell ref="D38:E38"/>
    <mergeCell ref="F38:H38"/>
    <mergeCell ref="B39:C39"/>
    <mergeCell ref="D39:E39"/>
    <mergeCell ref="F39:H39"/>
    <mergeCell ref="B40:C40"/>
    <mergeCell ref="B41:C41"/>
    <mergeCell ref="D41:E41"/>
    <mergeCell ref="F41:H41"/>
    <mergeCell ref="B42:C42"/>
    <mergeCell ref="D42:E42"/>
    <mergeCell ref="F42:H42"/>
    <mergeCell ref="B43:C43"/>
    <mergeCell ref="D43:E43"/>
    <mergeCell ref="F43:H43"/>
    <mergeCell ref="D47:H47"/>
    <mergeCell ref="D48:H48"/>
    <mergeCell ref="D49:H49"/>
    <mergeCell ref="D50:H50"/>
    <mergeCell ref="D51:H51"/>
    <mergeCell ref="A53:F53"/>
    <mergeCell ref="B56:H56"/>
    <mergeCell ref="B57:H57"/>
    <mergeCell ref="B58:H58"/>
    <mergeCell ref="B59:H59"/>
    <mergeCell ref="A61:H61"/>
    <mergeCell ref="A62:H64"/>
  </mergeCells>
  <dataValidations>
    <dataValidation type="list" allowBlank="1" showErrorMessage="1" sqref="B23:B24 B56 B67">
      <formula1>METADATA!$I$17:$I$40</formula1>
    </dataValidation>
    <dataValidation type="list" allowBlank="1" showErrorMessage="1" sqref="B57">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249</v>
      </c>
    </row>
    <row r="3" ht="15.75" customHeight="1"/>
    <row r="4" ht="15.75" customHeight="1">
      <c r="B4" s="15" t="s">
        <v>1</v>
      </c>
      <c r="C4" s="16" t="str">
        <f>'Diseño'!C4</f>
        <v>796 - Lenguajes Formales y de Programación</v>
      </c>
      <c r="D4" s="17"/>
      <c r="E4" s="17"/>
      <c r="F4" s="17"/>
      <c r="G4" s="18"/>
    </row>
    <row r="5" ht="15.75" customHeight="1">
      <c r="B5" s="43" t="s">
        <v>118</v>
      </c>
      <c r="C5" s="16">
        <f>H9+H26+H43</f>
        <v>55</v>
      </c>
      <c r="D5" s="17"/>
      <c r="E5" s="17"/>
      <c r="F5" s="17"/>
      <c r="G5" s="18"/>
    </row>
    <row r="6" ht="15.75" customHeight="1">
      <c r="B6" s="43" t="s">
        <v>160</v>
      </c>
      <c r="C6" s="20">
        <f>F9+F26</f>
        <v>65</v>
      </c>
      <c r="D6" s="17"/>
      <c r="E6" s="17"/>
      <c r="F6" s="17"/>
      <c r="G6" s="18"/>
    </row>
    <row r="7" ht="15.75" customHeight="1">
      <c r="B7" s="6" t="s">
        <v>250</v>
      </c>
    </row>
    <row r="8" ht="15.75" customHeight="1"/>
    <row r="9" ht="15.75" customHeight="1">
      <c r="A9" s="44" t="s">
        <v>251</v>
      </c>
      <c r="E9" s="34" t="s">
        <v>160</v>
      </c>
      <c r="F9" s="45">
        <v>25.0</v>
      </c>
      <c r="G9" s="34" t="s">
        <v>252</v>
      </c>
      <c r="H9" s="45">
        <v>20.0</v>
      </c>
    </row>
    <row r="10" ht="15.75" customHeight="1">
      <c r="A10" s="6" t="s">
        <v>183</v>
      </c>
    </row>
    <row r="11" ht="15.75" customHeight="1">
      <c r="A11" s="55" t="s">
        <v>172</v>
      </c>
      <c r="B11" s="20" t="s">
        <v>12</v>
      </c>
      <c r="C11" s="17"/>
      <c r="D11" s="17"/>
      <c r="E11" s="17"/>
      <c r="F11" s="17"/>
      <c r="G11" s="17"/>
      <c r="H11" s="18"/>
    </row>
    <row r="12" ht="15.75" customHeight="1">
      <c r="A12" s="55" t="s">
        <v>172</v>
      </c>
      <c r="B12" s="20" t="s">
        <v>48</v>
      </c>
      <c r="C12" s="17"/>
      <c r="D12" s="17"/>
      <c r="E12" s="17"/>
      <c r="F12" s="17"/>
      <c r="G12" s="17"/>
      <c r="H12" s="18"/>
    </row>
    <row r="13" ht="15.75" customHeight="1">
      <c r="A13" s="55" t="s">
        <v>172</v>
      </c>
      <c r="B13" s="20" t="s">
        <v>173</v>
      </c>
      <c r="C13" s="17"/>
      <c r="D13" s="17"/>
      <c r="E13" s="17"/>
      <c r="F13" s="17"/>
      <c r="G13" s="17"/>
      <c r="H13" s="18"/>
    </row>
    <row r="14" ht="15.75" customHeight="1">
      <c r="A14" s="55" t="s">
        <v>253</v>
      </c>
      <c r="B14" s="20" t="s">
        <v>254</v>
      </c>
      <c r="C14" s="17"/>
      <c r="D14" s="17"/>
      <c r="E14" s="17"/>
      <c r="F14" s="17"/>
      <c r="G14" s="17"/>
      <c r="H14" s="18"/>
    </row>
    <row r="15" ht="15.75" customHeight="1">
      <c r="A15" s="46" t="s">
        <v>255</v>
      </c>
      <c r="B15" s="17"/>
      <c r="C15" s="17"/>
      <c r="D15" s="17"/>
      <c r="E15" s="17"/>
      <c r="F15" s="17"/>
      <c r="G15" s="17"/>
      <c r="H15" s="18"/>
    </row>
    <row r="16" ht="15.75" customHeight="1">
      <c r="A16" s="75" t="s">
        <v>256</v>
      </c>
      <c r="B16" s="48"/>
      <c r="C16" s="48"/>
      <c r="D16" s="48"/>
      <c r="E16" s="48"/>
      <c r="F16" s="48"/>
      <c r="G16" s="48"/>
      <c r="H16" s="49"/>
    </row>
    <row r="17" ht="15.75" customHeight="1">
      <c r="A17" s="62"/>
      <c r="H17" s="63"/>
    </row>
    <row r="18" ht="15.75" customHeight="1">
      <c r="A18" s="50"/>
      <c r="B18" s="51"/>
      <c r="C18" s="51"/>
      <c r="D18" s="51"/>
      <c r="E18" s="51"/>
      <c r="F18" s="51"/>
      <c r="G18" s="51"/>
      <c r="H18" s="52"/>
    </row>
    <row r="19" ht="15.75" customHeight="1">
      <c r="A19" s="46" t="s">
        <v>257</v>
      </c>
      <c r="B19" s="17"/>
      <c r="C19" s="17"/>
      <c r="D19" s="17"/>
      <c r="E19" s="17"/>
      <c r="F19" s="17"/>
      <c r="G19" s="17"/>
      <c r="H19" s="18"/>
    </row>
    <row r="20" ht="15.75" customHeight="1">
      <c r="A20" s="75" t="s">
        <v>258</v>
      </c>
      <c r="B20" s="48"/>
      <c r="C20" s="48"/>
      <c r="D20" s="48"/>
      <c r="E20" s="48"/>
      <c r="F20" s="48"/>
      <c r="G20" s="48"/>
      <c r="H20" s="49"/>
    </row>
    <row r="21" ht="15.75" customHeight="1">
      <c r="A21" s="62"/>
      <c r="H21" s="63"/>
    </row>
    <row r="22" ht="15.75" customHeight="1">
      <c r="A22" s="62"/>
      <c r="H22" s="63"/>
    </row>
    <row r="23" ht="15.75" customHeight="1">
      <c r="A23" s="50"/>
      <c r="B23" s="51"/>
      <c r="C23" s="51"/>
      <c r="D23" s="51"/>
      <c r="E23" s="51"/>
      <c r="F23" s="51"/>
      <c r="G23" s="51"/>
      <c r="H23" s="52"/>
    </row>
    <row r="24" ht="15.75" customHeight="1"/>
    <row r="25" ht="15.75" customHeight="1"/>
    <row r="26" ht="15.75" customHeight="1">
      <c r="A26" s="44" t="s">
        <v>259</v>
      </c>
      <c r="E26" s="34" t="s">
        <v>160</v>
      </c>
      <c r="F26" s="45">
        <v>40.0</v>
      </c>
      <c r="G26" s="34" t="s">
        <v>252</v>
      </c>
      <c r="H26" s="45">
        <v>35.0</v>
      </c>
    </row>
    <row r="27" ht="15.75" customHeight="1">
      <c r="A27" s="6" t="s">
        <v>183</v>
      </c>
    </row>
    <row r="28" ht="15.75" customHeight="1">
      <c r="A28" s="55" t="s">
        <v>172</v>
      </c>
      <c r="B28" s="20" t="s">
        <v>33</v>
      </c>
      <c r="C28" s="17"/>
      <c r="D28" s="17"/>
      <c r="E28" s="17"/>
      <c r="F28" s="17"/>
      <c r="G28" s="17"/>
      <c r="H28" s="18"/>
    </row>
    <row r="29" ht="15.75" customHeight="1">
      <c r="A29" s="55" t="s">
        <v>172</v>
      </c>
      <c r="B29" s="20" t="s">
        <v>92</v>
      </c>
      <c r="C29" s="17"/>
      <c r="D29" s="17"/>
      <c r="E29" s="17"/>
      <c r="F29" s="17"/>
      <c r="G29" s="17"/>
      <c r="H29" s="18"/>
    </row>
    <row r="30" ht="15.75" customHeight="1">
      <c r="A30" s="55" t="s">
        <v>172</v>
      </c>
      <c r="B30" s="20" t="s">
        <v>83</v>
      </c>
      <c r="C30" s="17"/>
      <c r="D30" s="17"/>
      <c r="E30" s="17"/>
      <c r="F30" s="17"/>
      <c r="G30" s="17"/>
      <c r="H30" s="18"/>
    </row>
    <row r="31" ht="15.75" customHeight="1">
      <c r="A31" s="55" t="s">
        <v>253</v>
      </c>
      <c r="B31" s="20" t="s">
        <v>260</v>
      </c>
      <c r="C31" s="17"/>
      <c r="D31" s="17"/>
      <c r="E31" s="17"/>
      <c r="F31" s="17"/>
      <c r="G31" s="17"/>
      <c r="H31" s="18"/>
    </row>
    <row r="32" ht="15.75" customHeight="1">
      <c r="A32" s="46" t="s">
        <v>255</v>
      </c>
      <c r="B32" s="17"/>
      <c r="C32" s="17"/>
      <c r="D32" s="17"/>
      <c r="E32" s="17"/>
      <c r="F32" s="17"/>
      <c r="G32" s="17"/>
      <c r="H32" s="18"/>
    </row>
    <row r="33" ht="15.75" customHeight="1">
      <c r="A33" s="75" t="s">
        <v>261</v>
      </c>
      <c r="B33" s="48"/>
      <c r="C33" s="48"/>
      <c r="D33" s="48"/>
      <c r="E33" s="48"/>
      <c r="F33" s="48"/>
      <c r="G33" s="48"/>
      <c r="H33" s="49"/>
    </row>
    <row r="34" ht="15.75" customHeight="1">
      <c r="A34" s="62"/>
      <c r="H34" s="63"/>
    </row>
    <row r="35" ht="15.75" customHeight="1">
      <c r="A35" s="50"/>
      <c r="B35" s="51"/>
      <c r="C35" s="51"/>
      <c r="D35" s="51"/>
      <c r="E35" s="51"/>
      <c r="F35" s="51"/>
      <c r="G35" s="51"/>
      <c r="H35" s="52"/>
    </row>
    <row r="36" ht="15.75" customHeight="1">
      <c r="A36" s="46" t="s">
        <v>257</v>
      </c>
      <c r="B36" s="17"/>
      <c r="C36" s="17"/>
      <c r="D36" s="17"/>
      <c r="E36" s="17"/>
      <c r="F36" s="17"/>
      <c r="G36" s="17"/>
      <c r="H36" s="18"/>
    </row>
    <row r="37" ht="15.75" customHeight="1">
      <c r="A37" s="75" t="s">
        <v>262</v>
      </c>
      <c r="B37" s="48"/>
      <c r="C37" s="48"/>
      <c r="D37" s="48"/>
      <c r="E37" s="48"/>
      <c r="F37" s="48"/>
      <c r="G37" s="48"/>
      <c r="H37" s="49"/>
    </row>
    <row r="38" ht="15.75" customHeight="1">
      <c r="A38" s="62"/>
      <c r="H38" s="63"/>
    </row>
    <row r="39" ht="15.75" customHeight="1">
      <c r="A39" s="62"/>
      <c r="H39" s="63"/>
    </row>
    <row r="40" ht="15.75" customHeight="1">
      <c r="A40" s="50"/>
      <c r="B40" s="51"/>
      <c r="C40" s="51"/>
      <c r="D40" s="51"/>
      <c r="E40" s="51"/>
      <c r="F40" s="51"/>
      <c r="G40" s="51"/>
      <c r="H40" s="52"/>
    </row>
    <row r="41" ht="15.75" customHeight="1"/>
    <row r="42" ht="15.75" customHeight="1"/>
    <row r="43" ht="15.75" customHeight="1">
      <c r="A43" s="44" t="s">
        <v>263</v>
      </c>
      <c r="E43" s="34" t="s">
        <v>160</v>
      </c>
      <c r="F43" s="68"/>
      <c r="G43" s="34" t="s">
        <v>252</v>
      </c>
      <c r="H43" s="68"/>
    </row>
    <row r="44" ht="15.75" customHeight="1">
      <c r="A44" s="38" t="s">
        <v>264</v>
      </c>
    </row>
    <row r="45" ht="15.75" customHeight="1">
      <c r="A45" s="55" t="s">
        <v>172</v>
      </c>
      <c r="B45" s="16"/>
      <c r="C45" s="17"/>
      <c r="D45" s="17"/>
      <c r="E45" s="17"/>
      <c r="F45" s="17"/>
      <c r="G45" s="17"/>
      <c r="H45" s="18"/>
    </row>
    <row r="46" ht="15.75" customHeight="1">
      <c r="A46" s="55" t="s">
        <v>172</v>
      </c>
      <c r="B46" s="16"/>
      <c r="C46" s="17"/>
      <c r="D46" s="17"/>
      <c r="E46" s="17"/>
      <c r="F46" s="17"/>
      <c r="G46" s="17"/>
      <c r="H46" s="18"/>
    </row>
    <row r="47" ht="15.75" customHeight="1">
      <c r="A47" s="55" t="s">
        <v>172</v>
      </c>
      <c r="B47" s="16"/>
      <c r="C47" s="17"/>
      <c r="D47" s="17"/>
      <c r="E47" s="17"/>
      <c r="F47" s="17"/>
      <c r="G47" s="17"/>
      <c r="H47" s="18"/>
    </row>
    <row r="48" ht="15.75" customHeight="1">
      <c r="A48" s="55" t="s">
        <v>253</v>
      </c>
      <c r="B48" s="16"/>
      <c r="C48" s="17"/>
      <c r="D48" s="17"/>
      <c r="E48" s="17"/>
      <c r="F48" s="17"/>
      <c r="G48" s="17"/>
      <c r="H48" s="18"/>
    </row>
    <row r="49" ht="15.75" customHeight="1">
      <c r="A49" s="46" t="s">
        <v>255</v>
      </c>
      <c r="B49" s="17"/>
      <c r="C49" s="17"/>
      <c r="D49" s="17"/>
      <c r="E49" s="17"/>
      <c r="F49" s="17"/>
      <c r="G49" s="17"/>
      <c r="H49" s="18"/>
    </row>
    <row r="50" ht="15.75" customHeight="1">
      <c r="A50" s="65"/>
      <c r="B50" s="48"/>
      <c r="C50" s="48"/>
      <c r="D50" s="48"/>
      <c r="E50" s="48"/>
      <c r="F50" s="48"/>
      <c r="G50" s="48"/>
      <c r="H50" s="49"/>
    </row>
    <row r="51" ht="15.75" customHeight="1">
      <c r="A51" s="62"/>
      <c r="H51" s="63"/>
    </row>
    <row r="52" ht="15.75" customHeight="1">
      <c r="A52" s="50"/>
      <c r="B52" s="51"/>
      <c r="C52" s="51"/>
      <c r="D52" s="51"/>
      <c r="E52" s="51"/>
      <c r="F52" s="51"/>
      <c r="G52" s="51"/>
      <c r="H52" s="52"/>
    </row>
    <row r="53" ht="15.75" customHeight="1">
      <c r="A53" s="46" t="s">
        <v>257</v>
      </c>
      <c r="B53" s="17"/>
      <c r="C53" s="17"/>
      <c r="D53" s="17"/>
      <c r="E53" s="17"/>
      <c r="F53" s="17"/>
      <c r="G53" s="17"/>
      <c r="H53" s="18"/>
    </row>
    <row r="54" ht="15.75" customHeight="1">
      <c r="A54" s="65"/>
      <c r="B54" s="48"/>
      <c r="C54" s="48"/>
      <c r="D54" s="48"/>
      <c r="E54" s="48"/>
      <c r="F54" s="48"/>
      <c r="G54" s="48"/>
      <c r="H54" s="49"/>
    </row>
    <row r="55" ht="15.75" customHeight="1">
      <c r="A55" s="62"/>
      <c r="H55" s="63"/>
    </row>
    <row r="56" ht="15.75" customHeight="1">
      <c r="A56" s="62"/>
      <c r="H56" s="63"/>
    </row>
    <row r="57" ht="15.75" customHeight="1">
      <c r="A57" s="50"/>
      <c r="B57" s="51"/>
      <c r="C57" s="51"/>
      <c r="D57" s="51"/>
      <c r="E57" s="51"/>
      <c r="F57" s="51"/>
      <c r="G57" s="51"/>
      <c r="H57" s="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265</v>
      </c>
    </row>
    <row r="3" ht="15.75" customHeight="1"/>
    <row r="4" ht="15.75" customHeight="1">
      <c r="B4" s="15" t="s">
        <v>1</v>
      </c>
      <c r="C4" s="16" t="str">
        <f>'Diseño'!C4</f>
        <v>796 - Lenguajes Formales y de Programación</v>
      </c>
      <c r="D4" s="17"/>
      <c r="E4" s="17"/>
      <c r="F4" s="17"/>
      <c r="G4" s="18"/>
    </row>
    <row r="5" ht="15.75" customHeight="1">
      <c r="B5" s="43" t="s">
        <v>118</v>
      </c>
      <c r="C5" s="16">
        <f>H9+H26+H43+H60+H77+H94+H111</f>
        <v>10</v>
      </c>
      <c r="D5" s="17"/>
      <c r="E5" s="17"/>
      <c r="F5" s="17"/>
      <c r="G5" s="18"/>
    </row>
    <row r="6" ht="15.75" customHeight="1">
      <c r="B6" s="43" t="s">
        <v>160</v>
      </c>
      <c r="C6" s="16">
        <f>F9+F26+F43+F60+F77+F94+F111</f>
        <v>15</v>
      </c>
      <c r="D6" s="17"/>
      <c r="E6" s="17"/>
      <c r="F6" s="17"/>
      <c r="G6" s="18"/>
    </row>
    <row r="7" ht="15.75" customHeight="1">
      <c r="B7" s="6" t="s">
        <v>266</v>
      </c>
    </row>
    <row r="8" ht="15.75" customHeight="1"/>
    <row r="9" ht="15.75" customHeight="1">
      <c r="A9" s="44" t="s">
        <v>267</v>
      </c>
      <c r="E9" s="34" t="s">
        <v>160</v>
      </c>
      <c r="F9" s="45">
        <v>15.0</v>
      </c>
      <c r="G9" s="34" t="s">
        <v>252</v>
      </c>
      <c r="H9" s="45">
        <v>10.0</v>
      </c>
    </row>
    <row r="10" ht="15.75" customHeight="1">
      <c r="A10" s="6" t="s">
        <v>268</v>
      </c>
    </row>
    <row r="11" ht="30.75" customHeight="1">
      <c r="A11" s="55" t="s">
        <v>172</v>
      </c>
      <c r="B11" s="53" t="s">
        <v>12</v>
      </c>
      <c r="C11" s="17"/>
      <c r="D11" s="17"/>
      <c r="E11" s="17"/>
      <c r="F11" s="17"/>
      <c r="G11" s="17"/>
      <c r="H11" s="18"/>
    </row>
    <row r="12" ht="32.25" customHeight="1">
      <c r="A12" s="55" t="s">
        <v>172</v>
      </c>
      <c r="B12" s="53" t="s">
        <v>173</v>
      </c>
      <c r="C12" s="17"/>
      <c r="D12" s="17"/>
      <c r="E12" s="17"/>
      <c r="F12" s="17"/>
      <c r="G12" s="17"/>
      <c r="H12" s="18"/>
    </row>
    <row r="13" ht="36.75" customHeight="1">
      <c r="A13" s="55" t="s">
        <v>172</v>
      </c>
      <c r="B13" s="53" t="s">
        <v>33</v>
      </c>
      <c r="C13" s="17"/>
      <c r="D13" s="17"/>
      <c r="E13" s="17"/>
      <c r="F13" s="17"/>
      <c r="G13" s="17"/>
      <c r="H13" s="18"/>
    </row>
    <row r="14" ht="15.75" customHeight="1">
      <c r="A14" s="55" t="s">
        <v>253</v>
      </c>
      <c r="B14" s="20" t="s">
        <v>269</v>
      </c>
      <c r="C14" s="17"/>
      <c r="D14" s="17"/>
      <c r="E14" s="17"/>
      <c r="F14" s="17"/>
      <c r="G14" s="17"/>
      <c r="H14" s="18"/>
    </row>
    <row r="15" ht="15.75" customHeight="1">
      <c r="A15" s="46" t="s">
        <v>255</v>
      </c>
      <c r="B15" s="17"/>
      <c r="C15" s="17"/>
      <c r="D15" s="17"/>
      <c r="E15" s="17"/>
      <c r="F15" s="17"/>
      <c r="G15" s="17"/>
      <c r="H15" s="18"/>
    </row>
    <row r="16" ht="15.75" customHeight="1">
      <c r="A16" s="75" t="s">
        <v>270</v>
      </c>
      <c r="B16" s="48"/>
      <c r="C16" s="48"/>
      <c r="D16" s="48"/>
      <c r="E16" s="48"/>
      <c r="F16" s="48"/>
      <c r="G16" s="48"/>
      <c r="H16" s="49"/>
    </row>
    <row r="17" ht="15.75" customHeight="1">
      <c r="A17" s="62"/>
      <c r="H17" s="63"/>
    </row>
    <row r="18" ht="15.75" customHeight="1">
      <c r="A18" s="50"/>
      <c r="B18" s="51"/>
      <c r="C18" s="51"/>
      <c r="D18" s="51"/>
      <c r="E18" s="51"/>
      <c r="F18" s="51"/>
      <c r="G18" s="51"/>
      <c r="H18" s="52"/>
    </row>
    <row r="19" ht="15.75" customHeight="1">
      <c r="A19" s="46" t="s">
        <v>257</v>
      </c>
      <c r="B19" s="17"/>
      <c r="C19" s="17"/>
      <c r="D19" s="17"/>
      <c r="E19" s="17"/>
      <c r="F19" s="17"/>
      <c r="G19" s="17"/>
      <c r="H19" s="18"/>
    </row>
    <row r="20" ht="15.75" customHeight="1">
      <c r="A20" s="47" t="s">
        <v>271</v>
      </c>
      <c r="B20" s="48"/>
      <c r="C20" s="48"/>
      <c r="D20" s="48"/>
      <c r="E20" s="48"/>
      <c r="F20" s="48"/>
      <c r="G20" s="48"/>
      <c r="H20" s="49"/>
    </row>
    <row r="21" ht="15.75" customHeight="1">
      <c r="A21" s="62"/>
      <c r="H21" s="63"/>
    </row>
    <row r="22" ht="15.75" customHeight="1">
      <c r="A22" s="62"/>
      <c r="H22" s="63"/>
    </row>
    <row r="23" ht="117.75" customHeight="1">
      <c r="A23" s="50"/>
      <c r="B23" s="51"/>
      <c r="C23" s="51"/>
      <c r="D23" s="51"/>
      <c r="E23" s="51"/>
      <c r="F23" s="51"/>
      <c r="G23" s="51"/>
      <c r="H23" s="52"/>
    </row>
    <row r="24" ht="15.75" customHeight="1"/>
    <row r="25" ht="15.75" customHeight="1"/>
    <row r="26" ht="15.75" customHeight="1">
      <c r="A26" s="44" t="s">
        <v>272</v>
      </c>
      <c r="E26" s="34" t="s">
        <v>160</v>
      </c>
      <c r="F26" s="68"/>
      <c r="G26" s="34" t="s">
        <v>252</v>
      </c>
      <c r="H26" s="68"/>
    </row>
    <row r="27" ht="15.75" customHeight="1">
      <c r="A27" s="38" t="s">
        <v>264</v>
      </c>
    </row>
    <row r="28" ht="15.75" customHeight="1">
      <c r="A28" s="55" t="s">
        <v>172</v>
      </c>
      <c r="B28" s="16"/>
      <c r="C28" s="17"/>
      <c r="D28" s="17"/>
      <c r="E28" s="17"/>
      <c r="F28" s="17"/>
      <c r="G28" s="17"/>
      <c r="H28" s="18"/>
    </row>
    <row r="29" ht="15.75" customHeight="1">
      <c r="A29" s="55" t="s">
        <v>172</v>
      </c>
      <c r="B29" s="16"/>
      <c r="C29" s="17"/>
      <c r="D29" s="17"/>
      <c r="E29" s="17"/>
      <c r="F29" s="17"/>
      <c r="G29" s="17"/>
      <c r="H29" s="18"/>
    </row>
    <row r="30" ht="15.75" customHeight="1">
      <c r="A30" s="55" t="s">
        <v>172</v>
      </c>
      <c r="B30" s="16"/>
      <c r="C30" s="17"/>
      <c r="D30" s="17"/>
      <c r="E30" s="17"/>
      <c r="F30" s="17"/>
      <c r="G30" s="17"/>
      <c r="H30" s="18"/>
    </row>
    <row r="31" ht="15.75" customHeight="1">
      <c r="A31" s="55" t="s">
        <v>253</v>
      </c>
      <c r="B31" s="16"/>
      <c r="C31" s="17"/>
      <c r="D31" s="17"/>
      <c r="E31" s="17"/>
      <c r="F31" s="17"/>
      <c r="G31" s="17"/>
      <c r="H31" s="18"/>
    </row>
    <row r="32" ht="15.75" customHeight="1">
      <c r="A32" s="46" t="s">
        <v>255</v>
      </c>
      <c r="B32" s="17"/>
      <c r="C32" s="17"/>
      <c r="D32" s="17"/>
      <c r="E32" s="17"/>
      <c r="F32" s="17"/>
      <c r="G32" s="17"/>
      <c r="H32" s="18"/>
    </row>
    <row r="33" ht="15.75" customHeight="1">
      <c r="A33" s="65"/>
      <c r="B33" s="48"/>
      <c r="C33" s="48"/>
      <c r="D33" s="48"/>
      <c r="E33" s="48"/>
      <c r="F33" s="48"/>
      <c r="G33" s="48"/>
      <c r="H33" s="49"/>
    </row>
    <row r="34" ht="15.75" customHeight="1">
      <c r="A34" s="62"/>
      <c r="H34" s="63"/>
    </row>
    <row r="35" ht="15.75" customHeight="1">
      <c r="A35" s="50"/>
      <c r="B35" s="51"/>
      <c r="C35" s="51"/>
      <c r="D35" s="51"/>
      <c r="E35" s="51"/>
      <c r="F35" s="51"/>
      <c r="G35" s="51"/>
      <c r="H35" s="52"/>
    </row>
    <row r="36" ht="15.75" customHeight="1">
      <c r="A36" s="46" t="s">
        <v>257</v>
      </c>
      <c r="B36" s="17"/>
      <c r="C36" s="17"/>
      <c r="D36" s="17"/>
      <c r="E36" s="17"/>
      <c r="F36" s="17"/>
      <c r="G36" s="17"/>
      <c r="H36" s="18"/>
    </row>
    <row r="37" ht="15.75" customHeight="1">
      <c r="A37" s="65"/>
      <c r="B37" s="48"/>
      <c r="C37" s="48"/>
      <c r="D37" s="48"/>
      <c r="E37" s="48"/>
      <c r="F37" s="48"/>
      <c r="G37" s="48"/>
      <c r="H37" s="49"/>
    </row>
    <row r="38" ht="15.75" customHeight="1">
      <c r="A38" s="62"/>
      <c r="H38" s="63"/>
    </row>
    <row r="39" ht="15.75" customHeight="1">
      <c r="A39" s="62"/>
      <c r="H39" s="63"/>
    </row>
    <row r="40" ht="15.75" customHeight="1">
      <c r="A40" s="50"/>
      <c r="B40" s="51"/>
      <c r="C40" s="51"/>
      <c r="D40" s="51"/>
      <c r="E40" s="51"/>
      <c r="F40" s="51"/>
      <c r="G40" s="51"/>
      <c r="H40" s="52"/>
    </row>
    <row r="41" ht="15.75" customHeight="1"/>
    <row r="42" ht="15.75" customHeight="1"/>
    <row r="43" ht="15.75" customHeight="1">
      <c r="A43" s="44" t="s">
        <v>273</v>
      </c>
      <c r="E43" s="34" t="s">
        <v>160</v>
      </c>
      <c r="F43" s="68"/>
      <c r="G43" s="34" t="s">
        <v>252</v>
      </c>
      <c r="H43" s="68"/>
    </row>
    <row r="44" ht="15.75" customHeight="1">
      <c r="A44" s="38" t="s">
        <v>264</v>
      </c>
    </row>
    <row r="45" ht="15.75" customHeight="1">
      <c r="A45" s="55" t="s">
        <v>172</v>
      </c>
      <c r="B45" s="16"/>
      <c r="C45" s="17"/>
      <c r="D45" s="17"/>
      <c r="E45" s="17"/>
      <c r="F45" s="17"/>
      <c r="G45" s="17"/>
      <c r="H45" s="18"/>
    </row>
    <row r="46" ht="15.75" customHeight="1">
      <c r="A46" s="55" t="s">
        <v>172</v>
      </c>
      <c r="B46" s="16"/>
      <c r="C46" s="17"/>
      <c r="D46" s="17"/>
      <c r="E46" s="17"/>
      <c r="F46" s="17"/>
      <c r="G46" s="17"/>
      <c r="H46" s="18"/>
    </row>
    <row r="47" ht="15.75" customHeight="1">
      <c r="A47" s="55" t="s">
        <v>172</v>
      </c>
      <c r="B47" s="16"/>
      <c r="C47" s="17"/>
      <c r="D47" s="17"/>
      <c r="E47" s="17"/>
      <c r="F47" s="17"/>
      <c r="G47" s="17"/>
      <c r="H47" s="18"/>
    </row>
    <row r="48" ht="15.75" customHeight="1">
      <c r="A48" s="55" t="s">
        <v>253</v>
      </c>
      <c r="B48" s="16"/>
      <c r="C48" s="17"/>
      <c r="D48" s="17"/>
      <c r="E48" s="17"/>
      <c r="F48" s="17"/>
      <c r="G48" s="17"/>
      <c r="H48" s="18"/>
    </row>
    <row r="49" ht="15.75" customHeight="1">
      <c r="A49" s="46" t="s">
        <v>255</v>
      </c>
      <c r="B49" s="17"/>
      <c r="C49" s="17"/>
      <c r="D49" s="17"/>
      <c r="E49" s="17"/>
      <c r="F49" s="17"/>
      <c r="G49" s="17"/>
      <c r="H49" s="18"/>
    </row>
    <row r="50" ht="15.75" customHeight="1">
      <c r="A50" s="65"/>
      <c r="B50" s="48"/>
      <c r="C50" s="48"/>
      <c r="D50" s="48"/>
      <c r="E50" s="48"/>
      <c r="F50" s="48"/>
      <c r="G50" s="48"/>
      <c r="H50" s="49"/>
    </row>
    <row r="51" ht="15.75" customHeight="1">
      <c r="A51" s="62"/>
      <c r="H51" s="63"/>
    </row>
    <row r="52" ht="15.75" customHeight="1">
      <c r="A52" s="50"/>
      <c r="B52" s="51"/>
      <c r="C52" s="51"/>
      <c r="D52" s="51"/>
      <c r="E52" s="51"/>
      <c r="F52" s="51"/>
      <c r="G52" s="51"/>
      <c r="H52" s="52"/>
    </row>
    <row r="53" ht="15.75" customHeight="1">
      <c r="A53" s="46" t="s">
        <v>257</v>
      </c>
      <c r="B53" s="17"/>
      <c r="C53" s="17"/>
      <c r="D53" s="17"/>
      <c r="E53" s="17"/>
      <c r="F53" s="17"/>
      <c r="G53" s="17"/>
      <c r="H53" s="18"/>
    </row>
    <row r="54" ht="15.75" customHeight="1">
      <c r="A54" s="65"/>
      <c r="B54" s="48"/>
      <c r="C54" s="48"/>
      <c r="D54" s="48"/>
      <c r="E54" s="48"/>
      <c r="F54" s="48"/>
      <c r="G54" s="48"/>
      <c r="H54" s="49"/>
    </row>
    <row r="55" ht="15.75" customHeight="1">
      <c r="A55" s="62"/>
      <c r="H55" s="63"/>
    </row>
    <row r="56" ht="15.75" customHeight="1">
      <c r="A56" s="62"/>
      <c r="H56" s="63"/>
    </row>
    <row r="57" ht="15.75" customHeight="1">
      <c r="A57" s="50"/>
      <c r="B57" s="51"/>
      <c r="C57" s="51"/>
      <c r="D57" s="51"/>
      <c r="E57" s="51"/>
      <c r="F57" s="51"/>
      <c r="G57" s="51"/>
      <c r="H57" s="52"/>
    </row>
    <row r="58" ht="15.75" customHeight="1"/>
    <row r="59" ht="15.75" customHeight="1"/>
    <row r="60" ht="15.75" customHeight="1">
      <c r="A60" s="44" t="s">
        <v>274</v>
      </c>
      <c r="E60" s="34" t="s">
        <v>160</v>
      </c>
      <c r="F60" s="68"/>
      <c r="G60" s="34" t="s">
        <v>252</v>
      </c>
      <c r="H60" s="68"/>
    </row>
    <row r="61" ht="15.75" customHeight="1">
      <c r="A61" s="38" t="s">
        <v>264</v>
      </c>
    </row>
    <row r="62" ht="15.75" customHeight="1">
      <c r="A62" s="55" t="s">
        <v>172</v>
      </c>
      <c r="B62" s="16"/>
      <c r="C62" s="17"/>
      <c r="D62" s="17"/>
      <c r="E62" s="17"/>
      <c r="F62" s="17"/>
      <c r="G62" s="17"/>
      <c r="H62" s="18"/>
    </row>
    <row r="63" ht="15.75" customHeight="1">
      <c r="A63" s="55" t="s">
        <v>172</v>
      </c>
      <c r="B63" s="16"/>
      <c r="C63" s="17"/>
      <c r="D63" s="17"/>
      <c r="E63" s="17"/>
      <c r="F63" s="17"/>
      <c r="G63" s="17"/>
      <c r="H63" s="18"/>
    </row>
    <row r="64" ht="15.75" customHeight="1">
      <c r="A64" s="55" t="s">
        <v>172</v>
      </c>
      <c r="B64" s="16"/>
      <c r="C64" s="17"/>
      <c r="D64" s="17"/>
      <c r="E64" s="17"/>
      <c r="F64" s="17"/>
      <c r="G64" s="17"/>
      <c r="H64" s="18"/>
    </row>
    <row r="65" ht="15.75" customHeight="1">
      <c r="A65" s="55" t="s">
        <v>253</v>
      </c>
      <c r="B65" s="16"/>
      <c r="C65" s="17"/>
      <c r="D65" s="17"/>
      <c r="E65" s="17"/>
      <c r="F65" s="17"/>
      <c r="G65" s="17"/>
      <c r="H65" s="18"/>
    </row>
    <row r="66" ht="15.75" customHeight="1">
      <c r="A66" s="46" t="s">
        <v>255</v>
      </c>
      <c r="B66" s="17"/>
      <c r="C66" s="17"/>
      <c r="D66" s="17"/>
      <c r="E66" s="17"/>
      <c r="F66" s="17"/>
      <c r="G66" s="17"/>
      <c r="H66" s="18"/>
    </row>
    <row r="67" ht="15.75" customHeight="1">
      <c r="A67" s="65"/>
      <c r="B67" s="48"/>
      <c r="C67" s="48"/>
      <c r="D67" s="48"/>
      <c r="E67" s="48"/>
      <c r="F67" s="48"/>
      <c r="G67" s="48"/>
      <c r="H67" s="49"/>
    </row>
    <row r="68" ht="15.75" customHeight="1">
      <c r="A68" s="62"/>
      <c r="H68" s="63"/>
    </row>
    <row r="69" ht="15.75" customHeight="1">
      <c r="A69" s="50"/>
      <c r="B69" s="51"/>
      <c r="C69" s="51"/>
      <c r="D69" s="51"/>
      <c r="E69" s="51"/>
      <c r="F69" s="51"/>
      <c r="G69" s="51"/>
      <c r="H69" s="52"/>
    </row>
    <row r="70" ht="15.75" customHeight="1">
      <c r="A70" s="46" t="s">
        <v>257</v>
      </c>
      <c r="B70" s="17"/>
      <c r="C70" s="17"/>
      <c r="D70" s="17"/>
      <c r="E70" s="17"/>
      <c r="F70" s="17"/>
      <c r="G70" s="17"/>
      <c r="H70" s="18"/>
    </row>
    <row r="71" ht="15.75" customHeight="1">
      <c r="A71" s="65"/>
      <c r="B71" s="48"/>
      <c r="C71" s="48"/>
      <c r="D71" s="48"/>
      <c r="E71" s="48"/>
      <c r="F71" s="48"/>
      <c r="G71" s="48"/>
      <c r="H71" s="49"/>
    </row>
    <row r="72" ht="15.75" customHeight="1">
      <c r="A72" s="62"/>
      <c r="H72" s="63"/>
    </row>
    <row r="73" ht="15.75" customHeight="1">
      <c r="A73" s="62"/>
      <c r="H73" s="63"/>
    </row>
    <row r="74" ht="15.75" customHeight="1">
      <c r="A74" s="50"/>
      <c r="B74" s="51"/>
      <c r="C74" s="51"/>
      <c r="D74" s="51"/>
      <c r="E74" s="51"/>
      <c r="F74" s="51"/>
      <c r="G74" s="51"/>
      <c r="H74" s="52"/>
    </row>
    <row r="75" ht="15.75" customHeight="1"/>
    <row r="76" ht="15.75" customHeight="1"/>
    <row r="77" ht="15.75" customHeight="1">
      <c r="A77" s="44" t="s">
        <v>275</v>
      </c>
      <c r="E77" s="34" t="s">
        <v>160</v>
      </c>
      <c r="F77" s="68"/>
      <c r="G77" s="34" t="s">
        <v>252</v>
      </c>
      <c r="H77" s="68"/>
    </row>
    <row r="78" ht="15.75" customHeight="1">
      <c r="A78" s="38" t="s">
        <v>264</v>
      </c>
    </row>
    <row r="79" ht="15.75" customHeight="1">
      <c r="A79" s="55" t="s">
        <v>172</v>
      </c>
      <c r="B79" s="16"/>
      <c r="C79" s="17"/>
      <c r="D79" s="17"/>
      <c r="E79" s="17"/>
      <c r="F79" s="17"/>
      <c r="G79" s="17"/>
      <c r="H79" s="18"/>
    </row>
    <row r="80" ht="15.75" customHeight="1">
      <c r="A80" s="55" t="s">
        <v>172</v>
      </c>
      <c r="B80" s="16"/>
      <c r="C80" s="17"/>
      <c r="D80" s="17"/>
      <c r="E80" s="17"/>
      <c r="F80" s="17"/>
      <c r="G80" s="17"/>
      <c r="H80" s="18"/>
    </row>
    <row r="81" ht="15.75" customHeight="1">
      <c r="A81" s="55" t="s">
        <v>172</v>
      </c>
      <c r="B81" s="16"/>
      <c r="C81" s="17"/>
      <c r="D81" s="17"/>
      <c r="E81" s="17"/>
      <c r="F81" s="17"/>
      <c r="G81" s="17"/>
      <c r="H81" s="18"/>
    </row>
    <row r="82" ht="15.75" customHeight="1">
      <c r="A82" s="55" t="s">
        <v>253</v>
      </c>
      <c r="B82" s="16"/>
      <c r="C82" s="17"/>
      <c r="D82" s="17"/>
      <c r="E82" s="17"/>
      <c r="F82" s="17"/>
      <c r="G82" s="17"/>
      <c r="H82" s="18"/>
    </row>
    <row r="83" ht="15.75" customHeight="1">
      <c r="A83" s="46" t="s">
        <v>255</v>
      </c>
      <c r="B83" s="17"/>
      <c r="C83" s="17"/>
      <c r="D83" s="17"/>
      <c r="E83" s="17"/>
      <c r="F83" s="17"/>
      <c r="G83" s="17"/>
      <c r="H83" s="18"/>
    </row>
    <row r="84" ht="15.75" customHeight="1">
      <c r="A84" s="65"/>
      <c r="B84" s="48"/>
      <c r="C84" s="48"/>
      <c r="D84" s="48"/>
      <c r="E84" s="48"/>
      <c r="F84" s="48"/>
      <c r="G84" s="48"/>
      <c r="H84" s="49"/>
    </row>
    <row r="85" ht="15.75" customHeight="1">
      <c r="A85" s="62"/>
      <c r="H85" s="63"/>
    </row>
    <row r="86" ht="15.75" customHeight="1">
      <c r="A86" s="50"/>
      <c r="B86" s="51"/>
      <c r="C86" s="51"/>
      <c r="D86" s="51"/>
      <c r="E86" s="51"/>
      <c r="F86" s="51"/>
      <c r="G86" s="51"/>
      <c r="H86" s="52"/>
    </row>
    <row r="87" ht="15.75" customHeight="1">
      <c r="A87" s="46" t="s">
        <v>257</v>
      </c>
      <c r="B87" s="17"/>
      <c r="C87" s="17"/>
      <c r="D87" s="17"/>
      <c r="E87" s="17"/>
      <c r="F87" s="17"/>
      <c r="G87" s="17"/>
      <c r="H87" s="18"/>
    </row>
    <row r="88" ht="15.75" customHeight="1">
      <c r="A88" s="65"/>
      <c r="B88" s="48"/>
      <c r="C88" s="48"/>
      <c r="D88" s="48"/>
      <c r="E88" s="48"/>
      <c r="F88" s="48"/>
      <c r="G88" s="48"/>
      <c r="H88" s="49"/>
    </row>
    <row r="89" ht="15.75" customHeight="1">
      <c r="A89" s="62"/>
      <c r="H89" s="63"/>
    </row>
    <row r="90" ht="15.75" customHeight="1">
      <c r="A90" s="62"/>
      <c r="H90" s="63"/>
    </row>
    <row r="91" ht="15.75" customHeight="1">
      <c r="A91" s="50"/>
      <c r="B91" s="51"/>
      <c r="C91" s="51"/>
      <c r="D91" s="51"/>
      <c r="E91" s="51"/>
      <c r="F91" s="51"/>
      <c r="G91" s="51"/>
      <c r="H91" s="52"/>
    </row>
    <row r="92" ht="15.75" customHeight="1"/>
    <row r="93" ht="15.75" customHeight="1"/>
    <row r="94" ht="15.75" customHeight="1">
      <c r="A94" s="44" t="s">
        <v>276</v>
      </c>
      <c r="E94" s="34" t="s">
        <v>160</v>
      </c>
      <c r="F94" s="68"/>
      <c r="G94" s="34" t="s">
        <v>252</v>
      </c>
      <c r="H94" s="68"/>
    </row>
    <row r="95" ht="15.75" customHeight="1">
      <c r="A95" s="38" t="s">
        <v>264</v>
      </c>
    </row>
    <row r="96" ht="15.75" customHeight="1">
      <c r="A96" s="55" t="s">
        <v>172</v>
      </c>
      <c r="B96" s="16"/>
      <c r="C96" s="17"/>
      <c r="D96" s="17"/>
      <c r="E96" s="17"/>
      <c r="F96" s="17"/>
      <c r="G96" s="17"/>
      <c r="H96" s="18"/>
    </row>
    <row r="97" ht="15.75" customHeight="1">
      <c r="A97" s="55" t="s">
        <v>172</v>
      </c>
      <c r="B97" s="16"/>
      <c r="C97" s="17"/>
      <c r="D97" s="17"/>
      <c r="E97" s="17"/>
      <c r="F97" s="17"/>
      <c r="G97" s="17"/>
      <c r="H97" s="18"/>
    </row>
    <row r="98" ht="15.75" customHeight="1">
      <c r="A98" s="55" t="s">
        <v>172</v>
      </c>
      <c r="B98" s="16"/>
      <c r="C98" s="17"/>
      <c r="D98" s="17"/>
      <c r="E98" s="17"/>
      <c r="F98" s="17"/>
      <c r="G98" s="17"/>
      <c r="H98" s="18"/>
    </row>
    <row r="99" ht="15.75" customHeight="1">
      <c r="A99" s="55" t="s">
        <v>253</v>
      </c>
      <c r="B99" s="16"/>
      <c r="C99" s="17"/>
      <c r="D99" s="17"/>
      <c r="E99" s="17"/>
      <c r="F99" s="17"/>
      <c r="G99" s="17"/>
      <c r="H99" s="18"/>
    </row>
    <row r="100" ht="15.75" customHeight="1">
      <c r="A100" s="46" t="s">
        <v>255</v>
      </c>
      <c r="B100" s="17"/>
      <c r="C100" s="17"/>
      <c r="D100" s="17"/>
      <c r="E100" s="17"/>
      <c r="F100" s="17"/>
      <c r="G100" s="17"/>
      <c r="H100" s="18"/>
    </row>
    <row r="101" ht="15.75" customHeight="1">
      <c r="A101" s="65"/>
      <c r="B101" s="48"/>
      <c r="C101" s="48"/>
      <c r="D101" s="48"/>
      <c r="E101" s="48"/>
      <c r="F101" s="48"/>
      <c r="G101" s="48"/>
      <c r="H101" s="49"/>
    </row>
    <row r="102" ht="15.75" customHeight="1">
      <c r="A102" s="62"/>
      <c r="H102" s="63"/>
    </row>
    <row r="103" ht="15.75" customHeight="1">
      <c r="A103" s="50"/>
      <c r="B103" s="51"/>
      <c r="C103" s="51"/>
      <c r="D103" s="51"/>
      <c r="E103" s="51"/>
      <c r="F103" s="51"/>
      <c r="G103" s="51"/>
      <c r="H103" s="52"/>
    </row>
    <row r="104" ht="15.75" customHeight="1">
      <c r="A104" s="46" t="s">
        <v>257</v>
      </c>
      <c r="B104" s="17"/>
      <c r="C104" s="17"/>
      <c r="D104" s="17"/>
      <c r="E104" s="17"/>
      <c r="F104" s="17"/>
      <c r="G104" s="17"/>
      <c r="H104" s="18"/>
    </row>
    <row r="105" ht="15.75" customHeight="1">
      <c r="A105" s="65"/>
      <c r="B105" s="48"/>
      <c r="C105" s="48"/>
      <c r="D105" s="48"/>
      <c r="E105" s="48"/>
      <c r="F105" s="48"/>
      <c r="G105" s="48"/>
      <c r="H105" s="49"/>
    </row>
    <row r="106" ht="15.75" customHeight="1">
      <c r="A106" s="62"/>
      <c r="H106" s="63"/>
    </row>
    <row r="107" ht="15.75" customHeight="1">
      <c r="A107" s="62"/>
      <c r="H107" s="63"/>
    </row>
    <row r="108" ht="15.75" customHeight="1">
      <c r="A108" s="50"/>
      <c r="B108" s="51"/>
      <c r="C108" s="51"/>
      <c r="D108" s="51"/>
      <c r="E108" s="51"/>
      <c r="F108" s="51"/>
      <c r="G108" s="51"/>
      <c r="H108" s="52"/>
    </row>
    <row r="109" ht="15.75" customHeight="1"/>
    <row r="110" ht="15.75" customHeight="1"/>
    <row r="111" ht="15.75" customHeight="1">
      <c r="A111" s="44" t="s">
        <v>277</v>
      </c>
      <c r="E111" s="34" t="s">
        <v>160</v>
      </c>
      <c r="F111" s="68"/>
      <c r="G111" s="34" t="s">
        <v>252</v>
      </c>
      <c r="H111" s="68"/>
    </row>
    <row r="112" ht="15.75" customHeight="1">
      <c r="A112" s="38" t="s">
        <v>264</v>
      </c>
    </row>
    <row r="113" ht="15.75" customHeight="1">
      <c r="A113" s="55" t="s">
        <v>172</v>
      </c>
      <c r="B113" s="16"/>
      <c r="C113" s="17"/>
      <c r="D113" s="17"/>
      <c r="E113" s="17"/>
      <c r="F113" s="17"/>
      <c r="G113" s="17"/>
      <c r="H113" s="18"/>
    </row>
    <row r="114" ht="15.75" customHeight="1">
      <c r="A114" s="55" t="s">
        <v>172</v>
      </c>
      <c r="B114" s="16"/>
      <c r="C114" s="17"/>
      <c r="D114" s="17"/>
      <c r="E114" s="17"/>
      <c r="F114" s="17"/>
      <c r="G114" s="17"/>
      <c r="H114" s="18"/>
    </row>
    <row r="115" ht="15.75" customHeight="1">
      <c r="A115" s="55" t="s">
        <v>172</v>
      </c>
      <c r="B115" s="16"/>
      <c r="C115" s="17"/>
      <c r="D115" s="17"/>
      <c r="E115" s="17"/>
      <c r="F115" s="17"/>
      <c r="G115" s="17"/>
      <c r="H115" s="18"/>
    </row>
    <row r="116" ht="15.75" customHeight="1">
      <c r="A116" s="55" t="s">
        <v>253</v>
      </c>
      <c r="B116" s="16"/>
      <c r="C116" s="17"/>
      <c r="D116" s="17"/>
      <c r="E116" s="17"/>
      <c r="F116" s="17"/>
      <c r="G116" s="17"/>
      <c r="H116" s="18"/>
    </row>
    <row r="117" ht="15.75" customHeight="1">
      <c r="A117" s="46" t="s">
        <v>255</v>
      </c>
      <c r="B117" s="17"/>
      <c r="C117" s="17"/>
      <c r="D117" s="17"/>
      <c r="E117" s="17"/>
      <c r="F117" s="17"/>
      <c r="G117" s="17"/>
      <c r="H117" s="18"/>
    </row>
    <row r="118" ht="15.75" customHeight="1">
      <c r="A118" s="65"/>
      <c r="B118" s="48"/>
      <c r="C118" s="48"/>
      <c r="D118" s="48"/>
      <c r="E118" s="48"/>
      <c r="F118" s="48"/>
      <c r="G118" s="48"/>
      <c r="H118" s="49"/>
    </row>
    <row r="119" ht="15.75" customHeight="1">
      <c r="A119" s="62"/>
      <c r="H119" s="63"/>
    </row>
    <row r="120" ht="15.75" customHeight="1">
      <c r="A120" s="50"/>
      <c r="B120" s="51"/>
      <c r="C120" s="51"/>
      <c r="D120" s="51"/>
      <c r="E120" s="51"/>
      <c r="F120" s="51"/>
      <c r="G120" s="51"/>
      <c r="H120" s="52"/>
    </row>
    <row r="121" ht="15.75" customHeight="1">
      <c r="A121" s="46" t="s">
        <v>257</v>
      </c>
      <c r="B121" s="17"/>
      <c r="C121" s="17"/>
      <c r="D121" s="17"/>
      <c r="E121" s="17"/>
      <c r="F121" s="17"/>
      <c r="G121" s="17"/>
      <c r="H121" s="18"/>
    </row>
    <row r="122" ht="15.75" customHeight="1">
      <c r="A122" s="65"/>
      <c r="B122" s="48"/>
      <c r="C122" s="48"/>
      <c r="D122" s="48"/>
      <c r="E122" s="48"/>
      <c r="F122" s="48"/>
      <c r="G122" s="48"/>
      <c r="H122" s="49"/>
    </row>
    <row r="123" ht="15.75" customHeight="1">
      <c r="A123" s="62"/>
      <c r="H123" s="63"/>
    </row>
    <row r="124" ht="15.75" customHeight="1">
      <c r="A124" s="62"/>
      <c r="H124" s="63"/>
    </row>
    <row r="125" ht="15.75" customHeight="1">
      <c r="A125" s="50"/>
      <c r="B125" s="51"/>
      <c r="C125" s="51"/>
      <c r="D125" s="51"/>
      <c r="E125" s="51"/>
      <c r="F125" s="51"/>
      <c r="G125" s="51"/>
      <c r="H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278</v>
      </c>
    </row>
    <row r="3" ht="15.75" customHeight="1"/>
    <row r="4" ht="15.75" customHeight="1">
      <c r="B4" s="15" t="s">
        <v>1</v>
      </c>
      <c r="C4" s="16" t="str">
        <f>'Diseño'!C4</f>
        <v>796 - Lenguajes Formales y de Programación</v>
      </c>
      <c r="D4" s="17"/>
      <c r="E4" s="17"/>
      <c r="F4" s="17"/>
      <c r="G4" s="18"/>
    </row>
    <row r="5" ht="15.75" customHeight="1">
      <c r="B5" s="43" t="s">
        <v>118</v>
      </c>
      <c r="C5" s="16">
        <f>H9+H26+H43+H60+H77+H94+H111</f>
        <v>8</v>
      </c>
      <c r="D5" s="17"/>
      <c r="E5" s="17"/>
      <c r="F5" s="17"/>
      <c r="G5" s="18"/>
    </row>
    <row r="6" ht="15.75" customHeight="1">
      <c r="B6" s="43" t="s">
        <v>160</v>
      </c>
      <c r="C6" s="20">
        <f>F9+F26+F43+F60+F77+F94+F111</f>
        <v>4</v>
      </c>
      <c r="D6" s="17"/>
      <c r="E6" s="17"/>
      <c r="F6" s="17"/>
      <c r="G6" s="18"/>
    </row>
    <row r="7" ht="15.75" customHeight="1">
      <c r="B7" s="6" t="s">
        <v>279</v>
      </c>
    </row>
    <row r="8" ht="15.75" customHeight="1"/>
    <row r="9" ht="15.75" customHeight="1">
      <c r="A9" s="44" t="s">
        <v>280</v>
      </c>
      <c r="E9" s="34" t="s">
        <v>160</v>
      </c>
      <c r="F9" s="45">
        <v>1.0</v>
      </c>
      <c r="G9" s="34" t="s">
        <v>252</v>
      </c>
      <c r="H9" s="45">
        <v>2.0</v>
      </c>
    </row>
    <row r="10" ht="15.75" customHeight="1">
      <c r="A10" s="6" t="s">
        <v>268</v>
      </c>
    </row>
    <row r="11" ht="15.75" customHeight="1">
      <c r="A11" s="55" t="s">
        <v>172</v>
      </c>
      <c r="B11" s="20" t="s">
        <v>173</v>
      </c>
      <c r="C11" s="17"/>
      <c r="D11" s="17"/>
      <c r="E11" s="17"/>
      <c r="F11" s="17"/>
      <c r="G11" s="17"/>
      <c r="H11" s="18"/>
    </row>
    <row r="12" ht="15.75" customHeight="1">
      <c r="A12" s="55" t="s">
        <v>172</v>
      </c>
      <c r="B12" s="16"/>
      <c r="C12" s="17"/>
      <c r="D12" s="17"/>
      <c r="E12" s="17"/>
      <c r="F12" s="17"/>
      <c r="G12" s="17"/>
      <c r="H12" s="18"/>
    </row>
    <row r="13" ht="15.75" customHeight="1">
      <c r="A13" s="55" t="s">
        <v>172</v>
      </c>
      <c r="B13" s="16"/>
      <c r="C13" s="17"/>
      <c r="D13" s="17"/>
      <c r="E13" s="17"/>
      <c r="F13" s="17"/>
      <c r="G13" s="17"/>
      <c r="H13" s="18"/>
    </row>
    <row r="14" ht="15.75" customHeight="1">
      <c r="A14" s="55" t="s">
        <v>253</v>
      </c>
      <c r="B14" s="20" t="s">
        <v>281</v>
      </c>
      <c r="C14" s="17"/>
      <c r="D14" s="17"/>
      <c r="E14" s="17"/>
      <c r="F14" s="17"/>
      <c r="G14" s="17"/>
      <c r="H14" s="18"/>
    </row>
    <row r="15" ht="15.75" customHeight="1">
      <c r="A15" s="46" t="s">
        <v>255</v>
      </c>
      <c r="B15" s="17"/>
      <c r="C15" s="17"/>
      <c r="D15" s="17"/>
      <c r="E15" s="17"/>
      <c r="F15" s="17"/>
      <c r="G15" s="17"/>
      <c r="H15" s="18"/>
    </row>
    <row r="16" ht="15.75" customHeight="1">
      <c r="A16" s="70" t="s">
        <v>282</v>
      </c>
      <c r="B16" s="48"/>
      <c r="C16" s="48"/>
      <c r="D16" s="48"/>
      <c r="E16" s="48"/>
      <c r="F16" s="48"/>
      <c r="G16" s="48"/>
      <c r="H16" s="49"/>
    </row>
    <row r="17" ht="15.75" customHeight="1">
      <c r="A17" s="62"/>
      <c r="H17" s="63"/>
    </row>
    <row r="18" ht="15.75" customHeight="1">
      <c r="A18" s="50"/>
      <c r="B18" s="51"/>
      <c r="C18" s="51"/>
      <c r="D18" s="51"/>
      <c r="E18" s="51"/>
      <c r="F18" s="51"/>
      <c r="G18" s="51"/>
      <c r="H18" s="52"/>
    </row>
    <row r="19" ht="15.75" customHeight="1">
      <c r="A19" s="46" t="s">
        <v>257</v>
      </c>
      <c r="B19" s="17"/>
      <c r="C19" s="17"/>
      <c r="D19" s="17"/>
      <c r="E19" s="17"/>
      <c r="F19" s="17"/>
      <c r="G19" s="17"/>
      <c r="H19" s="18"/>
    </row>
    <row r="20" ht="15.75" customHeight="1">
      <c r="A20" s="69" t="s">
        <v>283</v>
      </c>
      <c r="B20" s="48"/>
      <c r="C20" s="48"/>
      <c r="D20" s="48"/>
      <c r="E20" s="48"/>
      <c r="F20" s="48"/>
      <c r="G20" s="48"/>
      <c r="H20" s="49"/>
    </row>
    <row r="21" ht="15.75" customHeight="1">
      <c r="A21" s="62"/>
      <c r="H21" s="63"/>
    </row>
    <row r="22" ht="15.75" customHeight="1">
      <c r="A22" s="62"/>
      <c r="H22" s="63"/>
    </row>
    <row r="23" ht="15.75" customHeight="1">
      <c r="A23" s="50"/>
      <c r="B23" s="51"/>
      <c r="C23" s="51"/>
      <c r="D23" s="51"/>
      <c r="E23" s="51"/>
      <c r="F23" s="51"/>
      <c r="G23" s="51"/>
      <c r="H23" s="52"/>
    </row>
    <row r="24" ht="15.75" customHeight="1"/>
    <row r="25" ht="15.75" customHeight="1"/>
    <row r="26" ht="15.75" customHeight="1">
      <c r="A26" s="44" t="s">
        <v>284</v>
      </c>
      <c r="E26" s="34" t="s">
        <v>160</v>
      </c>
      <c r="F26" s="45">
        <v>1.0</v>
      </c>
      <c r="G26" s="34" t="s">
        <v>252</v>
      </c>
      <c r="H26" s="45">
        <v>2.0</v>
      </c>
    </row>
    <row r="27" ht="15.75" customHeight="1">
      <c r="A27" s="6" t="s">
        <v>268</v>
      </c>
    </row>
    <row r="28" ht="15.75" customHeight="1">
      <c r="A28" s="55" t="s">
        <v>172</v>
      </c>
      <c r="B28" s="20" t="s">
        <v>173</v>
      </c>
      <c r="C28" s="17"/>
      <c r="D28" s="17"/>
      <c r="E28" s="17"/>
      <c r="F28" s="17"/>
      <c r="G28" s="17"/>
      <c r="H28" s="18"/>
    </row>
    <row r="29" ht="15.75" customHeight="1">
      <c r="A29" s="55" t="s">
        <v>172</v>
      </c>
      <c r="B29" s="16"/>
      <c r="C29" s="17"/>
      <c r="D29" s="17"/>
      <c r="E29" s="17"/>
      <c r="F29" s="17"/>
      <c r="G29" s="17"/>
      <c r="H29" s="18"/>
    </row>
    <row r="30" ht="15.75" customHeight="1">
      <c r="A30" s="55" t="s">
        <v>172</v>
      </c>
      <c r="B30" s="16"/>
      <c r="C30" s="17"/>
      <c r="D30" s="17"/>
      <c r="E30" s="17"/>
      <c r="F30" s="17"/>
      <c r="G30" s="17"/>
      <c r="H30" s="18"/>
    </row>
    <row r="31" ht="15.75" customHeight="1">
      <c r="A31" s="55" t="s">
        <v>253</v>
      </c>
      <c r="B31" s="20" t="s">
        <v>285</v>
      </c>
      <c r="C31" s="17"/>
      <c r="D31" s="17"/>
      <c r="E31" s="17"/>
      <c r="F31" s="17"/>
      <c r="G31" s="17"/>
      <c r="H31" s="18"/>
    </row>
    <row r="32" ht="15.75" customHeight="1">
      <c r="A32" s="46" t="s">
        <v>255</v>
      </c>
      <c r="B32" s="17"/>
      <c r="C32" s="17"/>
      <c r="D32" s="17"/>
      <c r="E32" s="17"/>
      <c r="F32" s="17"/>
      <c r="G32" s="17"/>
      <c r="H32" s="18"/>
    </row>
    <row r="33" ht="15.75" customHeight="1">
      <c r="A33" s="70" t="s">
        <v>282</v>
      </c>
      <c r="B33" s="48"/>
      <c r="C33" s="48"/>
      <c r="D33" s="48"/>
      <c r="E33" s="48"/>
      <c r="F33" s="48"/>
      <c r="G33" s="48"/>
      <c r="H33" s="49"/>
    </row>
    <row r="34" ht="15.75" customHeight="1">
      <c r="A34" s="62"/>
      <c r="H34" s="63"/>
    </row>
    <row r="35" ht="15.75" customHeight="1">
      <c r="A35" s="50"/>
      <c r="B35" s="51"/>
      <c r="C35" s="51"/>
      <c r="D35" s="51"/>
      <c r="E35" s="51"/>
      <c r="F35" s="51"/>
      <c r="G35" s="51"/>
      <c r="H35" s="52"/>
    </row>
    <row r="36" ht="15.75" customHeight="1">
      <c r="A36" s="46" t="s">
        <v>257</v>
      </c>
      <c r="B36" s="17"/>
      <c r="C36" s="17"/>
      <c r="D36" s="17"/>
      <c r="E36" s="17"/>
      <c r="F36" s="17"/>
      <c r="G36" s="17"/>
      <c r="H36" s="18"/>
    </row>
    <row r="37" ht="15.75" customHeight="1">
      <c r="A37" s="69" t="s">
        <v>286</v>
      </c>
      <c r="B37" s="48"/>
      <c r="C37" s="48"/>
      <c r="D37" s="48"/>
      <c r="E37" s="48"/>
      <c r="F37" s="48"/>
      <c r="G37" s="48"/>
      <c r="H37" s="49"/>
    </row>
    <row r="38" ht="15.75" customHeight="1">
      <c r="A38" s="62"/>
      <c r="H38" s="63"/>
    </row>
    <row r="39" ht="15.75" customHeight="1">
      <c r="A39" s="62"/>
      <c r="H39" s="63"/>
    </row>
    <row r="40" ht="15.75" customHeight="1">
      <c r="A40" s="50"/>
      <c r="B40" s="51"/>
      <c r="C40" s="51"/>
      <c r="D40" s="51"/>
      <c r="E40" s="51"/>
      <c r="F40" s="51"/>
      <c r="G40" s="51"/>
      <c r="H40" s="52"/>
    </row>
    <row r="41" ht="15.75" customHeight="1"/>
    <row r="42" ht="15.75" customHeight="1"/>
    <row r="43" ht="15.75" customHeight="1">
      <c r="A43" s="44" t="s">
        <v>287</v>
      </c>
      <c r="E43" s="34" t="s">
        <v>160</v>
      </c>
      <c r="F43" s="45">
        <v>1.0</v>
      </c>
      <c r="G43" s="34" t="s">
        <v>252</v>
      </c>
      <c r="H43" s="45">
        <v>2.0</v>
      </c>
    </row>
    <row r="44" ht="15.75" customHeight="1">
      <c r="A44" s="38" t="s">
        <v>264</v>
      </c>
    </row>
    <row r="45" ht="15.75" customHeight="1">
      <c r="A45" s="55" t="s">
        <v>172</v>
      </c>
      <c r="B45" s="20" t="s">
        <v>48</v>
      </c>
      <c r="C45" s="17"/>
      <c r="D45" s="17"/>
      <c r="E45" s="17"/>
      <c r="F45" s="17"/>
      <c r="G45" s="17"/>
      <c r="H45" s="18"/>
    </row>
    <row r="46" ht="15.75" customHeight="1">
      <c r="A46" s="55" t="s">
        <v>172</v>
      </c>
      <c r="B46" s="16"/>
      <c r="C46" s="17"/>
      <c r="D46" s="17"/>
      <c r="E46" s="17"/>
      <c r="F46" s="17"/>
      <c r="G46" s="17"/>
      <c r="H46" s="18"/>
    </row>
    <row r="47" ht="15.75" customHeight="1">
      <c r="A47" s="55" t="s">
        <v>172</v>
      </c>
      <c r="B47" s="16"/>
      <c r="C47" s="17"/>
      <c r="D47" s="17"/>
      <c r="E47" s="17"/>
      <c r="F47" s="17"/>
      <c r="G47" s="17"/>
      <c r="H47" s="18"/>
    </row>
    <row r="48" ht="15.75" customHeight="1">
      <c r="A48" s="55" t="s">
        <v>253</v>
      </c>
      <c r="B48" s="20" t="s">
        <v>288</v>
      </c>
      <c r="C48" s="17"/>
      <c r="D48" s="17"/>
      <c r="E48" s="17"/>
      <c r="F48" s="17"/>
      <c r="G48" s="17"/>
      <c r="H48" s="18"/>
    </row>
    <row r="49" ht="15.75" customHeight="1">
      <c r="A49" s="46" t="s">
        <v>255</v>
      </c>
      <c r="B49" s="17"/>
      <c r="C49" s="17"/>
      <c r="D49" s="17"/>
      <c r="E49" s="17"/>
      <c r="F49" s="17"/>
      <c r="G49" s="17"/>
      <c r="H49" s="18"/>
    </row>
    <row r="50" ht="15.75" customHeight="1">
      <c r="A50" s="70" t="s">
        <v>289</v>
      </c>
      <c r="B50" s="48"/>
      <c r="C50" s="48"/>
      <c r="D50" s="48"/>
      <c r="E50" s="48"/>
      <c r="F50" s="48"/>
      <c r="G50" s="48"/>
      <c r="H50" s="49"/>
    </row>
    <row r="51" ht="15.75" customHeight="1">
      <c r="A51" s="62"/>
      <c r="H51" s="63"/>
    </row>
    <row r="52" ht="15.75" customHeight="1">
      <c r="A52" s="50"/>
      <c r="B52" s="51"/>
      <c r="C52" s="51"/>
      <c r="D52" s="51"/>
      <c r="E52" s="51"/>
      <c r="F52" s="51"/>
      <c r="G52" s="51"/>
      <c r="H52" s="52"/>
    </row>
    <row r="53" ht="15.75" customHeight="1">
      <c r="A53" s="46" t="s">
        <v>257</v>
      </c>
      <c r="B53" s="17"/>
      <c r="C53" s="17"/>
      <c r="D53" s="17"/>
      <c r="E53" s="17"/>
      <c r="F53" s="17"/>
      <c r="G53" s="17"/>
      <c r="H53" s="18"/>
    </row>
    <row r="54" ht="15.75" customHeight="1">
      <c r="A54" s="69" t="s">
        <v>290</v>
      </c>
      <c r="B54" s="48"/>
      <c r="C54" s="48"/>
      <c r="D54" s="48"/>
      <c r="E54" s="48"/>
      <c r="F54" s="48"/>
      <c r="G54" s="48"/>
      <c r="H54" s="49"/>
    </row>
    <row r="55" ht="15.75" customHeight="1">
      <c r="A55" s="62"/>
      <c r="H55" s="63"/>
    </row>
    <row r="56" ht="15.75" customHeight="1">
      <c r="A56" s="62"/>
      <c r="H56" s="63"/>
    </row>
    <row r="57" ht="15.75" customHeight="1">
      <c r="A57" s="50"/>
      <c r="B57" s="51"/>
      <c r="C57" s="51"/>
      <c r="D57" s="51"/>
      <c r="E57" s="51"/>
      <c r="F57" s="51"/>
      <c r="G57" s="51"/>
      <c r="H57" s="52"/>
    </row>
    <row r="58" ht="15.75" customHeight="1"/>
    <row r="59" ht="15.75" customHeight="1"/>
    <row r="60" ht="15.75" customHeight="1">
      <c r="A60" s="44" t="s">
        <v>291</v>
      </c>
      <c r="E60" s="34" t="s">
        <v>160</v>
      </c>
      <c r="F60" s="45">
        <v>1.0</v>
      </c>
      <c r="G60" s="34" t="s">
        <v>252</v>
      </c>
      <c r="H60" s="45">
        <v>2.0</v>
      </c>
    </row>
    <row r="61" ht="15.75" customHeight="1">
      <c r="A61" s="38" t="s">
        <v>264</v>
      </c>
    </row>
    <row r="62" ht="15.75" customHeight="1">
      <c r="A62" s="55" t="s">
        <v>172</v>
      </c>
      <c r="B62" s="20" t="s">
        <v>92</v>
      </c>
      <c r="C62" s="17"/>
      <c r="D62" s="17"/>
      <c r="E62" s="17"/>
      <c r="F62" s="17"/>
      <c r="G62" s="17"/>
      <c r="H62" s="18"/>
    </row>
    <row r="63" ht="15.75" customHeight="1">
      <c r="A63" s="55" t="s">
        <v>172</v>
      </c>
      <c r="B63" s="20" t="s">
        <v>83</v>
      </c>
      <c r="C63" s="17"/>
      <c r="D63" s="17"/>
      <c r="E63" s="17"/>
      <c r="F63" s="17"/>
      <c r="G63" s="17"/>
      <c r="H63" s="18"/>
    </row>
    <row r="64" ht="15.75" customHeight="1">
      <c r="A64" s="55" t="s">
        <v>172</v>
      </c>
      <c r="B64" s="16"/>
      <c r="C64" s="17"/>
      <c r="D64" s="17"/>
      <c r="E64" s="17"/>
      <c r="F64" s="17"/>
      <c r="G64" s="17"/>
      <c r="H64" s="18"/>
    </row>
    <row r="65" ht="15.75" customHeight="1">
      <c r="A65" s="55" t="s">
        <v>253</v>
      </c>
      <c r="B65" s="20" t="s">
        <v>292</v>
      </c>
      <c r="C65" s="17"/>
      <c r="D65" s="17"/>
      <c r="E65" s="17"/>
      <c r="F65" s="17"/>
      <c r="G65" s="17"/>
      <c r="H65" s="18"/>
    </row>
    <row r="66" ht="15.75" customHeight="1">
      <c r="A66" s="46" t="s">
        <v>255</v>
      </c>
      <c r="B66" s="17"/>
      <c r="C66" s="17"/>
      <c r="D66" s="17"/>
      <c r="E66" s="17"/>
      <c r="F66" s="17"/>
      <c r="G66" s="17"/>
      <c r="H66" s="18"/>
    </row>
    <row r="67" ht="15.75" customHeight="1">
      <c r="A67" s="70" t="s">
        <v>289</v>
      </c>
      <c r="B67" s="48"/>
      <c r="C67" s="48"/>
      <c r="D67" s="48"/>
      <c r="E67" s="48"/>
      <c r="F67" s="48"/>
      <c r="G67" s="48"/>
      <c r="H67" s="49"/>
    </row>
    <row r="68" ht="15.75" customHeight="1">
      <c r="A68" s="62"/>
      <c r="H68" s="63"/>
    </row>
    <row r="69" ht="15.75" customHeight="1">
      <c r="A69" s="50"/>
      <c r="B69" s="51"/>
      <c r="C69" s="51"/>
      <c r="D69" s="51"/>
      <c r="E69" s="51"/>
      <c r="F69" s="51"/>
      <c r="G69" s="51"/>
      <c r="H69" s="52"/>
    </row>
    <row r="70" ht="15.75" customHeight="1">
      <c r="A70" s="46" t="s">
        <v>257</v>
      </c>
      <c r="B70" s="17"/>
      <c r="C70" s="17"/>
      <c r="D70" s="17"/>
      <c r="E70" s="17"/>
      <c r="F70" s="17"/>
      <c r="G70" s="17"/>
      <c r="H70" s="18"/>
    </row>
    <row r="71" ht="15.75" customHeight="1">
      <c r="A71" s="69" t="s">
        <v>293</v>
      </c>
      <c r="B71" s="48"/>
      <c r="C71" s="48"/>
      <c r="D71" s="48"/>
      <c r="E71" s="48"/>
      <c r="F71" s="48"/>
      <c r="G71" s="48"/>
      <c r="H71" s="49"/>
    </row>
    <row r="72" ht="15.75" customHeight="1">
      <c r="A72" s="62"/>
      <c r="H72" s="63"/>
    </row>
    <row r="73" ht="15.75" customHeight="1">
      <c r="A73" s="62"/>
      <c r="H73" s="63"/>
    </row>
    <row r="74" ht="15.75" customHeight="1">
      <c r="A74" s="50"/>
      <c r="B74" s="51"/>
      <c r="C74" s="51"/>
      <c r="D74" s="51"/>
      <c r="E74" s="51"/>
      <c r="F74" s="51"/>
      <c r="G74" s="51"/>
      <c r="H74" s="52"/>
    </row>
    <row r="75" ht="15.75" customHeight="1"/>
    <row r="76" ht="15.75" customHeight="1"/>
    <row r="77" ht="15.75" customHeight="1">
      <c r="A77" s="44" t="s">
        <v>294</v>
      </c>
      <c r="E77" s="34" t="s">
        <v>160</v>
      </c>
      <c r="F77" s="68"/>
      <c r="G77" s="34" t="s">
        <v>252</v>
      </c>
      <c r="H77" s="68"/>
    </row>
    <row r="78" ht="15.75" customHeight="1">
      <c r="A78" s="38" t="s">
        <v>264</v>
      </c>
    </row>
    <row r="79" ht="15.75" customHeight="1">
      <c r="A79" s="55" t="s">
        <v>172</v>
      </c>
      <c r="B79" s="16"/>
      <c r="C79" s="17"/>
      <c r="D79" s="17"/>
      <c r="E79" s="17"/>
      <c r="F79" s="17"/>
      <c r="G79" s="17"/>
      <c r="H79" s="18"/>
    </row>
    <row r="80" ht="15.75" customHeight="1">
      <c r="A80" s="55" t="s">
        <v>172</v>
      </c>
      <c r="B80" s="16"/>
      <c r="C80" s="17"/>
      <c r="D80" s="17"/>
      <c r="E80" s="17"/>
      <c r="F80" s="17"/>
      <c r="G80" s="17"/>
      <c r="H80" s="18"/>
    </row>
    <row r="81" ht="15.75" customHeight="1">
      <c r="A81" s="55" t="s">
        <v>172</v>
      </c>
      <c r="B81" s="16"/>
      <c r="C81" s="17"/>
      <c r="D81" s="17"/>
      <c r="E81" s="17"/>
      <c r="F81" s="17"/>
      <c r="G81" s="17"/>
      <c r="H81" s="18"/>
    </row>
    <row r="82" ht="15.75" customHeight="1">
      <c r="A82" s="55" t="s">
        <v>253</v>
      </c>
      <c r="B82" s="16"/>
      <c r="C82" s="17"/>
      <c r="D82" s="17"/>
      <c r="E82" s="17"/>
      <c r="F82" s="17"/>
      <c r="G82" s="17"/>
      <c r="H82" s="18"/>
    </row>
    <row r="83" ht="15.75" customHeight="1">
      <c r="A83" s="46" t="s">
        <v>255</v>
      </c>
      <c r="B83" s="17"/>
      <c r="C83" s="17"/>
      <c r="D83" s="17"/>
      <c r="E83" s="17"/>
      <c r="F83" s="17"/>
      <c r="G83" s="17"/>
      <c r="H83" s="18"/>
    </row>
    <row r="84" ht="15.75" customHeight="1">
      <c r="A84" s="65"/>
      <c r="B84" s="48"/>
      <c r="C84" s="48"/>
      <c r="D84" s="48"/>
      <c r="E84" s="48"/>
      <c r="F84" s="48"/>
      <c r="G84" s="48"/>
      <c r="H84" s="49"/>
    </row>
    <row r="85" ht="15.75" customHeight="1">
      <c r="A85" s="62"/>
      <c r="H85" s="63"/>
    </row>
    <row r="86" ht="15.75" customHeight="1">
      <c r="A86" s="50"/>
      <c r="B86" s="51"/>
      <c r="C86" s="51"/>
      <c r="D86" s="51"/>
      <c r="E86" s="51"/>
      <c r="F86" s="51"/>
      <c r="G86" s="51"/>
      <c r="H86" s="52"/>
    </row>
    <row r="87" ht="15.75" customHeight="1">
      <c r="A87" s="46" t="s">
        <v>257</v>
      </c>
      <c r="B87" s="17"/>
      <c r="C87" s="17"/>
      <c r="D87" s="17"/>
      <c r="E87" s="17"/>
      <c r="F87" s="17"/>
      <c r="G87" s="17"/>
      <c r="H87" s="18"/>
    </row>
    <row r="88" ht="15.75" customHeight="1">
      <c r="A88" s="65"/>
      <c r="B88" s="48"/>
      <c r="C88" s="48"/>
      <c r="D88" s="48"/>
      <c r="E88" s="48"/>
      <c r="F88" s="48"/>
      <c r="G88" s="48"/>
      <c r="H88" s="49"/>
    </row>
    <row r="89" ht="15.75" customHeight="1">
      <c r="A89" s="62"/>
      <c r="H89" s="63"/>
    </row>
    <row r="90" ht="15.75" customHeight="1">
      <c r="A90" s="62"/>
      <c r="H90" s="63"/>
    </row>
    <row r="91" ht="15.75" customHeight="1">
      <c r="A91" s="50"/>
      <c r="B91" s="51"/>
      <c r="C91" s="51"/>
      <c r="D91" s="51"/>
      <c r="E91" s="51"/>
      <c r="F91" s="51"/>
      <c r="G91" s="51"/>
      <c r="H91" s="52"/>
    </row>
    <row r="92" ht="15.75" customHeight="1"/>
    <row r="93" ht="15.75" customHeight="1"/>
    <row r="94" ht="15.75" customHeight="1">
      <c r="A94" s="44" t="s">
        <v>295</v>
      </c>
      <c r="E94" s="34" t="s">
        <v>160</v>
      </c>
      <c r="F94" s="68"/>
      <c r="G94" s="34" t="s">
        <v>252</v>
      </c>
      <c r="H94" s="68"/>
    </row>
    <row r="95" ht="15.75" customHeight="1">
      <c r="A95" s="38" t="s">
        <v>264</v>
      </c>
    </row>
    <row r="96" ht="15.75" customHeight="1">
      <c r="A96" s="55" t="s">
        <v>172</v>
      </c>
      <c r="B96" s="16"/>
      <c r="C96" s="17"/>
      <c r="D96" s="17"/>
      <c r="E96" s="17"/>
      <c r="F96" s="17"/>
      <c r="G96" s="17"/>
      <c r="H96" s="18"/>
    </row>
    <row r="97" ht="15.75" customHeight="1">
      <c r="A97" s="55" t="s">
        <v>172</v>
      </c>
      <c r="B97" s="16"/>
      <c r="C97" s="17"/>
      <c r="D97" s="17"/>
      <c r="E97" s="17"/>
      <c r="F97" s="17"/>
      <c r="G97" s="17"/>
      <c r="H97" s="18"/>
    </row>
    <row r="98" ht="15.75" customHeight="1">
      <c r="A98" s="55" t="s">
        <v>172</v>
      </c>
      <c r="B98" s="16"/>
      <c r="C98" s="17"/>
      <c r="D98" s="17"/>
      <c r="E98" s="17"/>
      <c r="F98" s="17"/>
      <c r="G98" s="17"/>
      <c r="H98" s="18"/>
    </row>
    <row r="99" ht="15.75" customHeight="1">
      <c r="A99" s="55" t="s">
        <v>253</v>
      </c>
      <c r="B99" s="16"/>
      <c r="C99" s="17"/>
      <c r="D99" s="17"/>
      <c r="E99" s="17"/>
      <c r="F99" s="17"/>
      <c r="G99" s="17"/>
      <c r="H99" s="18"/>
    </row>
    <row r="100" ht="15.75" customHeight="1">
      <c r="A100" s="46" t="s">
        <v>255</v>
      </c>
      <c r="B100" s="17"/>
      <c r="C100" s="17"/>
      <c r="D100" s="17"/>
      <c r="E100" s="17"/>
      <c r="F100" s="17"/>
      <c r="G100" s="17"/>
      <c r="H100" s="18"/>
    </row>
    <row r="101" ht="15.75" customHeight="1">
      <c r="A101" s="65"/>
      <c r="B101" s="48"/>
      <c r="C101" s="48"/>
      <c r="D101" s="48"/>
      <c r="E101" s="48"/>
      <c r="F101" s="48"/>
      <c r="G101" s="48"/>
      <c r="H101" s="49"/>
    </row>
    <row r="102" ht="15.75" customHeight="1">
      <c r="A102" s="62"/>
      <c r="H102" s="63"/>
    </row>
    <row r="103" ht="15.75" customHeight="1">
      <c r="A103" s="50"/>
      <c r="B103" s="51"/>
      <c r="C103" s="51"/>
      <c r="D103" s="51"/>
      <c r="E103" s="51"/>
      <c r="F103" s="51"/>
      <c r="G103" s="51"/>
      <c r="H103" s="52"/>
    </row>
    <row r="104" ht="15.75" customHeight="1">
      <c r="A104" s="46" t="s">
        <v>257</v>
      </c>
      <c r="B104" s="17"/>
      <c r="C104" s="17"/>
      <c r="D104" s="17"/>
      <c r="E104" s="17"/>
      <c r="F104" s="17"/>
      <c r="G104" s="17"/>
      <c r="H104" s="18"/>
    </row>
    <row r="105" ht="15.75" customHeight="1">
      <c r="A105" s="65"/>
      <c r="B105" s="48"/>
      <c r="C105" s="48"/>
      <c r="D105" s="48"/>
      <c r="E105" s="48"/>
      <c r="F105" s="48"/>
      <c r="G105" s="48"/>
      <c r="H105" s="49"/>
    </row>
    <row r="106" ht="15.75" customHeight="1">
      <c r="A106" s="62"/>
      <c r="H106" s="63"/>
    </row>
    <row r="107" ht="15.75" customHeight="1">
      <c r="A107" s="62"/>
      <c r="H107" s="63"/>
    </row>
    <row r="108" ht="15.75" customHeight="1">
      <c r="A108" s="50"/>
      <c r="B108" s="51"/>
      <c r="C108" s="51"/>
      <c r="D108" s="51"/>
      <c r="E108" s="51"/>
      <c r="F108" s="51"/>
      <c r="G108" s="51"/>
      <c r="H108" s="52"/>
    </row>
    <row r="109" ht="15.75" customHeight="1"/>
    <row r="110" ht="15.75" customHeight="1"/>
    <row r="111" ht="15.75" customHeight="1">
      <c r="A111" s="44" t="s">
        <v>296</v>
      </c>
      <c r="E111" s="34" t="s">
        <v>160</v>
      </c>
      <c r="F111" s="68"/>
      <c r="G111" s="34" t="s">
        <v>252</v>
      </c>
      <c r="H111" s="68"/>
    </row>
    <row r="112" ht="15.75" customHeight="1">
      <c r="A112" s="38" t="s">
        <v>264</v>
      </c>
    </row>
    <row r="113" ht="15.75" customHeight="1">
      <c r="A113" s="55" t="s">
        <v>172</v>
      </c>
      <c r="B113" s="16"/>
      <c r="C113" s="17"/>
      <c r="D113" s="17"/>
      <c r="E113" s="17"/>
      <c r="F113" s="17"/>
      <c r="G113" s="17"/>
      <c r="H113" s="18"/>
    </row>
    <row r="114" ht="15.75" customHeight="1">
      <c r="A114" s="55" t="s">
        <v>172</v>
      </c>
      <c r="B114" s="16"/>
      <c r="C114" s="17"/>
      <c r="D114" s="17"/>
      <c r="E114" s="17"/>
      <c r="F114" s="17"/>
      <c r="G114" s="17"/>
      <c r="H114" s="18"/>
    </row>
    <row r="115" ht="15.75" customHeight="1">
      <c r="A115" s="55" t="s">
        <v>172</v>
      </c>
      <c r="B115" s="16"/>
      <c r="C115" s="17"/>
      <c r="D115" s="17"/>
      <c r="E115" s="17"/>
      <c r="F115" s="17"/>
      <c r="G115" s="17"/>
      <c r="H115" s="18"/>
    </row>
    <row r="116" ht="15.75" customHeight="1">
      <c r="A116" s="55" t="s">
        <v>253</v>
      </c>
      <c r="B116" s="16"/>
      <c r="C116" s="17"/>
      <c r="D116" s="17"/>
      <c r="E116" s="17"/>
      <c r="F116" s="17"/>
      <c r="G116" s="17"/>
      <c r="H116" s="18"/>
    </row>
    <row r="117" ht="15.75" customHeight="1">
      <c r="A117" s="46" t="s">
        <v>255</v>
      </c>
      <c r="B117" s="17"/>
      <c r="C117" s="17"/>
      <c r="D117" s="17"/>
      <c r="E117" s="17"/>
      <c r="F117" s="17"/>
      <c r="G117" s="17"/>
      <c r="H117" s="18"/>
    </row>
    <row r="118" ht="15.75" customHeight="1">
      <c r="A118" s="65"/>
      <c r="B118" s="48"/>
      <c r="C118" s="48"/>
      <c r="D118" s="48"/>
      <c r="E118" s="48"/>
      <c r="F118" s="48"/>
      <c r="G118" s="48"/>
      <c r="H118" s="49"/>
    </row>
    <row r="119" ht="15.75" customHeight="1">
      <c r="A119" s="62"/>
      <c r="H119" s="63"/>
    </row>
    <row r="120" ht="15.75" customHeight="1">
      <c r="A120" s="50"/>
      <c r="B120" s="51"/>
      <c r="C120" s="51"/>
      <c r="D120" s="51"/>
      <c r="E120" s="51"/>
      <c r="F120" s="51"/>
      <c r="G120" s="51"/>
      <c r="H120" s="52"/>
    </row>
    <row r="121" ht="15.75" customHeight="1">
      <c r="A121" s="46" t="s">
        <v>257</v>
      </c>
      <c r="B121" s="17"/>
      <c r="C121" s="17"/>
      <c r="D121" s="17"/>
      <c r="E121" s="17"/>
      <c r="F121" s="17"/>
      <c r="G121" s="17"/>
      <c r="H121" s="18"/>
    </row>
    <row r="122" ht="15.75" customHeight="1">
      <c r="A122" s="65"/>
      <c r="B122" s="48"/>
      <c r="C122" s="48"/>
      <c r="D122" s="48"/>
      <c r="E122" s="48"/>
      <c r="F122" s="48"/>
      <c r="G122" s="48"/>
      <c r="H122" s="49"/>
    </row>
    <row r="123" ht="15.75" customHeight="1">
      <c r="A123" s="62"/>
      <c r="H123" s="63"/>
    </row>
    <row r="124" ht="15.75" customHeight="1">
      <c r="A124" s="62"/>
      <c r="H124" s="63"/>
    </row>
    <row r="125" ht="15.75" customHeight="1">
      <c r="A125" s="50"/>
      <c r="B125" s="51"/>
      <c r="C125" s="51"/>
      <c r="D125" s="51"/>
      <c r="E125" s="51"/>
      <c r="F125" s="51"/>
      <c r="G125" s="51"/>
      <c r="H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4"/>
    </row>
    <row r="2" ht="15.75" customHeight="1">
      <c r="A2" s="14"/>
      <c r="B2" s="42" t="s">
        <v>297</v>
      </c>
    </row>
    <row r="3" ht="15.75" customHeight="1">
      <c r="A3" s="14"/>
    </row>
    <row r="4" ht="15.75" customHeight="1">
      <c r="A4" s="14"/>
      <c r="B4" s="3" t="s">
        <v>1</v>
      </c>
      <c r="C4" s="3" t="str">
        <f>'Diseño'!C4</f>
        <v>796 - Lenguajes Formales y de Programación</v>
      </c>
    </row>
    <row r="5" ht="15.75" customHeight="1">
      <c r="A5" s="14"/>
      <c r="B5" s="14" t="s">
        <v>3</v>
      </c>
      <c r="C5" s="5" t="s">
        <v>4</v>
      </c>
    </row>
    <row r="6" ht="15.75" customHeight="1">
      <c r="A6" s="14"/>
      <c r="B6" s="14" t="s">
        <v>298</v>
      </c>
      <c r="H6" s="77"/>
    </row>
    <row r="7" ht="15.75" customHeight="1">
      <c r="A7" s="14"/>
    </row>
    <row r="8" ht="15.75" customHeight="1">
      <c r="A8" s="14"/>
    </row>
    <row r="9" ht="36.0" customHeight="1">
      <c r="A9" s="34" t="s">
        <v>299</v>
      </c>
      <c r="B9" s="78"/>
      <c r="D9" s="34" t="s">
        <v>249</v>
      </c>
      <c r="E9" s="79">
        <v>2.0</v>
      </c>
      <c r="F9" s="80"/>
      <c r="G9" s="80"/>
      <c r="H9" s="80"/>
      <c r="I9" s="80"/>
      <c r="J9" s="80"/>
      <c r="K9" s="80"/>
      <c r="L9" s="80"/>
      <c r="M9" s="80"/>
      <c r="N9" s="80"/>
      <c r="O9" s="80"/>
      <c r="P9" s="80"/>
      <c r="Q9" s="80"/>
      <c r="R9" s="80"/>
      <c r="S9" s="80"/>
      <c r="T9" s="80"/>
      <c r="U9" s="80"/>
      <c r="V9" s="80"/>
      <c r="W9" s="80"/>
      <c r="X9" s="80"/>
      <c r="Y9" s="80"/>
      <c r="Z9" s="80"/>
    </row>
    <row r="10" ht="48.75" customHeight="1">
      <c r="A10" s="81" t="s">
        <v>300</v>
      </c>
      <c r="D10" s="81" t="s">
        <v>301</v>
      </c>
    </row>
    <row r="11" ht="15.75" customHeight="1">
      <c r="A11" s="82"/>
      <c r="B11" s="83"/>
      <c r="C11" s="83"/>
      <c r="D11" s="83"/>
    </row>
    <row r="12" ht="15.75" customHeight="1">
      <c r="A12" s="84" t="s">
        <v>193</v>
      </c>
      <c r="B12" s="85" t="s">
        <v>302</v>
      </c>
      <c r="C12" s="85" t="s">
        <v>303</v>
      </c>
      <c r="D12" s="85" t="s">
        <v>304</v>
      </c>
    </row>
    <row r="13">
      <c r="A13" s="43" t="s">
        <v>305</v>
      </c>
      <c r="B13" s="59">
        <f>S.2!B49+S.3!B49+S.4!B49+S.5!B49+S.6!B49+S.7!B55+S.8!B49+S.9!B49+S.10!B58+S.11!B58</f>
        <v>6</v>
      </c>
      <c r="C13" s="59">
        <v>1.25</v>
      </c>
      <c r="D13" s="59" t="s">
        <v>306</v>
      </c>
      <c r="E13" s="81" t="s">
        <v>307</v>
      </c>
    </row>
    <row r="14" ht="15.75" customHeight="1">
      <c r="A14" s="43" t="s">
        <v>249</v>
      </c>
      <c r="B14" s="59">
        <f>Proyectos!C6</f>
        <v>65</v>
      </c>
      <c r="C14" s="19">
        <f>Proyectos!C5</f>
        <v>55</v>
      </c>
      <c r="D14" s="19"/>
    </row>
    <row r="15" ht="15.75" customHeight="1">
      <c r="A15" s="43" t="s">
        <v>265</v>
      </c>
      <c r="B15" s="59">
        <f>Practicas!C6</f>
        <v>15</v>
      </c>
      <c r="C15" s="19">
        <f>Practicas!C5</f>
        <v>10</v>
      </c>
      <c r="D15" s="19"/>
    </row>
    <row r="16" ht="15.75" customHeight="1">
      <c r="A16" s="43" t="s">
        <v>278</v>
      </c>
      <c r="B16" s="59">
        <f>Tareas!C6</f>
        <v>4</v>
      </c>
      <c r="C16" s="19">
        <f>Tareas!C5</f>
        <v>8</v>
      </c>
      <c r="D16" s="19"/>
    </row>
    <row r="17" ht="15.75" customHeight="1">
      <c r="A17" s="86" t="s">
        <v>308</v>
      </c>
      <c r="B17" s="59">
        <v>10.0</v>
      </c>
      <c r="C17" s="59">
        <v>10.0</v>
      </c>
      <c r="D17" s="19"/>
    </row>
    <row r="18" ht="15.75" customHeight="1">
      <c r="A18" s="87" t="s">
        <v>309</v>
      </c>
      <c r="B18" s="88">
        <f t="shared" ref="B18:C18" si="1">SUM(B13:B17)</f>
        <v>100</v>
      </c>
      <c r="C18" s="88">
        <f t="shared" si="1"/>
        <v>84.25</v>
      </c>
      <c r="D18" s="88"/>
    </row>
    <row r="19" ht="15.75" customHeight="1">
      <c r="A19" s="14"/>
    </row>
    <row r="20" ht="15.75" customHeight="1">
      <c r="A20" s="14"/>
    </row>
    <row r="21" ht="15.75" customHeight="1">
      <c r="A21" s="14"/>
    </row>
    <row r="22" ht="15.75" customHeight="1">
      <c r="A22" s="14"/>
    </row>
    <row r="23" ht="15.75" customHeight="1">
      <c r="A23" s="14"/>
    </row>
    <row r="24" ht="15.75" customHeight="1">
      <c r="A24" s="14"/>
    </row>
    <row r="25" ht="15.75" customHeight="1">
      <c r="A25" s="14"/>
    </row>
    <row r="26" ht="15.75" customHeight="1">
      <c r="A26" s="14"/>
    </row>
    <row r="27" ht="15.75" customHeight="1">
      <c r="A27" s="14"/>
    </row>
    <row r="28" ht="15.75" customHeight="1">
      <c r="A28" s="14"/>
    </row>
    <row r="29" ht="15.75" customHeight="1">
      <c r="A29" s="14"/>
    </row>
    <row r="30" ht="15.75" customHeight="1">
      <c r="A30" s="14"/>
    </row>
    <row r="31" ht="15.75" customHeight="1">
      <c r="A31" s="14"/>
    </row>
    <row r="32" ht="15.75" customHeight="1">
      <c r="A32" s="14"/>
    </row>
    <row r="33" ht="15.75" customHeight="1">
      <c r="A33" s="14"/>
    </row>
    <row r="34" ht="15.75" customHeight="1">
      <c r="A34" s="14"/>
    </row>
    <row r="35" ht="15.75" customHeight="1">
      <c r="A35" s="14"/>
    </row>
    <row r="36" ht="15.75" customHeight="1">
      <c r="A36" s="14"/>
    </row>
    <row r="37" ht="15.75" customHeight="1">
      <c r="A37" s="14"/>
    </row>
    <row r="38" ht="15.75" customHeight="1">
      <c r="A38" s="14"/>
    </row>
    <row r="39" ht="15.75" customHeight="1">
      <c r="A39" s="14"/>
    </row>
    <row r="40" ht="15.75" customHeight="1">
      <c r="A40" s="14"/>
    </row>
    <row r="41" ht="15.75" customHeight="1">
      <c r="A41" s="14"/>
    </row>
    <row r="42" ht="15.75" customHeight="1">
      <c r="A42" s="14"/>
    </row>
    <row r="43" ht="15.75" customHeight="1">
      <c r="A43" s="14"/>
    </row>
    <row r="44" ht="15.75" customHeight="1">
      <c r="A44" s="14"/>
    </row>
    <row r="45" ht="15.75" customHeight="1">
      <c r="A45" s="14"/>
    </row>
    <row r="46" ht="15.75" customHeight="1">
      <c r="A46" s="14"/>
    </row>
    <row r="47" ht="15.75" customHeight="1">
      <c r="A47" s="14"/>
    </row>
    <row r="48" ht="15.75" customHeight="1">
      <c r="A48" s="14"/>
    </row>
    <row r="49" ht="15.75" customHeight="1">
      <c r="A49" s="14"/>
    </row>
    <row r="50" ht="15.75" customHeight="1">
      <c r="A50" s="14"/>
    </row>
    <row r="51" ht="15.75" customHeight="1">
      <c r="A51" s="14"/>
    </row>
    <row r="52" ht="15.75" customHeight="1">
      <c r="A52" s="14"/>
    </row>
    <row r="53" ht="15.75" customHeight="1">
      <c r="A53" s="14"/>
    </row>
    <row r="54" ht="15.75" customHeight="1">
      <c r="A54" s="14"/>
    </row>
    <row r="55" ht="15.75" customHeight="1">
      <c r="A55" s="14"/>
    </row>
    <row r="56" ht="15.75" customHeight="1">
      <c r="A56" s="14"/>
    </row>
    <row r="57" ht="15.75" customHeight="1">
      <c r="A57" s="14"/>
    </row>
    <row r="58" ht="15.75" customHeight="1">
      <c r="A58" s="14"/>
    </row>
    <row r="59" ht="15.75" customHeight="1">
      <c r="A59" s="14"/>
    </row>
    <row r="60" ht="15.75" customHeight="1">
      <c r="A60" s="14"/>
    </row>
    <row r="61" ht="15.75" customHeight="1">
      <c r="A61" s="14"/>
    </row>
    <row r="62" ht="15.75" customHeight="1">
      <c r="A62" s="14"/>
    </row>
    <row r="63" ht="15.75" customHeight="1">
      <c r="A63" s="14"/>
    </row>
    <row r="64" ht="15.75" customHeight="1">
      <c r="A64" s="14"/>
    </row>
    <row r="65" ht="15.75" customHeight="1">
      <c r="A65" s="14"/>
    </row>
    <row r="66" ht="15.75" customHeight="1">
      <c r="A66" s="14"/>
    </row>
    <row r="67" ht="15.75" customHeight="1">
      <c r="A67" s="14"/>
    </row>
    <row r="68" ht="15.75" customHeight="1">
      <c r="A68" s="14"/>
    </row>
    <row r="69" ht="15.75" customHeight="1">
      <c r="A69" s="14"/>
    </row>
    <row r="70" ht="15.75" customHeight="1">
      <c r="A70" s="14"/>
    </row>
    <row r="71" ht="15.75" customHeight="1">
      <c r="A71" s="14"/>
    </row>
    <row r="72" ht="15.75" customHeight="1">
      <c r="A72" s="14"/>
    </row>
    <row r="73" ht="15.75" customHeight="1">
      <c r="A73" s="14"/>
    </row>
    <row r="74" ht="15.75" customHeight="1">
      <c r="A74" s="14"/>
    </row>
    <row r="75" ht="15.75" customHeight="1">
      <c r="A75" s="14"/>
    </row>
    <row r="76" ht="15.75" customHeight="1">
      <c r="A76" s="14"/>
    </row>
    <row r="77" ht="15.75" customHeight="1">
      <c r="A77" s="14"/>
    </row>
    <row r="78" ht="15.75" customHeight="1">
      <c r="A78" s="14"/>
    </row>
    <row r="79" ht="15.75" customHeight="1">
      <c r="A79" s="14"/>
    </row>
    <row r="80" ht="15.75" customHeight="1">
      <c r="A80" s="14"/>
    </row>
    <row r="81" ht="15.75" customHeight="1">
      <c r="A81" s="14"/>
    </row>
    <row r="82" ht="15.75" customHeight="1">
      <c r="A82" s="14"/>
    </row>
    <row r="83" ht="15.75" customHeight="1">
      <c r="A83" s="14"/>
    </row>
    <row r="84" ht="15.75" customHeight="1">
      <c r="A84" s="14"/>
    </row>
    <row r="85" ht="15.75" customHeight="1">
      <c r="A85" s="14"/>
    </row>
    <row r="86" ht="15.75" customHeight="1">
      <c r="A86" s="14"/>
    </row>
    <row r="87" ht="15.75" customHeight="1">
      <c r="A87" s="14"/>
    </row>
    <row r="88" ht="15.75" customHeight="1">
      <c r="A88" s="14"/>
    </row>
    <row r="89" ht="15.75" customHeight="1">
      <c r="A89" s="14"/>
    </row>
    <row r="90" ht="15.75" customHeight="1">
      <c r="A90" s="14"/>
    </row>
    <row r="91" ht="15.75" customHeight="1">
      <c r="A91" s="14"/>
    </row>
    <row r="92" ht="15.75" customHeight="1">
      <c r="A92" s="14"/>
    </row>
    <row r="93" ht="15.75" customHeight="1">
      <c r="A93" s="14"/>
    </row>
    <row r="94" ht="15.75" customHeight="1">
      <c r="A94" s="14"/>
    </row>
    <row r="95" ht="15.75" customHeight="1">
      <c r="A95" s="14"/>
    </row>
    <row r="96" ht="15.75" customHeight="1">
      <c r="A96" s="14"/>
    </row>
    <row r="97" ht="15.75" customHeight="1">
      <c r="A97" s="14"/>
    </row>
    <row r="98" ht="15.75" customHeight="1">
      <c r="A98" s="14"/>
    </row>
    <row r="99" ht="15.75" customHeight="1">
      <c r="A99" s="14"/>
    </row>
    <row r="100" ht="15.75" customHeight="1">
      <c r="A100" s="14"/>
    </row>
    <row r="101" ht="15.75" customHeight="1">
      <c r="A101" s="14"/>
    </row>
    <row r="102" ht="15.75" customHeight="1">
      <c r="A102" s="14"/>
    </row>
    <row r="103" ht="15.75" customHeight="1">
      <c r="A103" s="14"/>
    </row>
    <row r="104" ht="15.75" customHeight="1">
      <c r="A104" s="14"/>
    </row>
    <row r="105" ht="15.75" customHeight="1">
      <c r="A105" s="14"/>
    </row>
    <row r="106" ht="15.75" customHeight="1">
      <c r="A106" s="14"/>
    </row>
    <row r="107" ht="15.75" customHeight="1">
      <c r="A107" s="14"/>
    </row>
    <row r="108" ht="15.75" customHeight="1">
      <c r="A108" s="14"/>
    </row>
    <row r="109" ht="15.75" customHeight="1">
      <c r="A109" s="14"/>
    </row>
    <row r="110" ht="15.75" customHeight="1">
      <c r="A110" s="14"/>
    </row>
    <row r="111" ht="15.75" customHeight="1">
      <c r="A111" s="14"/>
    </row>
    <row r="112" ht="15.75" customHeight="1">
      <c r="A112" s="14"/>
    </row>
    <row r="113" ht="15.75" customHeight="1">
      <c r="A113" s="14"/>
    </row>
    <row r="114" ht="15.75" customHeight="1">
      <c r="A114" s="14"/>
    </row>
    <row r="115" ht="15.75" customHeight="1">
      <c r="A115" s="14"/>
    </row>
    <row r="116" ht="15.75" customHeight="1">
      <c r="A116" s="14"/>
    </row>
    <row r="117" ht="15.75" customHeight="1">
      <c r="A117" s="14"/>
    </row>
    <row r="118" ht="15.75" customHeight="1">
      <c r="A118" s="14"/>
    </row>
    <row r="119" ht="15.75" customHeight="1">
      <c r="A119" s="14"/>
    </row>
    <row r="120" ht="15.75" customHeight="1">
      <c r="A120" s="14"/>
    </row>
    <row r="121" ht="15.75" customHeight="1">
      <c r="A121" s="14"/>
    </row>
    <row r="122" ht="15.75" customHeight="1">
      <c r="A122" s="14"/>
    </row>
    <row r="123" ht="15.75" customHeight="1">
      <c r="A123" s="14"/>
    </row>
    <row r="124" ht="15.75" customHeight="1">
      <c r="A124" s="14"/>
    </row>
    <row r="125" ht="15.75" customHeight="1">
      <c r="A125" s="14"/>
    </row>
    <row r="126" ht="15.75" customHeight="1">
      <c r="A126" s="14"/>
    </row>
    <row r="127" ht="15.75" customHeight="1">
      <c r="A127" s="14"/>
    </row>
    <row r="128" ht="15.75" customHeight="1">
      <c r="A128" s="14"/>
    </row>
    <row r="129" ht="15.75" customHeight="1">
      <c r="A129" s="14"/>
    </row>
    <row r="130" ht="15.75" customHeight="1">
      <c r="A130" s="14"/>
    </row>
    <row r="131" ht="15.75" customHeight="1">
      <c r="A131" s="14"/>
    </row>
    <row r="132" ht="15.75" customHeight="1">
      <c r="A132" s="14"/>
    </row>
    <row r="133" ht="15.75" customHeight="1">
      <c r="A133" s="14"/>
    </row>
    <row r="134" ht="15.75" customHeight="1">
      <c r="A134" s="14"/>
    </row>
    <row r="135" ht="15.75" customHeight="1">
      <c r="A135" s="14"/>
    </row>
    <row r="136" ht="15.75" customHeight="1">
      <c r="A136" s="14"/>
    </row>
    <row r="137" ht="15.75" customHeight="1">
      <c r="A137" s="14"/>
    </row>
    <row r="138" ht="15.75" customHeight="1">
      <c r="A138" s="14"/>
    </row>
    <row r="139" ht="15.75" customHeight="1">
      <c r="A139" s="14"/>
    </row>
    <row r="140" ht="15.75" customHeight="1">
      <c r="A140" s="14"/>
    </row>
    <row r="141" ht="15.75" customHeight="1">
      <c r="A141" s="14"/>
    </row>
    <row r="142" ht="15.75" customHeight="1">
      <c r="A142" s="14"/>
    </row>
    <row r="143" ht="15.75" customHeight="1">
      <c r="A143" s="14"/>
    </row>
    <row r="144" ht="15.75" customHeight="1">
      <c r="A144" s="14"/>
    </row>
    <row r="145" ht="15.75" customHeight="1">
      <c r="A145" s="14"/>
    </row>
    <row r="146" ht="15.75" customHeight="1">
      <c r="A146" s="14"/>
    </row>
    <row r="147" ht="15.75" customHeight="1">
      <c r="A147" s="14"/>
    </row>
    <row r="148" ht="15.75" customHeight="1">
      <c r="A148" s="14"/>
    </row>
    <row r="149" ht="15.75" customHeight="1">
      <c r="A149" s="14"/>
    </row>
    <row r="150" ht="15.75" customHeight="1">
      <c r="A150" s="14"/>
    </row>
    <row r="151" ht="15.75" customHeight="1">
      <c r="A151" s="14"/>
    </row>
    <row r="152" ht="15.75" customHeight="1">
      <c r="A152" s="14"/>
    </row>
    <row r="153" ht="15.75" customHeight="1">
      <c r="A153" s="14"/>
    </row>
    <row r="154" ht="15.75" customHeight="1">
      <c r="A154" s="14"/>
    </row>
    <row r="155" ht="15.75" customHeight="1">
      <c r="A155" s="14"/>
    </row>
    <row r="156" ht="15.75" customHeight="1">
      <c r="A156" s="14"/>
    </row>
    <row r="157" ht="15.75" customHeight="1">
      <c r="A157" s="14"/>
    </row>
    <row r="158" ht="15.75" customHeight="1">
      <c r="A158" s="14"/>
    </row>
    <row r="159" ht="15.75" customHeight="1">
      <c r="A159" s="14"/>
    </row>
    <row r="160" ht="15.75" customHeight="1">
      <c r="A160" s="14"/>
    </row>
    <row r="161" ht="15.75" customHeight="1">
      <c r="A161" s="14"/>
    </row>
    <row r="162" ht="15.75" customHeight="1">
      <c r="A162" s="14"/>
    </row>
    <row r="163" ht="15.75" customHeight="1">
      <c r="A163" s="14"/>
    </row>
    <row r="164" ht="15.75" customHeight="1">
      <c r="A164" s="14"/>
    </row>
    <row r="165" ht="15.75" customHeight="1">
      <c r="A165" s="14"/>
    </row>
    <row r="166" ht="15.75" customHeight="1">
      <c r="A166" s="14"/>
    </row>
    <row r="167" ht="15.75" customHeight="1">
      <c r="A167" s="14"/>
    </row>
    <row r="168" ht="15.75" customHeight="1">
      <c r="A168" s="14"/>
    </row>
    <row r="169" ht="15.75" customHeight="1">
      <c r="A169" s="14"/>
    </row>
    <row r="170" ht="15.75" customHeight="1">
      <c r="A170" s="14"/>
    </row>
    <row r="171" ht="15.75" customHeight="1">
      <c r="A171" s="14"/>
    </row>
    <row r="172" ht="15.75" customHeight="1">
      <c r="A172" s="14"/>
    </row>
    <row r="173" ht="15.75" customHeight="1">
      <c r="A173" s="14"/>
    </row>
    <row r="174" ht="15.75" customHeight="1">
      <c r="A174" s="14"/>
    </row>
    <row r="175" ht="15.75" customHeight="1">
      <c r="A175" s="14"/>
    </row>
    <row r="176" ht="15.75" customHeight="1">
      <c r="A176" s="14"/>
    </row>
    <row r="177" ht="15.75" customHeight="1">
      <c r="A177" s="14"/>
    </row>
    <row r="178" ht="15.75" customHeight="1">
      <c r="A178" s="14"/>
    </row>
    <row r="179" ht="15.75" customHeight="1">
      <c r="A179" s="14"/>
    </row>
    <row r="180" ht="15.75" customHeight="1">
      <c r="A180" s="14"/>
    </row>
    <row r="181" ht="15.75" customHeight="1">
      <c r="A181" s="14"/>
    </row>
    <row r="182" ht="15.75" customHeight="1">
      <c r="A182" s="14"/>
    </row>
    <row r="183" ht="15.75" customHeight="1">
      <c r="A183" s="14"/>
    </row>
    <row r="184" ht="15.75" customHeight="1">
      <c r="A184" s="14"/>
    </row>
    <row r="185" ht="15.75" customHeight="1">
      <c r="A185" s="14"/>
    </row>
    <row r="186" ht="15.75" customHeight="1">
      <c r="A186" s="14"/>
    </row>
    <row r="187" ht="15.75" customHeight="1">
      <c r="A187" s="14"/>
    </row>
    <row r="188" ht="15.75" customHeight="1">
      <c r="A188" s="14"/>
    </row>
    <row r="189" ht="15.75" customHeight="1">
      <c r="A189" s="14"/>
    </row>
    <row r="190" ht="15.75" customHeight="1">
      <c r="A190" s="14"/>
    </row>
    <row r="191" ht="15.75" customHeight="1">
      <c r="A191" s="14"/>
    </row>
    <row r="192" ht="15.75" customHeight="1">
      <c r="A192" s="14"/>
    </row>
    <row r="193" ht="15.75" customHeight="1">
      <c r="A193" s="14"/>
    </row>
    <row r="194" ht="15.75" customHeight="1">
      <c r="A194" s="14"/>
    </row>
    <row r="195" ht="15.75" customHeight="1">
      <c r="A195" s="14"/>
    </row>
    <row r="196" ht="15.75" customHeight="1">
      <c r="A196" s="14"/>
    </row>
    <row r="197" ht="15.75" customHeight="1">
      <c r="A197" s="14"/>
    </row>
    <row r="198" ht="15.75" customHeight="1">
      <c r="A198" s="14"/>
    </row>
    <row r="199" ht="15.75" customHeight="1">
      <c r="A199" s="14"/>
    </row>
    <row r="200" ht="15.75" customHeight="1">
      <c r="A200" s="14"/>
    </row>
    <row r="201" ht="15.75" customHeight="1">
      <c r="A201" s="14"/>
    </row>
    <row r="202" ht="15.75" customHeight="1">
      <c r="A202" s="14"/>
    </row>
    <row r="203" ht="15.75" customHeight="1">
      <c r="A203" s="14"/>
    </row>
    <row r="204" ht="15.75" customHeight="1">
      <c r="A204" s="14"/>
    </row>
    <row r="205" ht="15.75" customHeight="1">
      <c r="A205" s="14"/>
    </row>
    <row r="206" ht="15.75" customHeight="1">
      <c r="A206" s="14"/>
    </row>
    <row r="207" ht="15.75" customHeight="1">
      <c r="A207" s="14"/>
    </row>
    <row r="208" ht="15.75" customHeight="1">
      <c r="A208" s="14"/>
    </row>
    <row r="209" ht="15.75" customHeight="1">
      <c r="A209" s="14"/>
    </row>
    <row r="210" ht="15.75" customHeight="1">
      <c r="A210" s="14"/>
    </row>
    <row r="211" ht="15.75" customHeight="1">
      <c r="A211" s="14"/>
    </row>
    <row r="212" ht="15.75" customHeight="1">
      <c r="A212" s="14"/>
    </row>
    <row r="213" ht="15.75" customHeight="1">
      <c r="A213" s="14"/>
    </row>
    <row r="214" ht="15.75" customHeight="1">
      <c r="A214" s="14"/>
    </row>
    <row r="215" ht="15.75" customHeight="1">
      <c r="A215" s="14"/>
    </row>
    <row r="216" ht="15.75" customHeight="1">
      <c r="A216" s="14"/>
    </row>
    <row r="217" ht="15.75" customHeight="1">
      <c r="A217" s="14"/>
    </row>
    <row r="218" ht="15.75" customHeight="1">
      <c r="A218" s="14"/>
    </row>
    <row r="219" ht="15.75" customHeight="1">
      <c r="A219" s="14"/>
    </row>
    <row r="220" ht="15.75" customHeight="1">
      <c r="A220" s="14"/>
    </row>
    <row r="221" ht="15.75" customHeight="1">
      <c r="A221" s="1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IFERROR(__xludf.DUMMYFUNCTION("""COMPUTED_VALUE"""),"Analizar")</f>
        <v>Analizar</v>
      </c>
      <c r="K1" s="5" t="str">
        <f>IFERROR(__xludf.DUMMYFUNCTION("""COMPUTED_VALUE"""),"la evolución y clasificación de los lenguajes formales y de programación")</f>
        <v>la evolución y clasificación de los lenguajes formales y de programación</v>
      </c>
      <c r="L1" s="5"/>
      <c r="M1" s="5" t="str">
        <f>IFERROR(__xludf.DUMMYFUNCTION("""COMPUTED_VALUE"""),"mediante la comparación de sus características, estructuras y herramientas")</f>
        <v>mediante la comparación de sus características, estructuras y herramientas</v>
      </c>
      <c r="N1" s="5" t="str">
        <f>IFERROR(__xludf.DUMMYFUNCTION("""COMPUTED_VALUE"""),"para comprender su organización y funcionamiento")</f>
        <v>para comprender su organización y funcionamiento</v>
      </c>
      <c r="O1" s="5"/>
      <c r="P1" s="5" t="str">
        <f>IFERROR(__xludf.DUMMYFUNCTION("""COMPUTED_VALUE"""),"Analizar")</f>
        <v>Analizar</v>
      </c>
    </row>
    <row r="2" ht="15.75" customHeight="1">
      <c r="A2" s="5" t="str">
        <f>IFERROR(__xludf.DUMMYFUNCTION("""COMPUTED_VALUE"""),"17 - Área Social Humanística 1")</f>
        <v>17 - Área Social Humanística 1</v>
      </c>
      <c r="B2" s="5"/>
      <c r="C2" s="5"/>
      <c r="D2" s="5"/>
      <c r="E2" s="5"/>
      <c r="H2" s="5"/>
      <c r="I2" s="5" t="str">
        <f>IFERROR(__xludf.DUMMYFUNCTION("""COMPUTED_VALUE"""),"Analizar la evolución y clasificación de los lenguajes formales y de programación mediante la comparación de sus características, estructuras y herramientas para comprender su organización y funcionamiento ")</f>
        <v>Analizar la evolución y clasificación de los lenguajes formales y de programación mediante la comparación de sus características, estructuras y herramientas para comprender su organización y funcionamiento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IFERROR(__xludf.DUMMYFUNCTION("""COMPUTED_VALUE"""),"Generar")</f>
        <v>Generar</v>
      </c>
      <c r="K3" s="5" t="str">
        <f>IFERROR(__xludf.DUMMYFUNCTION("""COMPUTED_VALUE"""),"gramáticas libres de contexto")</f>
        <v>gramáticas libres de contexto</v>
      </c>
      <c r="L3" s="5"/>
      <c r="M3" s="5" t="str">
        <f>IFERROR(__xludf.DUMMYFUNCTION("""COMPUTED_VALUE"""),"mediante el análisis sintáctico")</f>
        <v>mediante el análisis sintáctico</v>
      </c>
      <c r="N3" s="5" t="str">
        <f>IFERROR(__xludf.DUMMYFUNCTION("""COMPUTED_VALUE"""),"para reconocer lenguajes formales.")</f>
        <v>para reconocer lenguajes formales.</v>
      </c>
      <c r="O3" s="5"/>
      <c r="P3" s="5" t="str">
        <f>IFERROR(__xludf.DUMMYFUNCTION("""COMPUTED_VALUE"""),"Crear")</f>
        <v>Crear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IFERROR(__xludf.DUMMYFUNCTION("""COMPUTED_VALUE"""),"Generar gramáticas libres de contexto mediante el análisis sintáctico para reconocer lenguajes formales. ")</f>
        <v>Generar gramáticas libres de contexto mediante el análisis sintáctico para reconocer lenguajes formales.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IFERROR(__xludf.DUMMYFUNCTION("""COMPUTED_VALUE"""),"Construir")</f>
        <v>Construir</v>
      </c>
      <c r="K5" s="5" t="str">
        <f>IFERROR(__xludf.DUMMYFUNCTION("""COMPUTED_VALUE"""),"analizadores léxicos")</f>
        <v>analizadores léxicos</v>
      </c>
      <c r="L5" s="5"/>
      <c r="M5" s="5" t="str">
        <f>IFERROR(__xludf.DUMMYFUNCTION("""COMPUTED_VALUE"""),"utilizando conocimientos de AFD, POO, recursividad y programación imperativa")</f>
        <v>utilizando conocimientos de AFD, POO, recursividad y programación imperativa</v>
      </c>
      <c r="N5" s="5" t="str">
        <f>IFERROR(__xludf.DUMMYFUNCTION("""COMPUTED_VALUE"""),"para definir cada estado del AFD")</f>
        <v>para definir cada estado del AFD</v>
      </c>
      <c r="O5" s="5"/>
      <c r="P5" s="5" t="str">
        <f>IFERROR(__xludf.DUMMYFUNCTION("""COMPUTED_VALUE"""),"Crear")</f>
        <v>Crear</v>
      </c>
    </row>
    <row r="6" ht="15.75" customHeight="1">
      <c r="A6" s="5" t="str">
        <f>IFERROR(__xludf.DUMMYFUNCTION("""COMPUTED_VALUE"""),"6 - Idioma Tecnico 1")</f>
        <v>6 - Idioma Tecnico 1</v>
      </c>
      <c r="B6" s="5"/>
      <c r="C6" s="5"/>
      <c r="D6" s="5"/>
      <c r="E6" s="5"/>
      <c r="H6" s="5"/>
      <c r="I6" s="5" t="str">
        <f>IFERROR(__xludf.DUMMYFUNCTION("""COMPUTED_VALUE"""),"Construir analizadores léxicos utilizando conocimientos de AFD, POO, recursividad y programación imperativa para definir cada estado del AFD ")</f>
        <v>Construir analizadores léxicos utilizando conocimientos de AFD, POO, recursividad y programación imperativa para definir cada estado del AFD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IFERROR(__xludf.DUMMYFUNCTION("""COMPUTED_VALUE"""),"Construir")</f>
        <v>Construir</v>
      </c>
      <c r="K7" s="5" t="str">
        <f>IFERROR(__xludf.DUMMYFUNCTION("""COMPUTED_VALUE"""),"analizadores sintácticos")</f>
        <v>analizadores sintácticos</v>
      </c>
      <c r="L7" s="5"/>
      <c r="M7" s="5" t="str">
        <f>IFERROR(__xludf.DUMMYFUNCTION("""COMPUTED_VALUE"""),"utilizando conocimientos de Gramáticas Libres del Contexto, POO, recursividad y programación imperativa")</f>
        <v>utilizando conocimientos de Gramáticas Libres del Contexto, POO, recursividad y programación imperativa</v>
      </c>
      <c r="N7" s="5" t="str">
        <f>IFERROR(__xludf.DUMMYFUNCTION("""COMPUTED_VALUE"""),"para definir cada regla sintáctica")</f>
        <v>para definir cada regla sintáctica</v>
      </c>
      <c r="O7" s="5"/>
      <c r="P7" s="5" t="str">
        <f>IFERROR(__xludf.DUMMYFUNCTION("""COMPUTED_VALUE"""),"Crear")</f>
        <v>Crear</v>
      </c>
    </row>
    <row r="8" ht="15.75" customHeight="1">
      <c r="A8" s="5" t="str">
        <f>IFERROR(__xludf.DUMMYFUNCTION("""COMPUTED_VALUE"""),"103 - Área Matemática Básica 2")</f>
        <v>103 - Área Matemática Básica 2</v>
      </c>
      <c r="B8" s="5"/>
      <c r="C8" s="5"/>
      <c r="D8" s="5"/>
      <c r="E8" s="5"/>
      <c r="H8" s="5"/>
      <c r="I8" s="5" t="str">
        <f>IFERROR(__xludf.DUMMYFUNCTION("""COMPUTED_VALUE"""),"Construir analizadores sintácticos utilizando conocimientos de Gramáticas Libres del Contexto, POO, recursividad y programación imperativa para definir cada regla sintáctica ")</f>
        <v>Construir analizadores sintácticos utilizando conocimientos de Gramáticas Libres del Contexto, POO, recursividad y programación imperativa para definir cada regla sintáctica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IFERROR(__xludf.DUMMYFUNCTION("""COMPUTED_VALUE"""),"Comprender")</f>
        <v>Comprender</v>
      </c>
      <c r="K9" s="5" t="str">
        <f>IFERROR(__xludf.DUMMYFUNCTION("""COMPUTED_VALUE"""),"aspectos importantes sobre el lenguaje utilizado")</f>
        <v>aspectos importantes sobre el lenguaje utilizado</v>
      </c>
      <c r="L9" s="5"/>
      <c r="M9" s="5" t="str">
        <f>IFERROR(__xludf.DUMMYFUNCTION("""COMPUTED_VALUE"""),"a través de su aplicación")</f>
        <v>a través de su aplicación</v>
      </c>
      <c r="N9" s="5" t="str">
        <f>IFERROR(__xludf.DUMMYFUNCTION("""COMPUTED_VALUE"""),"para implementar lo aprendido durante las clases teóricas")</f>
        <v>para implementar lo aprendido durante las clases teóricas</v>
      </c>
      <c r="O9" s="5"/>
      <c r="P9" s="5" t="str">
        <f>IFERROR(__xludf.DUMMYFUNCTION("""COMPUTED_VALUE"""),"Comprender")</f>
        <v>Comprender</v>
      </c>
    </row>
    <row r="10" ht="15.75" customHeight="1">
      <c r="A10" s="5" t="str">
        <f>IFERROR(__xludf.DUMMYFUNCTION("""COMPUTED_VALUE"""),"147 - Física Básica")</f>
        <v>147 - Física Básica</v>
      </c>
      <c r="B10" s="5"/>
      <c r="C10" s="5"/>
      <c r="D10" s="5"/>
      <c r="E10" s="5"/>
      <c r="H10" s="5"/>
      <c r="I10" s="5" t="str">
        <f>IFERROR(__xludf.DUMMYFUNCTION("""COMPUTED_VALUE"""),"Comprender aspectos importantes sobre el lenguaje utilizado a través de su aplicación para implementar lo aprendido durante las clases teóricas ")</f>
        <v>Comprender aspectos importantes sobre el lenguaje utilizado a través de su aplicación para implementar lo aprendido durante las clases teóricas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IFERROR(__xludf.DUMMYFUNCTION("""COMPUTED_VALUE"""),"Comprender")</f>
        <v>Comprender</v>
      </c>
      <c r="K11" s="5" t="str">
        <f>IFERROR(__xludf.DUMMYFUNCTION("""COMPUTED_VALUE"""),"el funcionamiento del lenguaje de programación")</f>
        <v>el funcionamiento del lenguaje de programación</v>
      </c>
      <c r="L11" s="5"/>
      <c r="M11" s="5" t="str">
        <f>IFERROR(__xludf.DUMMYFUNCTION("""COMPUTED_VALUE"""),"a través de su aplicación")</f>
        <v>a través de su aplicación</v>
      </c>
      <c r="N11" s="5" t="str">
        <f>IFERROR(__xludf.DUMMYFUNCTION("""COMPUTED_VALUE"""),"para la resolución de problemas relacionados con las fases del compilador")</f>
        <v>para la resolución de problemas relacionados con las fases del compilador</v>
      </c>
      <c r="O11" s="5"/>
      <c r="P11" s="5" t="str">
        <f>IFERROR(__xludf.DUMMYFUNCTION("""COMPUTED_VALUE"""),"Comprender")</f>
        <v>Comprender</v>
      </c>
    </row>
    <row r="12" ht="15.75" customHeight="1">
      <c r="A12" s="5" t="str">
        <f>IFERROR(__xludf.DUMMYFUNCTION("""COMPUTED_VALUE"""),"8 - Idioma Técnico 2")</f>
        <v>8 - Idioma Técnico 2</v>
      </c>
      <c r="B12" s="5"/>
      <c r="C12" s="5"/>
      <c r="D12" s="5"/>
      <c r="E12" s="5"/>
      <c r="H12" s="5"/>
      <c r="I12" s="5" t="str">
        <f>IFERROR(__xludf.DUMMYFUNCTION("""COMPUTED_VALUE"""),"Comprender el funcionamiento del lenguaje de programación a través de su aplicación para la resolución de problemas relacionados con las fases del compilador ")</f>
        <v>Comprender el funcionamiento del lenguaje de programación a través de su aplicación para la resolución de problemas relacionados con las fases del compilador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IFERROR(__xludf.DUMMYFUNCTION("""COMPUTED_VALUE"""),"General")</f>
        <v>General</v>
      </c>
      <c r="J13" s="5"/>
      <c r="K13" s="5"/>
      <c r="L13" s="5"/>
      <c r="M13" s="5"/>
      <c r="N13" s="5"/>
      <c r="O13" s="5"/>
      <c r="P13" s="5"/>
    </row>
    <row r="14" ht="15.75" customHeight="1">
      <c r="A14" s="5" t="str">
        <f>IFERROR(__xludf.DUMMYFUNCTION("""COMPUTED_VALUE"""),"962 - Matemática Para Computación 2")</f>
        <v>962 - Matemática Para Computación 2</v>
      </c>
      <c r="B14" s="5"/>
      <c r="C14" s="5"/>
      <c r="D14" s="5"/>
      <c r="E14" s="5"/>
      <c r="H14" s="5"/>
      <c r="I14" s="5" t="str">
        <f>IFERROR(__xludf.DUMMYFUNCTION("""COMPUTED_VALUE"""),"El estudiante construye aplicaciones mediante el uso de analisis lexico y sintactico utilizando herramientas de procesamiento de lenguajes formales.")</f>
        <v>El estudiante construye aplicaciones mediante el uso de analisis lexico y sintactico utilizando herramientas de procesamiento de lenguajes formales.</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Analizar la evolución y clasificación de los lenguajes formales y de programación mediante la comparación de sus características, estructuras y herramientas para comprender su organización y funcionamiento </v>
      </c>
    </row>
    <row r="18" ht="15.75" customHeight="1">
      <c r="A18" s="5" t="str">
        <f>IFERROR(__xludf.DUMMYFUNCTION("""COMPUTED_VALUE"""),"1 - Ética Profesional")</f>
        <v>1 - Ética Profesional</v>
      </c>
      <c r="B18" s="5"/>
      <c r="C18" s="5"/>
      <c r="D18" s="5"/>
      <c r="E18" s="5"/>
      <c r="I18" s="5" t="str">
        <f>I4</f>
        <v>Generar gramáticas libres de contexto mediante el análisis sintáctico para reconocer lenguajes formales. </v>
      </c>
    </row>
    <row r="19" ht="15.75" customHeight="1">
      <c r="A19" s="5" t="str">
        <f>IFERROR(__xludf.DUMMYFUNCTION("""COMPUTED_VALUE"""),"9 - Idioma Técnico 3")</f>
        <v>9 - Idioma Técnico 3</v>
      </c>
      <c r="B19" s="5"/>
      <c r="C19" s="5"/>
      <c r="D19" s="5"/>
      <c r="E19" s="5"/>
      <c r="I19" s="5" t="str">
        <f>I6</f>
        <v>Construir analizadores léxicos utilizando conocimientos de AFD, POO, recursividad y programación imperativa para definir cada estado del AFD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Construir analizadores sintácticos utilizando conocimientos de Gramáticas Libres del Contexto, POO, recursividad y programación imperativa para definir cada regla sintáctica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Comprender aspectos importantes sobre el lenguaje utilizado a través de su aplicación para implementar lo aprendido durante las clases teóricas </v>
      </c>
    </row>
    <row r="22" ht="15.75" customHeight="1">
      <c r="A22" s="5" t="str">
        <f>IFERROR(__xludf.DUMMYFUNCTION("""COMPUTED_VALUE"""),"112 - Área Matemática Intermedia 2")</f>
        <v>112 - Área Matemática Intermedia 2</v>
      </c>
      <c r="B22" s="5"/>
      <c r="C22" s="5"/>
      <c r="D22" s="5"/>
      <c r="E22" s="5"/>
      <c r="I22" s="5" t="str">
        <f>I12</f>
        <v>Comprender el funcionamiento del lenguaje de programación a través de su aplicación para la resolución de problemas relacionados con las fases del compilador </v>
      </c>
    </row>
    <row r="23" ht="15.75" customHeight="1">
      <c r="A23" s="5" t="str">
        <f>IFERROR(__xludf.DUMMYFUNCTION("""COMPUTED_VALUE"""),"114 - Área Matemática Intermedia 3")</f>
        <v>114 - Área Matemática Intermedia 3</v>
      </c>
      <c r="B23" s="5"/>
      <c r="C23" s="5"/>
      <c r="D23" s="5"/>
      <c r="E23" s="5"/>
      <c r="I23" s="5" t="str">
        <f>I14</f>
        <v>El estudiante construye aplicaciones mediante el uso de analisis lexico y sintactico utilizando herramientas de procesamiento de lenguajes formales.</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