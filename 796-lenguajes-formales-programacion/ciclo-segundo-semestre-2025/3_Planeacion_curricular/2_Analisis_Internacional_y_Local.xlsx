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<sst xmlns="http://schemas.openxmlformats.org/spreadsheetml/2006/main" count="311" uniqueCount="105">
  <si>
    <t>Competencias actuales del laboratorio</t>
  </si>
  <si>
    <t>Nombre del Curso</t>
  </si>
  <si>
    <t>Código del Curso</t>
  </si>
  <si>
    <t>796 - Lenguajes Formales y de Programación</t>
  </si>
  <si>
    <t>Semestre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</si>
  <si>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</si>
  <si>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</si>
  <si>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</si>
  <si>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</si>
  <si>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</si>
  <si>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</si>
  <si>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</si>
  <si>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</si>
  <si>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</si>
  <si>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</si>
  <si>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</si>
  <si>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</si>
  <si>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</si>
  <si>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</si>
  <si>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Identificación de referentes internacionales</t>
  </si>
  <si>
    <t>Codigo del Curso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</si>
  <si>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</si>
  <si>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</si>
  <si>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</si>
  <si>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MIT</t>
  </si>
  <si>
    <t>Computer Language Engineering</t>
  </si>
  <si>
    <t>Fuente de Información</t>
  </si>
  <si>
    <t>https://ocw.mit.edu/courses/6-035-computer-language-engineering-spring-2010/pages/syllabus/</t>
  </si>
  <si>
    <t>Temas relacionados al laboratorio que se imparte</t>
  </si>
  <si>
    <t>Teoría de lenguajes, análisis léxico, análisis sintáctico, gramáticas,
semántica,estructuras de compilador, práctica de implementación de compilador.</t>
  </si>
  <si>
    <t>Herramientas utilizadas relacionados al laboratorio que se imparte</t>
  </si>
  <si>
    <t>Herramientas propias de la asignatura, lenguaje de programación Java (ya que es prerequisito) para proyectos;
posiblemente uso de herramientas de generación de parsers o construcción manual de parsers.</t>
  </si>
  <si>
    <t>Competencia(s) relacionada(s) al laboratorio que se imparte</t>
  </si>
  <si>
    <t>Diseño e implementación de compiladores, aplicar teoría de lenguajes formales, combinar teoría y práctica,
trabajo grupal en proyecto de software, razonamiento formal, algoritmos para parsers, manejo de complejidad de
software.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</si>
  <si>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</si>
  <si>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</si>
  <si>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</si>
  <si>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 (Accreditation Board for Engineering and Technology)</t>
  </si>
  <si>
    <t>Sección , Capitulo , etc,</t>
  </si>
  <si>
    <t>Student Outcomes; Curriculum Requirements; General Criteria 2025‑2026,
Computing Accreditation Commission (CAC) Criteria.</t>
  </si>
  <si>
    <t>https://www.abet.org/accreditation/accreditation-criteria/criteria-for-accrediting-computing-programs-2025-2026/</t>
  </si>
  <si>
    <t>Contenidos relacionados al laboratorio que se imparte</t>
  </si>
  <si>
    <t>- Requiere que los egresados puedan aplicar teoría de ciencias de la computación (incluyendo teoría de lenguajes, autómatas, etc.) para producir soluciones basadas en cómputo..
- Que el currículo incluya conceptos de lenguajes de programación; tipos de lenguajes; estructuras de datos; software development fundamentals.
- Que haya cobertura sustancial de teoría computacional (como autómatas, lenguajes formales) y programación fundamentada.
- Que haya un proyecto mayor o experiencia integradora que use conocimientos previos.
- Buenas prácticas de enseñanza que aseguren que los estudiantes desarrollan tanto conocimientos como habilidades prácticas.</t>
  </si>
  <si>
    <t>ACM / IEEE‑CS Computing Curricula 2020 (CC2020)</t>
  </si>
  <si>
    <t>“Knowledge‑based Computing Education” y
“Competency‑based Computing Education”</t>
  </si>
  <si>
    <t>Funte de Información</t>
  </si>
  <si>
    <t>https://www.acm.org/binaries/content/assets/education/curricula-recommendations/cc2020.pdf?utm_source=chatgpt.com</t>
  </si>
  <si>
    <t>- Enumera conocimientos esperados para programas de CS: teoría de lenguajes, lenguajes de programación, parsers, compiladores, autómatas.
- Competencias asociadas: análisis, diseño de software, evaluación de algoritmos, implementación, uso de abstracciones.
- Importancia de aprendizaje basado en la habilidad de aplicar los conocimientos (no solo teoría).
- Incluye disposición para trabajar en herramientas modernas, en proyectos integrados, buen conocimiento de arquitecturas, eficiencia, etc.</t>
  </si>
  <si>
    <t>Comparación con referentes internacionales</t>
  </si>
  <si>
    <t>Laboratorio Actual</t>
  </si>
  <si>
    <t>Universidad Referente</t>
  </si>
  <si>
    <t>Estandar Referente</t>
  </si>
  <si>
    <t>Unidad</t>
  </si>
  <si>
    <t>Tema</t>
  </si>
  <si>
    <t>SubTema</t>
  </si>
  <si>
    <t>Presente en el referente (Sí/No)</t>
  </si>
  <si>
    <t>No</t>
  </si>
  <si>
    <t>Si</t>
  </si>
  <si>
    <t xml:space="preserve">No </t>
  </si>
  <si>
    <t>Que se impartio el en Curso Previo el Segundo Semestre 2025</t>
  </si>
  <si>
    <t>Introducción a ala programación y computación 1</t>
  </si>
  <si>
    <t>Subtema</t>
  </si>
  <si>
    <t>Mes</t>
  </si>
  <si>
    <t>Semana</t>
  </si>
  <si>
    <t>Que se impartio el en Curso Posterior el Segundo Semestre 2025</t>
  </si>
  <si>
    <t>Organización de Lenguajes y Compiladores 1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</si>
  <si>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</si>
  <si>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</si>
  <si>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</si>
  <si>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</si>
  <si>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Aplica principios básicos de ingeniería, ciencias de computación y sistemas
 de información y comunicación, en la formulación y resolución adecuada de
 problemas complejos.</t>
  </si>
  <si>
    <t>Aplica los conocimientos de su disciplina en la elaboración, fundamentación
 y defensa de argumentos para prevenir y resolver problemas complejos en
 su campo profesional, identificando y aplicando innovaciones.</t>
  </si>
  <si>
    <t>Aplica conocimientos tecnológicos con ética profesional y respetando y
 cuidando los recursos naturales, humanos y financieros.</t>
  </si>
  <si>
    <t>Se comunica correctamente en su lengua oficial y utiliza una lengua
 extranjera con el dominio requerido para el ejercicio de su profesión.</t>
  </si>
  <si>
    <t>Actualiza permanente sus conocimientos relacionados con TIC en general,
 apoyándose en las estrategias de aprendizaje apropiadas.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</si>
  <si>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</si>
  <si>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</si>
  <si>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</si>
  <si>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</si>
  <si>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</si>
  <si>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</si>
  <si>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Analizar</t>
  </si>
  <si>
    <t>la evolución y clasificación de los lenguajes formales y de programación</t>
  </si>
  <si>
    <t>mediante la comparación de sus características, estructuras y herramientas</t>
  </si>
  <si>
    <t>para comprender su organización y funcionamiento</t>
  </si>
  <si>
    <t>Generar</t>
  </si>
  <si>
    <t>gramáticas libres de contexto</t>
  </si>
  <si>
    <t>mediante el análisis sintáctico</t>
  </si>
  <si>
    <t>para reconocer lenguajes formales.</t>
  </si>
  <si>
    <t>Crear</t>
  </si>
  <si>
    <t>Construir</t>
  </si>
  <si>
    <t>analizadores léxicos</t>
  </si>
  <si>
    <t>utilizando conocimientos de AFD, POO, recursividad y programación imperativa</t>
  </si>
  <si>
    <t>para definir cada estado del AFD</t>
  </si>
  <si>
    <t>analizadores sintácticos</t>
  </si>
  <si>
    <t>utilizando conocimientos de Gramáticas Libres del Contexto, POO, recursividad y programación imperativa</t>
  </si>
  <si>
    <t>para definir cada regla sintáctica</t>
  </si>
  <si>
    <t>Comprender</t>
  </si>
  <si>
    <t>aspectos importantes sobre el lenguaje utilizado</t>
  </si>
  <si>
    <t>a través de su aplicación</t>
  </si>
  <si>
    <t>para implementar lo aprendido durante las clases teóricas</t>
  </si>
  <si>
    <t>el funcionamiento del lenguaje de programación</t>
  </si>
  <si>
    <t>para la resolución de problemas relacionados con las fases del compilador</t>
  </si>
  <si>
    <t>General</t>
  </si>
  <si>
    <t>El estudiante construye aplicaciones mediante el uso de analisis lexico y sintactico utilizando herramientas de procesamiento de lenguajes formales.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</si>
</sst>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color theme="1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sz val="53.0"/>
      <color theme="1"/>
      <name val="Arial"/>
    </font>
    <font>
      <color theme="1"/>
      <name val="Arial"/>
      <scheme val="minor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b/>
      <sz val="12.0"/>
      <color theme="4"/>
      <name val="Arial"/>
    </font>
    <font>
      <color rgb="FF999999"/>
      <name val="Arial"/>
    </font>
    <font>
      <color rgb="FF0000FF"/>
      <name val="Arial"/>
    </font>
    <font>
      <sz val="9.0"/>
      <color theme="1"/>
      <name val="Arial"/>
    </font>
    <font>
      <sz val="10.0"/>
      <color theme="1"/>
      <name val="Arial"/>
    </font>
    <font>
      <b/>
      <sz val="12.0"/>
      <color rgb="FFFF6D01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2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0" fillId="0" fontId="7" numFmtId="0" xfId="0" applyAlignment="1" applyFont="1">
      <alignment horizontal="center"/>
    </xf>
    <xf borderId="0" fillId="0" fontId="3" numFmtId="0" xfId="0" applyFont="1"/>
    <xf borderId="1" fillId="4" fontId="8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1" fillId="3" fontId="9" numFmtId="0" xfId="0" applyAlignment="1" applyBorder="1" applyFont="1">
      <alignment vertical="bottom"/>
    </xf>
    <xf borderId="0" fillId="5" fontId="10" numFmtId="0" xfId="0" applyAlignment="1" applyFill="1" applyFont="1">
      <alignment horizontal="center" vertical="bottom"/>
    </xf>
    <xf borderId="0" fillId="6" fontId="11" numFmtId="0" xfId="0" applyAlignment="1" applyFill="1" applyFont="1">
      <alignment horizontal="center" shrinkToFit="0" wrapText="1"/>
    </xf>
    <xf borderId="0" fillId="7" fontId="11" numFmtId="0" xfId="0" applyAlignment="1" applyFill="1" applyFont="1">
      <alignment horizontal="center" shrinkToFit="0" wrapText="1"/>
    </xf>
    <xf borderId="0" fillId="8" fontId="11" numFmtId="0" xfId="0" applyAlignment="1" applyFill="1" applyFont="1">
      <alignment horizontal="center"/>
    </xf>
    <xf borderId="4" fillId="0" fontId="12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4" fillId="2" fontId="13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9" fontId="11" numFmtId="0" xfId="0" applyAlignment="1" applyBorder="1" applyFill="1" applyFont="1">
      <alignment horizontal="center" shrinkToFit="0" wrapText="1"/>
    </xf>
    <xf borderId="4" fillId="9" fontId="11" numFmtId="0" xfId="0" applyAlignment="1" applyBorder="1" applyFont="1">
      <alignment horizontal="center"/>
    </xf>
    <xf borderId="1" fillId="9" fontId="11" numFmtId="0" xfId="0" applyAlignment="1" applyBorder="1" applyFont="1">
      <alignment horizontal="center"/>
    </xf>
    <xf borderId="4" fillId="0" fontId="3" numFmtId="0" xfId="0" applyAlignment="1" applyBorder="1" applyFont="1">
      <alignment shrinkToFit="0" wrapText="1"/>
    </xf>
    <xf borderId="4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0" fontId="8" numFmtId="0" xfId="0" applyFont="1"/>
    <xf borderId="0" fillId="0" fontId="2" numFmtId="0" xfId="0" applyAlignment="1" applyFont="1">
      <alignment horizontal="center"/>
    </xf>
    <xf borderId="4" fillId="9" fontId="1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/>
    </xf>
    <xf borderId="0" fillId="0" fontId="15" numFmtId="0" xfId="0" applyFont="1"/>
    <xf borderId="0" fillId="0" fontId="16" numFmtId="0" xfId="0" applyAlignment="1" applyFont="1">
      <alignment shrinkToFit="0" wrapText="1"/>
    </xf>
    <xf borderId="4" fillId="9" fontId="3" numFmtId="0" xfId="0" applyAlignment="1" applyBorder="1" applyFont="1">
      <alignment shrinkToFit="0" wrapText="1"/>
    </xf>
    <xf borderId="1" fillId="0" fontId="17" numFmtId="0" xfId="0" applyAlignment="1" applyBorder="1" applyFont="1">
      <alignment readingOrder="0"/>
    </xf>
    <xf borderId="1" fillId="9" fontId="14" numFmtId="0" xfId="0" applyBorder="1" applyFont="1"/>
    <xf borderId="5" fillId="0" fontId="3" numFmtId="0" xfId="0" applyAlignment="1" applyBorder="1" applyFont="1">
      <alignment readingOrder="0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5" fillId="0" fontId="18" numFmtId="0" xfId="0" applyAlignment="1" applyBorder="1" applyFont="1">
      <alignment readingOrder="0"/>
    </xf>
    <xf borderId="4" fillId="9" fontId="3" numFmtId="0" xfId="0" applyAlignment="1" applyBorder="1" applyFont="1">
      <alignment readingOrder="0" shrinkToFit="0" wrapText="1"/>
    </xf>
    <xf borderId="5" fillId="0" fontId="19" numFmtId="0" xfId="0" applyAlignment="1" applyBorder="1" applyFont="1">
      <alignment readingOrder="0"/>
    </xf>
    <xf borderId="0" fillId="0" fontId="20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1" fillId="9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/>
    </xf>
    <xf borderId="4" fillId="0" fontId="8" numFmtId="0" xfId="0" applyAlignment="1" applyBorder="1" applyFont="1">
      <alignment shrinkToFit="0" wrapText="1"/>
    </xf>
    <xf borderId="0" fillId="0" fontId="20" numFmtId="0" xfId="0" applyAlignment="1" applyFont="1">
      <alignment horizontal="center"/>
    </xf>
    <xf borderId="0" fillId="0" fontId="11" numFmtId="0" xfId="0" applyAlignment="1" applyFont="1">
      <alignment shrinkToFit="0" vertical="bottom" wrapText="1"/>
    </xf>
    <xf borderId="4" fillId="4" fontId="3" numFmtId="0" xfId="0" applyAlignment="1" applyBorder="1" applyFont="1">
      <alignment readingOrder="0" shrinkToFit="0" wrapText="1"/>
    </xf>
    <xf borderId="0" fillId="0" fontId="8" numFmtId="0" xfId="0" applyFont="1"/>
    <xf borderId="4" fillId="0" fontId="8" numFmtId="49" xfId="0" applyAlignment="1" applyBorder="1" applyFont="1" applyNumberFormat="1">
      <alignment readingOrder="0"/>
    </xf>
    <xf borderId="0" fillId="0" fontId="8" numFmtId="49" xfId="0" applyFont="1" applyNumberFormat="1"/>
    <xf borderId="4" fillId="10" fontId="3" numFmtId="0" xfId="0" applyAlignment="1" applyBorder="1" applyFill="1" applyFont="1">
      <alignment readingOrder="0"/>
    </xf>
    <xf borderId="4" fillId="10" fontId="3" numFmtId="0" xfId="0" applyAlignment="1" applyBorder="1" applyFont="1">
      <alignment readingOrder="0" shrinkToFit="0" wrapText="1"/>
    </xf>
    <xf borderId="4" fillId="10" fontId="8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21" numFmtId="0" xfId="0" applyAlignment="1" applyFont="1">
      <alignment horizontal="center"/>
    </xf>
    <xf borderId="1" fillId="3" fontId="22" numFmtId="0" xfId="0" applyAlignment="1" applyBorder="1" applyFont="1">
      <alignment horizontal="center" shrinkToFit="0" wrapText="1"/>
    </xf>
    <xf borderId="4" fillId="2" fontId="22" numFmtId="0" xfId="0" applyAlignment="1" applyBorder="1" applyFont="1">
      <alignment horizontal="center" shrinkToFit="0" wrapText="1"/>
    </xf>
    <xf borderId="0" fillId="2" fontId="3" numFmtId="0" xfId="0" applyFont="1"/>
    <xf borderId="4" fillId="2" fontId="22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14" numFmtId="0" xfId="0" applyFont="1"/>
    <xf borderId="4" fillId="7" fontId="12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1" fillId="7" fontId="12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4" fillId="0" fontId="12" numFmtId="0" xfId="0" applyAlignment="1" applyBorder="1" applyFont="1">
      <alignment readingOrder="0" vertical="bottom"/>
    </xf>
    <xf borderId="4" fillId="11" fontId="3" numFmtId="0" xfId="0" applyAlignment="1" applyBorder="1" applyFill="1" applyFont="1">
      <alignment readingOrder="0" vertical="bottom"/>
    </xf>
    <xf borderId="1" fillId="12" fontId="3" numFmtId="0" xfId="0" applyAlignment="1" applyBorder="1" applyFill="1" applyFont="1">
      <alignment readingOrder="0" vertical="bottom"/>
    </xf>
    <xf borderId="4" fillId="13" fontId="3" numFmtId="0" xfId="0" applyAlignment="1" applyBorder="1" applyFill="1" applyFont="1">
      <alignment readingOrder="0" vertical="bottom"/>
    </xf>
    <xf borderId="1" fillId="14" fontId="3" numFmtId="0" xfId="0" applyAlignment="1" applyBorder="1" applyFill="1" applyFont="1">
      <alignment readingOrder="0" vertical="bottom"/>
    </xf>
    <xf borderId="4" fillId="15" fontId="3" numFmtId="0" xfId="0" applyAlignment="1" applyBorder="1" applyFill="1" applyFont="1">
      <alignment readingOrder="0" vertical="bottom"/>
    </xf>
    <xf borderId="4" fillId="2" fontId="3" numFmtId="0" xfId="0" applyAlignment="1" applyBorder="1" applyFont="1">
      <alignment vertical="bottom"/>
    </xf>
    <xf borderId="1" fillId="4" fontId="23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vertical="bottom"/>
    </xf>
    <xf borderId="1" fillId="12" fontId="3" numFmtId="0" xfId="0" applyAlignment="1" applyBorder="1" applyFont="1">
      <alignment vertical="bottom"/>
    </xf>
    <xf borderId="4" fillId="13" fontId="3" numFmtId="0" xfId="0" applyAlignment="1" applyBorder="1" applyFont="1">
      <alignment vertical="bottom"/>
    </xf>
    <xf borderId="1" fillId="14" fontId="3" numFmtId="0" xfId="0" applyAlignment="1" applyBorder="1" applyFont="1">
      <alignment vertical="bottom"/>
    </xf>
    <xf borderId="4" fillId="15" fontId="3" numFmtId="0" xfId="0" applyAlignment="1" applyBorder="1" applyFont="1">
      <alignment vertical="bottom"/>
    </xf>
    <xf borderId="1" fillId="4" fontId="23" numFmtId="0" xfId="0" applyAlignment="1" applyBorder="1" applyFont="1">
      <alignment horizontal="center" readingOrder="0" shrinkToFit="0" wrapText="1"/>
    </xf>
    <xf borderId="0" fillId="0" fontId="8" numFmtId="0" xfId="0" applyFont="1"/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228600</xdr:colOff>
      <xdr:row>26</xdr:row>
      <xdr:rowOff>38100</xdr:rowOff>
    </xdr:from>
    <xdr:ext cx="4572000" cy="31527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cw.mit.edu/courses/6-035-computer-language-engineering-spring-2010/pages/syllabus/" TargetMode="External"/><Relationship Id="rId2" Type="http://schemas.openxmlformats.org/officeDocument/2006/relationships/hyperlink" Target="https://www.abet.org/accreditation/accreditation-criteria/criteria-for-accrediting-computing-programs-2025-2026/" TargetMode="External"/><Relationship Id="rId3" Type="http://schemas.openxmlformats.org/officeDocument/2006/relationships/hyperlink" Target="https://www.acm.org/binaries/content/assets/education/curricula-recommendations/cc2020.pdf?utm_source=chatgpt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2" t="s">
        <v>0</v>
      </c>
    </row>
    <row r="2" ht="15.75" customHeight="1">
      <c r="A2" s="3">
        <f>VALUE(LEFT(F4,FIND(" - ",F4)-1))</f>
        <v>796</v>
      </c>
      <c r="B2" s="4"/>
    </row>
    <row r="3" ht="15.75" customHeight="1">
      <c r="B3" s="5"/>
      <c r="C3" s="5"/>
      <c r="D3" s="6" t="s">
        <v>1</v>
      </c>
      <c r="E3" s="7"/>
      <c r="F3" s="8" t="str">
        <f>IFERROR(__xludf.DUMMYFUNCTION("VLOOKUP(A2,IMPORTRANGE(""1j2lHEvOoZ_EPY086Qt7f7AFaZGVfiYKJxXlsnNfWCA0"", ""Listado Cursos!$A$2:$H$100""),2,FALSE)"),"Lenguajes Formales y de Programación")</f>
        <v>Lenguajes Formales y de Programación</v>
      </c>
      <c r="G3" s="9"/>
      <c r="H3" s="9"/>
      <c r="I3" s="9"/>
      <c r="J3" s="7"/>
      <c r="K3" s="10"/>
      <c r="L3" s="11"/>
    </row>
    <row r="4" ht="15.75" customHeight="1">
      <c r="B4" s="5"/>
      <c r="C4" s="5"/>
      <c r="D4" s="6" t="s">
        <v>2</v>
      </c>
      <c r="E4" s="7"/>
      <c r="F4" s="12" t="s">
        <v>3</v>
      </c>
      <c r="G4" s="9"/>
      <c r="H4" s="9"/>
      <c r="I4" s="9"/>
      <c r="J4" s="7"/>
      <c r="K4" s="10"/>
      <c r="L4" s="11"/>
    </row>
    <row r="5" ht="15.75" customHeight="1">
      <c r="B5" s="5"/>
      <c r="C5" s="5"/>
      <c r="D5" s="6" t="s">
        <v>4</v>
      </c>
      <c r="E5" s="7"/>
      <c r="F5" s="13">
        <f>IFERROR(__xludf.DUMMYFUNCTION("VLOOKUP(A2,IMPORTRANGE(""1j2lHEvOoZ_EPY086Qt7f7AFaZGVfiYKJxXlsnNfWCA0"", ""Listado Cursos!A:G""),4,FALSE)"),4.0)</f>
        <v>4</v>
      </c>
      <c r="G5" s="9"/>
      <c r="H5" s="9"/>
      <c r="I5" s="9"/>
      <c r="J5" s="7"/>
      <c r="K5" s="10"/>
      <c r="L5" s="14"/>
    </row>
    <row r="6" ht="15.75" customHeight="1">
      <c r="B6" s="5"/>
      <c r="C6" s="5"/>
      <c r="D6" s="6" t="s">
        <v>5</v>
      </c>
      <c r="E6" s="7"/>
      <c r="F6" s="13" t="str">
        <f>IFERROR(__xludf.DUMMYFUNCTION("VLOOKUP(A2,IMPORTRANGE(""1j2lHEvOoZ_EPY086Qt7f7AFaZGVfiYKJxXlsnNfWCA0"", ""Listado Cursos!A:G""),6,FALSE)"),"Computación")</f>
        <v>Computación</v>
      </c>
      <c r="G6" s="9"/>
      <c r="H6" s="9"/>
      <c r="I6" s="9"/>
      <c r="J6" s="7"/>
      <c r="K6" s="10"/>
      <c r="L6" s="14"/>
    </row>
    <row r="7" ht="15.75" customHeight="1">
      <c r="B7" s="15"/>
      <c r="C7" s="15"/>
      <c r="D7" s="16" t="s">
        <v>6</v>
      </c>
      <c r="E7" s="7"/>
      <c r="F7" s="13">
        <f>IFERROR(__xludf.DUMMYFUNCTION("VLOOKUP(A2,IMPORTRANGE(""1j2lHEvOoZ_EPY086Qt7f7AFaZGVfiYKJxXlsnNfWCA0"", ""Listado Cursos!A:G""),3,FALSE)"),4.0)</f>
        <v>4</v>
      </c>
      <c r="G7" s="9"/>
      <c r="H7" s="9"/>
      <c r="I7" s="9"/>
      <c r="J7" s="7"/>
      <c r="K7" s="15"/>
      <c r="L7" s="14"/>
    </row>
    <row r="8" ht="15.75" customHeight="1">
      <c r="B8" s="15"/>
      <c r="C8" s="15"/>
      <c r="D8" s="16" t="s">
        <v>7</v>
      </c>
      <c r="E8" s="7"/>
      <c r="F8" s="13">
        <v>4.0</v>
      </c>
      <c r="G8" s="9"/>
      <c r="H8" s="9"/>
      <c r="I8" s="9"/>
      <c r="J8" s="7"/>
      <c r="K8" s="15"/>
      <c r="L8" s="14"/>
    </row>
    <row r="9" ht="15.75" customHeight="1">
      <c r="B9" s="15"/>
      <c r="C9" s="15"/>
      <c r="D9" s="15"/>
      <c r="E9" s="15"/>
      <c r="F9" s="15"/>
      <c r="G9" s="15"/>
      <c r="H9" s="15"/>
      <c r="I9" s="15"/>
      <c r="J9" s="15"/>
      <c r="K9" s="15"/>
      <c r="L9" s="14"/>
    </row>
    <row r="10" ht="15.75" customHeight="1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5.75" customHeight="1">
      <c r="B11" s="17" t="s">
        <v>8</v>
      </c>
    </row>
    <row r="12" ht="15.75" customHeight="1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5.75" customHeight="1">
      <c r="B13" s="18" t="s">
        <v>9</v>
      </c>
      <c r="E13" s="15"/>
      <c r="F13" s="19" t="s">
        <v>10</v>
      </c>
      <c r="I13" s="15"/>
      <c r="J13" s="20" t="s">
        <v>11</v>
      </c>
    </row>
    <row r="14" ht="15.75" customHeight="1">
      <c r="B14" s="21" t="s">
        <v>12</v>
      </c>
      <c r="C14" s="21" t="s">
        <v>13</v>
      </c>
      <c r="D14" s="21" t="s">
        <v>14</v>
      </c>
      <c r="E14" s="15"/>
      <c r="F14" s="22" t="s">
        <v>12</v>
      </c>
      <c r="G14" s="21" t="s">
        <v>13</v>
      </c>
      <c r="H14" s="21" t="s">
        <v>14</v>
      </c>
      <c r="I14" s="15"/>
      <c r="J14" s="23" t="s">
        <v>12</v>
      </c>
      <c r="K14" s="24" t="s">
        <v>13</v>
      </c>
      <c r="L14" s="24" t="s">
        <v>14</v>
      </c>
    </row>
    <row r="15" ht="15.75" customHeight="1">
      <c r="B15" s="25">
        <v>1.0</v>
      </c>
      <c r="C15" s="26">
        <f>IFERROR(__xludf.DUMMYFUNCTION("ARRAYFORMULA(TRANSPOSE(SPLIT(FILTER(IMPORTRANGE(""1j2lHEvOoZ_EPY086Qt7f7AFaZGVfiYKJxXlsnNfWCA0"", ""Listado Cursos!E:E""), IMPORTRANGE(""1j2lHEvOoZ_EPY086Qt7f7AFaZGVfiYKJxXlsnNfWCA0"", ""Listado Cursos!A:A"")=A2), "","")))"),770.0)</f>
        <v>770</v>
      </c>
      <c r="D15" s="27" t="str">
        <f>IFERROR(__xludf.DUMMYFUNCTION("IF(C15="""","""",VLOOKUP(C15,IMPORTRANGE(""1j2lHEvOoZ_EPY086Qt7f7AFaZGVfiYKJxXlsnNfWCA0"", ""Listado Cursos!A:B""),2,FALSE))"),"Introducción a ala programación y computación 1")</f>
        <v>Introducción a ala programación y computación 1</v>
      </c>
      <c r="E15" s="15"/>
      <c r="F15" s="25">
        <v>1.0</v>
      </c>
      <c r="G15" s="28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C"&amp;"ursos!A:A"")&lt;&gt;150)"),796.0)</f>
        <v>796</v>
      </c>
      <c r="H15" s="29" t="str">
        <f>IFERROR(__xludf.DUMMYFUNCTION("""COMPUTED_VALUE"""),"Lenguajes Formales y de Programación")</f>
        <v>Lenguajes Formales y de Programación</v>
      </c>
      <c r="I15" s="15"/>
      <c r="J15" s="30">
        <v>1.0</v>
      </c>
      <c r="K15" s="31">
        <f>IFERROR(__xludf.DUMMYFUNCTION("FILTER(IMPORTRANGE(""1j2lHEvOoZ_EPY086Qt7f7AFaZGVfiYKJxXlsnNfWCA0"", ""Listado Cursos!A:B""), ISNUMBER(SEARCH(A2, IMPORTRANGE(""1j2lHEvOoZ_EPY086Qt7f7AFaZGVfiYKJxXlsnNfWCA0"", ""Listado Cursos!E:E""))))"),777.0)</f>
        <v>777</v>
      </c>
      <c r="L15" s="32" t="str">
        <f>IFERROR(__xludf.DUMMYFUNCTION("""COMPUTED_VALUE"""),"Organización de Lenguajes y Compiladores 1")</f>
        <v>Organización de Lenguajes y Compiladores 1</v>
      </c>
    </row>
    <row r="16" ht="15.75" customHeight="1">
      <c r="B16" s="25">
        <v>2.0</v>
      </c>
      <c r="C16" s="27">
        <f>IFERROR(__xludf.DUMMYFUNCTION("""COMPUTED_VALUE"""),795.0)</f>
        <v>795</v>
      </c>
      <c r="D16" s="27" t="str">
        <f>IFERROR(__xludf.DUMMYFUNCTION("IF(C16="""","""",VLOOKUP(C16,IMPORTRANGE(""1j2lHEvOoZ_EPY086Qt7f7AFaZGVfiYKJxXlsnNfWCA0"", ""Listado Cursos!A:B""),2,FALSE))"),"Logica de Sitemas")</f>
        <v>Logica de Sitemas</v>
      </c>
      <c r="E16" s="15"/>
      <c r="F16" s="25">
        <v>2.0</v>
      </c>
      <c r="G16" s="28">
        <f>IFERROR(__xludf.DUMMYFUNCTION("""COMPUTED_VALUE"""),771.0)</f>
        <v>771</v>
      </c>
      <c r="H16" s="29" t="str">
        <f>IFERROR(__xludf.DUMMYFUNCTION("""COMPUTED_VALUE"""),"Introducción a la Programación y Computación 2")</f>
        <v>Introducción a la Programación y Computación 2</v>
      </c>
      <c r="I16" s="15"/>
      <c r="J16" s="30">
        <v>2.0</v>
      </c>
      <c r="K16" s="31">
        <f>IFERROR(__xludf.DUMMYFUNCTION("""COMPUTED_VALUE"""),772.0)</f>
        <v>772</v>
      </c>
      <c r="L16" s="32" t="str">
        <f>IFERROR(__xludf.DUMMYFUNCTION("""COMPUTED_VALUE"""),"Estructuras de Datos")</f>
        <v>Estructuras de Datos</v>
      </c>
    </row>
    <row r="17" ht="15.75" customHeight="1">
      <c r="B17" s="25">
        <v>3.0</v>
      </c>
      <c r="C17" s="27">
        <f>IFERROR(__xludf.DUMMYFUNCTION("""COMPUTED_VALUE"""),960.0)</f>
        <v>960</v>
      </c>
      <c r="D17" s="27" t="str">
        <f>IFERROR(__xludf.DUMMYFUNCTION("IF(C17="""","""",VLOOKUP(C17,IMPORTRANGE(""1j2lHEvOoZ_EPY086Qt7f7AFaZGVfiYKJxXlsnNfWCA0"", ""Listado Cursos!A:B""),2,FALSE))"),"Matemática Para Computación 1")</f>
        <v>Matemática Para Computación 1</v>
      </c>
      <c r="E17" s="15"/>
      <c r="F17" s="25">
        <v>3.0</v>
      </c>
      <c r="G17" s="28">
        <f>IFERROR(__xludf.DUMMYFUNCTION("""COMPUTED_VALUE"""),112.0)</f>
        <v>112</v>
      </c>
      <c r="H17" s="29" t="str">
        <f>IFERROR(__xludf.DUMMYFUNCTION("""COMPUTED_VALUE"""),"Área Matemática Intermedia 2")</f>
        <v>Área Matemática Intermedia 2</v>
      </c>
      <c r="I17" s="15"/>
      <c r="J17" s="30">
        <v>3.0</v>
      </c>
      <c r="K17" s="31">
        <f>IFERROR(__xludf.DUMMYFUNCTION("""COMPUTED_VALUE"""),778.0)</f>
        <v>778</v>
      </c>
      <c r="L17" s="32" t="str">
        <f>IFERROR(__xludf.DUMMYFUNCTION("""COMPUTED_VALUE"""),"Arquitectura de Computadoras y Ensambladores 1")</f>
        <v>Arquitectura de Computadoras y Ensambladores 1</v>
      </c>
    </row>
    <row r="18" ht="15.75" customHeight="1">
      <c r="B18" s="25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15"/>
      <c r="F18" s="25">
        <v>4.0</v>
      </c>
      <c r="G18" s="28">
        <f>IFERROR(__xludf.DUMMYFUNCTION("""COMPUTED_VALUE"""),114.0)</f>
        <v>114</v>
      </c>
      <c r="H18" s="29" t="str">
        <f>IFERROR(__xludf.DUMMYFUNCTION("""COMPUTED_VALUE"""),"Área Matemática Intermedia 3")</f>
        <v>Área Matemática Intermedia 3</v>
      </c>
      <c r="I18" s="15"/>
      <c r="J18" s="30">
        <v>4.0</v>
      </c>
      <c r="K18" s="31">
        <f>IFERROR(__xludf.DUMMYFUNCTION("""COMPUTED_VALUE"""),773.0)</f>
        <v>773</v>
      </c>
      <c r="L18" s="32" t="str">
        <f>IFERROR(__xludf.DUMMYFUNCTION("""COMPUTED_VALUE"""),"Manejo e Implementación de Archivos")</f>
        <v>Manejo e Implementación de Archivos</v>
      </c>
    </row>
    <row r="19" ht="15.75" customHeight="1">
      <c r="B19" s="25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15"/>
      <c r="F19" s="25">
        <v>5.0</v>
      </c>
      <c r="G19" s="28">
        <f>IFERROR(__xludf.DUMMYFUNCTION("""COMPUTED_VALUE"""),152.0)</f>
        <v>152</v>
      </c>
      <c r="H19" s="29" t="str">
        <f>IFERROR(__xludf.DUMMYFUNCTION("""COMPUTED_VALUE"""),"Física 2")</f>
        <v>Física 2</v>
      </c>
      <c r="I19" s="15"/>
      <c r="J19" s="30">
        <v>5.0</v>
      </c>
      <c r="K19" s="33"/>
      <c r="L19" s="32"/>
    </row>
    <row r="20" ht="15.75" customHeight="1">
      <c r="B20" s="25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15"/>
      <c r="F20" s="25">
        <v>6.0</v>
      </c>
      <c r="G20" s="28">
        <f>IFERROR(__xludf.DUMMYFUNCTION("""COMPUTED_VALUE"""),10.0)</f>
        <v>10</v>
      </c>
      <c r="H20" s="27" t="str">
        <f>IFERROR(__xludf.DUMMYFUNCTION("""COMPUTED_VALUE"""),"Lógica")</f>
        <v>Lógica</v>
      </c>
      <c r="I20" s="15"/>
      <c r="J20" s="30">
        <v>6.0</v>
      </c>
      <c r="K20" s="33"/>
      <c r="L20" s="32"/>
    </row>
    <row r="21" ht="15.75" customHeight="1">
      <c r="B21" s="25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15"/>
      <c r="F21" s="25">
        <v>7.0</v>
      </c>
      <c r="G21" s="28">
        <f>IFERROR(__xludf.DUMMYFUNCTION("""COMPUTED_VALUE"""),11.0)</f>
        <v>11</v>
      </c>
      <c r="H21" s="27" t="str">
        <f>IFERROR(__xludf.DUMMYFUNCTION("""COMPUTED_VALUE"""),"Idioma Técnico 4")</f>
        <v>Idioma Técnico 4</v>
      </c>
      <c r="I21" s="15"/>
      <c r="J21" s="30">
        <v>7.0</v>
      </c>
      <c r="K21" s="33"/>
      <c r="L21" s="32"/>
    </row>
    <row r="22" ht="15.75" customHeight="1">
      <c r="B22" s="25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15"/>
      <c r="F22" s="25">
        <v>8.0</v>
      </c>
      <c r="G22" s="28">
        <f>IFERROR(__xludf.DUMMYFUNCTION("""COMPUTED_VALUE"""),2025.0)</f>
        <v>2025</v>
      </c>
      <c r="H22" s="27" t="str">
        <f>IFERROR(__xludf.DUMMYFUNCTION("""COMPUTED_VALUE"""),"Prácticas Iniciales")</f>
        <v>Prácticas Iniciales</v>
      </c>
      <c r="I22" s="15"/>
      <c r="J22" s="30">
        <v>8.0</v>
      </c>
      <c r="K22" s="32"/>
      <c r="L22" s="32"/>
    </row>
    <row r="23" ht="15.75" customHeight="1">
      <c r="B23" s="25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15"/>
      <c r="F23" s="25">
        <v>9.0</v>
      </c>
      <c r="G23" s="27"/>
      <c r="H23" s="27"/>
      <c r="I23" s="15"/>
      <c r="J23" s="30">
        <v>9.0</v>
      </c>
      <c r="K23" s="32"/>
      <c r="L23" s="32"/>
    </row>
    <row r="24" ht="15.75" customHeight="1">
      <c r="B24" s="25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15"/>
      <c r="F24" s="25">
        <v>10.0</v>
      </c>
      <c r="G24" s="27"/>
      <c r="H24" s="27"/>
      <c r="I24" s="15"/>
      <c r="J24" s="30">
        <v>10.0</v>
      </c>
      <c r="K24" s="32"/>
      <c r="L24" s="32"/>
    </row>
    <row r="25" ht="15.75" customHeight="1">
      <c r="B25" s="25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15"/>
      <c r="F25" s="25">
        <v>11.0</v>
      </c>
      <c r="G25" s="27"/>
      <c r="H25" s="27"/>
      <c r="I25" s="15"/>
      <c r="J25" s="30">
        <v>11.0</v>
      </c>
      <c r="K25" s="32"/>
      <c r="L25" s="32"/>
    </row>
    <row r="26" ht="15.75" customHeight="1">
      <c r="B26" s="25">
        <v>12.0</v>
      </c>
      <c r="C26" s="29"/>
      <c r="D26" s="27" t="str">
        <f>IFERROR(__xludf.DUMMYFUNCTION("IF(C26="""","""",VLOOKUP(C26,IMPORTRANGE(""1j2lHEvOoZ_EPY086Qt7f7AFaZGVfiYKJxXlsnNfWCA0"", ""Listado Cursos!A:B""),2,FALSE))"),"")</f>
        <v/>
      </c>
      <c r="E26" s="15"/>
      <c r="F26" s="25">
        <v>12.0</v>
      </c>
      <c r="G26" s="27"/>
      <c r="H26" s="27"/>
      <c r="I26" s="15"/>
      <c r="J26" s="30">
        <v>12.0</v>
      </c>
      <c r="K26" s="32"/>
      <c r="L26" s="32"/>
    </row>
    <row r="27" ht="15.75" customHeight="1">
      <c r="B27" s="25">
        <v>13.0</v>
      </c>
      <c r="C27" s="29"/>
      <c r="D27" s="27" t="str">
        <f>IFERROR(__xludf.DUMMYFUNCTION("IF(C27="""","""",VLOOKUP(C27,IMPORTRANGE(""1j2lHEvOoZ_EPY086Qt7f7AFaZGVfiYKJxXlsnNfWCA0"", ""Listado Cursos!A:B""),2,FALSE))"),"")</f>
        <v/>
      </c>
      <c r="E27" s="15"/>
      <c r="F27" s="25">
        <v>13.0</v>
      </c>
      <c r="G27" s="27"/>
      <c r="H27" s="27"/>
      <c r="I27" s="15"/>
      <c r="J27" s="30">
        <v>13.0</v>
      </c>
      <c r="K27" s="32"/>
      <c r="L27" s="32"/>
    </row>
    <row r="28" ht="15.75" customHeight="1">
      <c r="B28" s="25">
        <v>14.0</v>
      </c>
      <c r="C28" s="29"/>
      <c r="D28" s="27" t="str">
        <f>IFERROR(__xludf.DUMMYFUNCTION("IF(C28="""","""",VLOOKUP(C28,IMPORTRANGE(""1j2lHEvOoZ_EPY086Qt7f7AFaZGVfiYKJxXlsnNfWCA0"", ""Listado Cursos!A:B""),2,FALSE))"),"")</f>
        <v/>
      </c>
      <c r="E28" s="15"/>
      <c r="F28" s="25">
        <v>14.0</v>
      </c>
      <c r="G28" s="27"/>
      <c r="H28" s="27"/>
      <c r="I28" s="15"/>
      <c r="J28" s="30">
        <v>14.0</v>
      </c>
      <c r="K28" s="32"/>
      <c r="L28" s="32"/>
    </row>
    <row r="29" ht="15.75" customHeight="1">
      <c r="B29" s="4"/>
    </row>
    <row r="30" ht="15.75" customHeight="1">
      <c r="B30" s="4"/>
    </row>
    <row r="31" ht="15.75" customHeight="1">
      <c r="B31" s="17" t="s">
        <v>15</v>
      </c>
    </row>
    <row r="32" ht="15.75" customHeight="1">
      <c r="B32" s="4"/>
    </row>
    <row r="33" ht="15.75" customHeight="1">
      <c r="B33" s="34" t="s">
        <v>12</v>
      </c>
      <c r="C33" s="35" t="s">
        <v>16</v>
      </c>
      <c r="D33" s="36" t="s">
        <v>17</v>
      </c>
      <c r="E33" s="9"/>
      <c r="F33" s="9"/>
      <c r="G33" s="9"/>
      <c r="H33" s="9"/>
      <c r="I33" s="9"/>
      <c r="J33" s="9"/>
      <c r="K33" s="7"/>
      <c r="L33" s="34" t="s">
        <v>18</v>
      </c>
    </row>
    <row r="34" ht="37.5" customHeight="1">
      <c r="B34" s="37">
        <f>IFERROR(__xludf.DUMMYFUNCTION("FILTER(METADA!D2:D17, ISEVEN(ROW(METADA!D2:D17)))"),1.0)</f>
        <v>1</v>
      </c>
      <c r="C34" s="38" t="str">
        <f>IFERROR(__xludf.DUMMYFUNCTION("FILTER(METADA!E2:E17, ISEVEN(ROW(METADA!E2:E17)))"),"Especifica")</f>
        <v>Especifica</v>
      </c>
      <c r="D34" s="39" t="str">
        <f>IFERROR(__xludf.DUMMYFUNCTION("FILTER(METADA!E2:E17, ISODD(ROW(METADA!E2:E17)))"),"El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E34" s="9"/>
      <c r="F34" s="9"/>
      <c r="G34" s="9"/>
      <c r="H34" s="9"/>
      <c r="I34" s="9"/>
      <c r="J34" s="9"/>
      <c r="K34" s="7"/>
      <c r="L34" s="38" t="str">
        <f>IFERROR(__xludf.DUMMYFUNCTION("FILTER(METADA!L2:L17, ISEVEN(ROW(METADA!L2:L17)))"),"Analizar")</f>
        <v>Analizar</v>
      </c>
    </row>
    <row r="35" ht="37.5" customHeight="1">
      <c r="B35" s="37">
        <f>IFERROR(__xludf.DUMMYFUNCTION("""COMPUTED_VALUE"""),2.0)</f>
        <v>2</v>
      </c>
      <c r="C35" s="38" t="str">
        <f>IFERROR(__xludf.DUMMYFUNCTION("""COMPUTED_VALUE"""),"Especifica")</f>
        <v>Especifica</v>
      </c>
      <c r="D35" s="39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E35" s="9"/>
      <c r="F35" s="9"/>
      <c r="G35" s="9"/>
      <c r="H35" s="9"/>
      <c r="I35" s="9"/>
      <c r="J35" s="9"/>
      <c r="K35" s="7"/>
      <c r="L35" s="38" t="str">
        <f>IFERROR(__xludf.DUMMYFUNCTION("""COMPUTED_VALUE"""),"Comprender")</f>
        <v>Comprender</v>
      </c>
    </row>
    <row r="36" ht="37.5" customHeight="1">
      <c r="B36" s="37">
        <f>IFERROR(__xludf.DUMMYFUNCTION("""COMPUTED_VALUE"""),3.0)</f>
        <v>3</v>
      </c>
      <c r="C36" s="38" t="str">
        <f>IFERROR(__xludf.DUMMYFUNCTION("""COMPUTED_VALUE"""),"General")</f>
        <v>General</v>
      </c>
      <c r="D36" s="39" t="str">
        <f>IFERROR(__xludf.DUMMYFUNCTION("""COMPUTED_VALUE"""),"El estudiante construye aplicaciones mediante el uso del análisis léxico y sintáctico utilizando herramientas de procesamiento de lenguajes formales para dar solución a enunciados que requieren el reconocimiento de lenguajes. ")</f>
        <v>El estudiante construye aplicaciones mediante el uso del análisis léxico y sintáctico utilizando herramientas de procesamiento de lenguajes formales para dar solución a enunciados que requieren el reconocimiento de lenguajes. </v>
      </c>
      <c r="E36" s="9"/>
      <c r="F36" s="9"/>
      <c r="G36" s="9"/>
      <c r="H36" s="9"/>
      <c r="I36" s="9"/>
      <c r="J36" s="9"/>
      <c r="K36" s="7"/>
      <c r="L36" s="38" t="str">
        <f>IFERROR(__xludf.DUMMYFUNCTION("""COMPUTED_VALUE"""),"Crear")</f>
        <v>Crear</v>
      </c>
    </row>
    <row r="37" ht="37.5" customHeight="1">
      <c r="B37" s="37">
        <f>IFERROR(__xludf.DUMMYFUNCTION("""COMPUTED_VALUE"""),4.0)</f>
        <v>4</v>
      </c>
      <c r="C37" s="38" t="str">
        <f>IFERROR(__xludf.DUMMYFUNCTION("""COMPUTED_VALUE"""),"Especifica")</f>
        <v>Especifica</v>
      </c>
      <c r="D37" s="39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E37" s="9"/>
      <c r="F37" s="9"/>
      <c r="G37" s="9"/>
      <c r="H37" s="9"/>
      <c r="I37" s="9"/>
      <c r="J37" s="9"/>
      <c r="K37" s="7"/>
      <c r="L37" s="38" t="str">
        <f>IFERROR(__xludf.DUMMYFUNCTION("""COMPUTED_VALUE"""),"Aplicar")</f>
        <v>Aplicar</v>
      </c>
    </row>
    <row r="38" ht="37.5" customHeight="1">
      <c r="B38" s="37">
        <f>IFERROR(__xludf.DUMMYFUNCTION("""COMPUTED_VALUE"""),5.0)</f>
        <v>5</v>
      </c>
      <c r="C38" s="38" t="str">
        <f>IFERROR(__xludf.DUMMYFUNCTION("""COMPUTED_VALUE"""),"Especifica")</f>
        <v>Especifica</v>
      </c>
      <c r="D38" s="39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E38" s="9"/>
      <c r="F38" s="9"/>
      <c r="G38" s="9"/>
      <c r="H38" s="9"/>
      <c r="I38" s="9"/>
      <c r="J38" s="9"/>
      <c r="K38" s="7"/>
      <c r="L38" s="38" t="str">
        <f>IFERROR(__xludf.DUMMYFUNCTION("""COMPUTED_VALUE"""),"Aplicar")</f>
        <v>Aplicar</v>
      </c>
    </row>
    <row r="39" ht="37.5" customHeight="1">
      <c r="B39" s="37">
        <f>IFERROR(__xludf.DUMMYFUNCTION("""COMPUTED_VALUE"""),6.0)</f>
        <v>6</v>
      </c>
      <c r="C39" s="38" t="str">
        <f>IFERROR(__xludf.DUMMYFUNCTION("""COMPUTED_VALUE"""),"Especifica")</f>
        <v>Especifica</v>
      </c>
      <c r="D39" s="39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E39" s="9"/>
      <c r="F39" s="9"/>
      <c r="G39" s="9"/>
      <c r="H39" s="9"/>
      <c r="I39" s="9"/>
      <c r="J39" s="9"/>
      <c r="K39" s="7"/>
      <c r="L39" s="38" t="str">
        <f>IFERROR(__xludf.DUMMYFUNCTION("""COMPUTED_VALUE"""),"Comprende")</f>
        <v>Comprende</v>
      </c>
    </row>
    <row r="40" ht="37.5" customHeight="1">
      <c r="B40" s="37">
        <f>IFERROR(__xludf.DUMMYFUNCTION("""COMPUTED_VALUE"""),7.0)</f>
        <v>7</v>
      </c>
      <c r="C40" s="38" t="str">
        <f>IFERROR(__xludf.DUMMYFUNCTION("""COMPUTED_VALUE"""),"Especifica")</f>
        <v>Especifica</v>
      </c>
      <c r="D40" s="40" t="str">
        <f>IFERROR(__xludf.DUMMYFUNCTION("""COMPUTED_VALUE"""),"El estudiante aplica técnicas de minimización de autómatas finitos deterministas (AFD) mediante la identificación de estados equivalentes y particiones sucesivas para reducir el número de estados sin alterar el lenguaje reconocido ")</f>
        <v>El estudiante aplica técnicas de minimización de autómatas finitos deterministas (AFD) mediante la identificación de estados equivalentes y particiones sucesivas para reducir el número de estados sin alterar el lenguaje reconocido </v>
      </c>
      <c r="E40" s="9"/>
      <c r="F40" s="9"/>
      <c r="G40" s="9"/>
      <c r="H40" s="9"/>
      <c r="I40" s="9"/>
      <c r="J40" s="9"/>
      <c r="K40" s="7"/>
      <c r="L40" s="38" t="str">
        <f>IFERROR(__xludf.DUMMYFUNCTION("""COMPUTED_VALUE"""),"Aplicar")</f>
        <v>Aplicar</v>
      </c>
    </row>
    <row r="41" ht="15.75" customHeight="1">
      <c r="B41" s="4"/>
      <c r="C41" s="41"/>
      <c r="D41" s="41"/>
      <c r="L41" s="41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42" t="s">
        <v>19</v>
      </c>
    </row>
    <row r="2" ht="15.75" customHeight="1"/>
    <row r="3" ht="15.75" customHeight="1">
      <c r="B3" s="43" t="s">
        <v>1</v>
      </c>
      <c r="C3" s="40" t="str">
        <f>Competencias_actuales!F3</f>
        <v>Lenguajes Formales y de Programación</v>
      </c>
      <c r="D3" s="9"/>
      <c r="E3" s="9"/>
      <c r="F3" s="9"/>
      <c r="G3" s="7"/>
    </row>
    <row r="4" ht="15.75" customHeight="1">
      <c r="B4" s="43" t="s">
        <v>20</v>
      </c>
      <c r="C4" s="44">
        <v>796.0</v>
      </c>
      <c r="D4" s="9"/>
      <c r="E4" s="9"/>
      <c r="F4" s="9"/>
      <c r="G4" s="7"/>
    </row>
    <row r="5" ht="15.75" customHeight="1"/>
    <row r="6" ht="15.75" customHeight="1">
      <c r="B6" s="45" t="s">
        <v>21</v>
      </c>
    </row>
    <row r="7" ht="15.75" customHeight="1">
      <c r="B7" s="46" t="s">
        <v>22</v>
      </c>
    </row>
    <row r="8" ht="15.75" customHeight="1">
      <c r="B8" s="4"/>
      <c r="I8" s="11"/>
    </row>
    <row r="9" ht="15.75" customHeight="1">
      <c r="B9" s="47" t="s">
        <v>23</v>
      </c>
      <c r="C9" s="44" t="s">
        <v>24</v>
      </c>
      <c r="D9" s="9"/>
      <c r="E9" s="9"/>
      <c r="F9" s="9"/>
      <c r="G9" s="7"/>
    </row>
    <row r="10" ht="15.75" customHeight="1">
      <c r="B10" s="47" t="s">
        <v>1</v>
      </c>
      <c r="C10" s="44" t="s">
        <v>25</v>
      </c>
      <c r="D10" s="9"/>
      <c r="E10" s="9"/>
      <c r="F10" s="9"/>
      <c r="G10" s="7"/>
    </row>
    <row r="11" ht="15.75" customHeight="1">
      <c r="B11" s="47" t="s">
        <v>26</v>
      </c>
      <c r="C11" s="48" t="s">
        <v>27</v>
      </c>
      <c r="D11" s="9"/>
      <c r="E11" s="9"/>
      <c r="F11" s="9"/>
      <c r="G11" s="7"/>
    </row>
    <row r="12" ht="15.75" customHeight="1"/>
    <row r="13" ht="15.75" customHeight="1">
      <c r="B13" s="49" t="s">
        <v>28</v>
      </c>
      <c r="C13" s="9"/>
      <c r="D13" s="9"/>
      <c r="E13" s="9"/>
      <c r="F13" s="9"/>
      <c r="G13" s="7"/>
    </row>
    <row r="14" ht="15.75" customHeight="1">
      <c r="B14" s="50" t="s">
        <v>29</v>
      </c>
      <c r="C14" s="51"/>
      <c r="D14" s="51"/>
      <c r="E14" s="51"/>
      <c r="F14" s="51"/>
      <c r="G14" s="52"/>
    </row>
    <row r="15" ht="15.75" customHeight="1">
      <c r="B15" s="53"/>
      <c r="C15" s="54"/>
      <c r="D15" s="54"/>
      <c r="E15" s="54"/>
      <c r="F15" s="54"/>
      <c r="G15" s="55"/>
    </row>
    <row r="16" ht="15.75" customHeight="1"/>
    <row r="17" ht="15.75" customHeight="1">
      <c r="B17" s="49" t="s">
        <v>30</v>
      </c>
      <c r="C17" s="9"/>
      <c r="D17" s="9"/>
      <c r="E17" s="9"/>
      <c r="F17" s="9"/>
      <c r="G17" s="7"/>
    </row>
    <row r="18" ht="15.75" customHeight="1">
      <c r="B18" s="56" t="s">
        <v>31</v>
      </c>
      <c r="C18" s="51"/>
      <c r="D18" s="51"/>
      <c r="E18" s="51"/>
      <c r="F18" s="51"/>
      <c r="G18" s="52"/>
    </row>
    <row r="19" ht="15.75" customHeight="1">
      <c r="B19" s="53"/>
      <c r="C19" s="54"/>
      <c r="D19" s="54"/>
      <c r="E19" s="54"/>
      <c r="F19" s="54"/>
      <c r="G19" s="55"/>
    </row>
    <row r="20" ht="15.75" customHeight="1"/>
    <row r="21" ht="15.75" customHeight="1">
      <c r="B21" s="49" t="s">
        <v>32</v>
      </c>
      <c r="C21" s="9"/>
      <c r="D21" s="9"/>
      <c r="E21" s="9"/>
      <c r="F21" s="9"/>
      <c r="G21" s="7"/>
    </row>
    <row r="22" ht="15.75" customHeight="1">
      <c r="B22" s="56" t="s">
        <v>33</v>
      </c>
      <c r="C22" s="51"/>
      <c r="D22" s="51"/>
      <c r="E22" s="51"/>
      <c r="F22" s="51"/>
      <c r="G22" s="52"/>
    </row>
    <row r="23" ht="15.75" customHeight="1">
      <c r="B23" s="53"/>
      <c r="C23" s="54"/>
      <c r="D23" s="54"/>
      <c r="E23" s="54"/>
      <c r="F23" s="54"/>
      <c r="G23" s="55"/>
    </row>
    <row r="24" ht="15.75" customHeight="1"/>
    <row r="25" ht="15.75" customHeight="1"/>
    <row r="26" ht="15.75" customHeight="1">
      <c r="B26" s="45" t="s">
        <v>34</v>
      </c>
    </row>
    <row r="27" ht="15.75" customHeight="1">
      <c r="B27" s="46" t="s">
        <v>35</v>
      </c>
    </row>
    <row r="28" ht="15.75" customHeight="1"/>
    <row r="29" ht="15.75" customHeight="1">
      <c r="B29" s="47" t="s">
        <v>36</v>
      </c>
      <c r="C29" s="44" t="s">
        <v>37</v>
      </c>
      <c r="D29" s="9"/>
      <c r="E29" s="9"/>
      <c r="F29" s="9"/>
      <c r="G29" s="7"/>
    </row>
    <row r="30" ht="15.75" customHeight="1">
      <c r="B30" s="47" t="s">
        <v>38</v>
      </c>
      <c r="C30" s="44" t="s">
        <v>39</v>
      </c>
      <c r="D30" s="9"/>
      <c r="E30" s="9"/>
      <c r="F30" s="9"/>
      <c r="G30" s="7"/>
    </row>
    <row r="31" ht="15.75" customHeight="1">
      <c r="B31" s="57" t="s">
        <v>26</v>
      </c>
      <c r="C31" s="48" t="s">
        <v>40</v>
      </c>
      <c r="D31" s="9"/>
      <c r="E31" s="9"/>
      <c r="F31" s="9"/>
      <c r="G31" s="7"/>
    </row>
    <row r="32" ht="15.75" customHeight="1"/>
    <row r="33" ht="15.75" customHeight="1">
      <c r="B33" s="49" t="s">
        <v>41</v>
      </c>
      <c r="C33" s="9"/>
      <c r="D33" s="9"/>
      <c r="E33" s="9"/>
      <c r="F33" s="9"/>
      <c r="G33" s="7"/>
    </row>
    <row r="34" ht="15.75" customHeight="1">
      <c r="B34" s="58" t="s">
        <v>42</v>
      </c>
      <c r="C34" s="51"/>
      <c r="D34" s="51"/>
      <c r="E34" s="51"/>
      <c r="F34" s="51"/>
      <c r="G34" s="52"/>
    </row>
    <row r="35" ht="48.0" customHeight="1">
      <c r="B35" s="53"/>
      <c r="C35" s="54"/>
      <c r="D35" s="54"/>
      <c r="E35" s="54"/>
      <c r="F35" s="54"/>
      <c r="G35" s="55"/>
    </row>
    <row r="36" ht="15.75" customHeight="1"/>
    <row r="37" ht="15.75" customHeight="1">
      <c r="B37" s="47" t="s">
        <v>36</v>
      </c>
      <c r="C37" s="44" t="s">
        <v>43</v>
      </c>
      <c r="D37" s="9"/>
      <c r="E37" s="9"/>
      <c r="F37" s="9"/>
      <c r="G37" s="7"/>
    </row>
    <row r="38" ht="15.75" customHeight="1">
      <c r="B38" s="47" t="s">
        <v>38</v>
      </c>
      <c r="C38" s="44" t="s">
        <v>44</v>
      </c>
      <c r="D38" s="9"/>
      <c r="E38" s="9"/>
      <c r="F38" s="9"/>
      <c r="G38" s="7"/>
    </row>
    <row r="39" ht="15.75" customHeight="1">
      <c r="B39" s="47" t="s">
        <v>45</v>
      </c>
      <c r="C39" s="48" t="s">
        <v>46</v>
      </c>
      <c r="D39" s="9"/>
      <c r="E39" s="9"/>
      <c r="F39" s="9"/>
      <c r="G39" s="7"/>
    </row>
    <row r="40" ht="15.75" customHeight="1"/>
    <row r="41" ht="15.75" customHeight="1">
      <c r="B41" s="49" t="s">
        <v>41</v>
      </c>
      <c r="C41" s="9"/>
      <c r="D41" s="9"/>
      <c r="E41" s="9"/>
      <c r="F41" s="9"/>
      <c r="G41" s="7"/>
    </row>
    <row r="42" ht="15.75" customHeight="1">
      <c r="B42" s="50" t="s">
        <v>47</v>
      </c>
      <c r="C42" s="51"/>
      <c r="D42" s="51"/>
      <c r="E42" s="51"/>
      <c r="F42" s="51"/>
      <c r="G42" s="52"/>
    </row>
    <row r="43" ht="49.5" customHeight="1">
      <c r="B43" s="53"/>
      <c r="C43" s="54"/>
      <c r="D43" s="54"/>
      <c r="E43" s="54"/>
      <c r="F43" s="54"/>
      <c r="G43" s="5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11"/>
    <hyperlink r:id="rId2" ref="C31"/>
    <hyperlink r:id="rId3" ref="C3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59" t="s">
        <v>48</v>
      </c>
    </row>
    <row r="2" ht="15.75" customHeight="1">
      <c r="A2" s="3" t="str">
        <f>C4&amp;" - "&amp;C3</f>
        <v>796 - Lenguajes Formales y de Programación</v>
      </c>
      <c r="B2" s="60"/>
      <c r="C2" s="60"/>
      <c r="D2" s="60"/>
      <c r="E2" s="60"/>
    </row>
    <row r="3" ht="15.75" customHeight="1">
      <c r="B3" s="43" t="s">
        <v>1</v>
      </c>
      <c r="C3" s="39" t="str">
        <f>Competencias_actuales!F3</f>
        <v>Lenguajes Formales y de Programación</v>
      </c>
      <c r="D3" s="9"/>
      <c r="E3" s="9"/>
      <c r="F3" s="9"/>
      <c r="G3" s="7"/>
    </row>
    <row r="4" ht="15.75" customHeight="1">
      <c r="B4" s="43" t="s">
        <v>20</v>
      </c>
      <c r="C4" s="39">
        <f>Competencias_actuales!A2</f>
        <v>796</v>
      </c>
      <c r="D4" s="9"/>
      <c r="E4" s="9"/>
      <c r="F4" s="9"/>
      <c r="G4" s="7"/>
    </row>
    <row r="5" ht="15.75" customHeight="1">
      <c r="B5" s="60"/>
      <c r="C5" s="39" t="str">
        <f>Competencias_actuales!A3</f>
        <v/>
      </c>
      <c r="D5" s="9"/>
      <c r="E5" s="9"/>
      <c r="F5" s="9"/>
      <c r="G5" s="7"/>
    </row>
    <row r="6" ht="15.75" customHeight="1">
      <c r="B6" s="61" t="s">
        <v>49</v>
      </c>
      <c r="C6" s="9"/>
      <c r="D6" s="9"/>
      <c r="E6" s="7"/>
      <c r="F6" s="47" t="s">
        <v>50</v>
      </c>
      <c r="G6" s="47" t="s">
        <v>51</v>
      </c>
    </row>
    <row r="7" ht="15.75" customHeight="1">
      <c r="B7" s="47" t="s">
        <v>17</v>
      </c>
      <c r="C7" s="47" t="s">
        <v>52</v>
      </c>
      <c r="D7" s="47" t="s">
        <v>53</v>
      </c>
      <c r="E7" s="47" t="s">
        <v>54</v>
      </c>
      <c r="F7" s="47" t="s">
        <v>55</v>
      </c>
      <c r="G7" s="47" t="s">
        <v>55</v>
      </c>
    </row>
    <row r="8" ht="15.75" customHeight="1">
      <c r="B8" s="37" t="str">
        <f>IFERROR(__xludf.DUMMYFUNCTION("QUERY(IMPORTRANGE(VLOOKUP(A2,METADA!A:B,2,FALSE), ""Diseño Curricular!B4:E500""), )"),"El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8" s="37" t="str">
        <f>IFERROR(__xludf.DUMMYFUNCTION("""COMPUTED_VALUE"""),"JAVA")</f>
        <v>JAVA</v>
      </c>
      <c r="D8" s="37" t="str">
        <f>IFERROR(__xludf.DUMMYFUNCTION("""COMPUTED_VALUE"""),"Introduccion al lenguaje Java")</f>
        <v>Introduccion al lenguaje Java</v>
      </c>
      <c r="E8" s="37" t="str">
        <f>IFERROR(__xludf.DUMMYFUNCTION("""COMPUTED_VALUE"""),"Historia de Java")</f>
        <v>Historia de Java</v>
      </c>
      <c r="F8" s="62" t="s">
        <v>56</v>
      </c>
      <c r="G8" s="62" t="s">
        <v>56</v>
      </c>
    </row>
    <row r="9" ht="15.75" customHeight="1">
      <c r="B9" s="37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9" s="37"/>
      <c r="D9" s="37" t="str">
        <f>IFERROR(__xludf.DUMMYFUNCTION("""COMPUTED_VALUE"""),"Introduccion al lenguaje Java")</f>
        <v>Introduccion al lenguaje Java</v>
      </c>
      <c r="E9" s="37" t="str">
        <f>IFERROR(__xludf.DUMMYFUNCTION("""COMPUTED_VALUE"""),"Aspectos Basicos de Java")</f>
        <v>Aspectos Basicos de Java</v>
      </c>
      <c r="F9" s="62" t="s">
        <v>56</v>
      </c>
      <c r="G9" s="62" t="s">
        <v>57</v>
      </c>
    </row>
    <row r="10" ht="15.75" customHeight="1">
      <c r="B10" s="37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0" s="37"/>
      <c r="D10" s="37" t="str">
        <f>IFERROR(__xludf.DUMMYFUNCTION("""COMPUTED_VALUE"""),"Introduccion al lenguaje Java")</f>
        <v>Introduccion al lenguaje Java</v>
      </c>
      <c r="E10" s="37" t="str">
        <f>IFERROR(__xludf.DUMMYFUNCTION("""COMPUTED_VALUE"""),"Reglas de Sintaxis")</f>
        <v>Reglas de Sintaxis</v>
      </c>
      <c r="F10" s="62" t="s">
        <v>58</v>
      </c>
      <c r="G10" s="62" t="s">
        <v>57</v>
      </c>
    </row>
    <row r="11" ht="15.75" customHeight="1">
      <c r="B11" s="37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1" s="37"/>
      <c r="D11" s="37" t="str">
        <f>IFERROR(__xludf.DUMMYFUNCTION("""COMPUTED_VALUE"""),"Introduccion al lenguaje Java")</f>
        <v>Introduccion al lenguaje Java</v>
      </c>
      <c r="E11" s="37" t="str">
        <f>IFERROR(__xludf.DUMMYFUNCTION("""COMPUTED_VALUE"""),"Estructura de un programa")</f>
        <v>Estructura de un programa</v>
      </c>
      <c r="F11" s="62" t="s">
        <v>58</v>
      </c>
      <c r="G11" s="62" t="s">
        <v>57</v>
      </c>
    </row>
    <row r="12" ht="15.75" customHeight="1">
      <c r="B12" s="37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2" s="37"/>
      <c r="D12" s="37" t="str">
        <f>IFERROR(__xludf.DUMMYFUNCTION("""COMPUTED_VALUE"""),"Buenas Practicas y funciones en Java")</f>
        <v>Buenas Practicas y funciones en Java</v>
      </c>
      <c r="E12" s="37" t="str">
        <f>IFERROR(__xludf.DUMMYFUNCTION("""COMPUTED_VALUE"""),"Convenciones de nombres y estilo de código")</f>
        <v>Convenciones de nombres y estilo de código</v>
      </c>
      <c r="F12" s="62" t="s">
        <v>56</v>
      </c>
      <c r="G12" s="62" t="s">
        <v>57</v>
      </c>
    </row>
    <row r="13" ht="15.75" customHeight="1">
      <c r="B13" s="37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3" s="37"/>
      <c r="D13" s="37" t="str">
        <f>IFERROR(__xludf.DUMMYFUNCTION("""COMPUTED_VALUE"""),"Buenas Practicas y funciones en Java")</f>
        <v>Buenas Practicas y funciones en Java</v>
      </c>
      <c r="E13" s="37" t="str">
        <f>IFERROR(__xludf.DUMMYFUNCTION("""COMPUTED_VALUE"""),"Gestión de memoria y optimización")</f>
        <v>Gestión de memoria y optimización</v>
      </c>
      <c r="F13" s="62" t="s">
        <v>56</v>
      </c>
      <c r="G13" s="62" t="s">
        <v>57</v>
      </c>
    </row>
    <row r="14" ht="15.75" customHeight="1">
      <c r="B14" s="37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4" s="37"/>
      <c r="D14" s="37" t="str">
        <f>IFERROR(__xludf.DUMMYFUNCTION("""COMPUTED_VALUE"""),"Buenas Practicas y funciones en Java")</f>
        <v>Buenas Practicas y funciones en Java</v>
      </c>
      <c r="E14" s="37" t="str">
        <f>IFERROR(__xludf.DUMMYFUNCTION("""COMPUTED_VALUE"""),"Definición y uso de métodos y funciones")</f>
        <v>Definición y uso de métodos y funciones</v>
      </c>
      <c r="F14" s="62" t="s">
        <v>56</v>
      </c>
      <c r="G14" s="62" t="s">
        <v>57</v>
      </c>
    </row>
    <row r="15" ht="15.75" customHeight="1">
      <c r="B15" s="37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5" s="37"/>
      <c r="D15" s="37" t="str">
        <f>IFERROR(__xludf.DUMMYFUNCTION("""COMPUTED_VALUE"""),"Buenas Practicas y funciones en Java")</f>
        <v>Buenas Practicas y funciones en Java</v>
      </c>
      <c r="E15" s="37" t="str">
        <f>IFERROR(__xludf.DUMMYFUNCTION("""COMPUTED_VALUE"""),"Creación y uso de clases")</f>
        <v>Creación y uso de clases</v>
      </c>
      <c r="F15" s="62" t="s">
        <v>56</v>
      </c>
      <c r="G15" s="62" t="s">
        <v>57</v>
      </c>
    </row>
    <row r="16" ht="15.75" customHeight="1">
      <c r="B16" s="37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6" s="37"/>
      <c r="D16" s="37" t="str">
        <f>IFERROR(__xludf.DUMMYFUNCTION("""COMPUTED_VALUE"""),"Buenas Practicas y funciones en Java")</f>
        <v>Buenas Practicas y funciones en Java</v>
      </c>
      <c r="E16" s="37" t="str">
        <f>IFERROR(__xludf.DUMMYFUNCTION("""COMPUTED_VALUE"""),"Diferencias entre métodos y funciones")</f>
        <v>Diferencias entre métodos y funciones</v>
      </c>
      <c r="F16" s="62" t="s">
        <v>56</v>
      </c>
      <c r="G16" s="62" t="s">
        <v>57</v>
      </c>
    </row>
    <row r="17" ht="15.75" customHeight="1">
      <c r="B17" s="37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7" s="37"/>
      <c r="D17" s="37" t="str">
        <f>IFERROR(__xludf.DUMMYFUNCTION("""COMPUTED_VALUE"""),"Estructuras de Datos y Control en Java")</f>
        <v>Estructuras de Datos y Control en Java</v>
      </c>
      <c r="E17" s="37" t="str">
        <f>IFERROR(__xludf.DUMMYFUNCTION("""COMPUTED_VALUE"""),"Arreglos en Java")</f>
        <v>Arreglos en Java</v>
      </c>
      <c r="F17" s="62" t="s">
        <v>57</v>
      </c>
      <c r="G17" s="62" t="s">
        <v>57</v>
      </c>
    </row>
    <row r="18" ht="15.75" customHeight="1">
      <c r="B18" s="37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8" s="37"/>
      <c r="D18" s="37" t="str">
        <f>IFERROR(__xludf.DUMMYFUNCTION("""COMPUTED_VALUE"""),"Estructuras de Datos y Control en Java")</f>
        <v>Estructuras de Datos y Control en Java</v>
      </c>
      <c r="E18" s="37" t="str">
        <f>IFERROR(__xludf.DUMMYFUNCTION("""COMPUTED_VALUE"""),"Diccionarios y estructuras de Datos")</f>
        <v>Diccionarios y estructuras de Datos</v>
      </c>
      <c r="F18" s="62" t="s">
        <v>56</v>
      </c>
      <c r="G18" s="62" t="s">
        <v>57</v>
      </c>
    </row>
    <row r="19" ht="15.75" customHeight="1">
      <c r="B19" s="37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9" s="37"/>
      <c r="D19" s="37" t="str">
        <f>IFERROR(__xludf.DUMMYFUNCTION("""COMPUTED_VALUE"""),"Estructuras de Datos y Control en Java")</f>
        <v>Estructuras de Datos y Control en Java</v>
      </c>
      <c r="E19" s="37" t="str">
        <f>IFERROR(__xludf.DUMMYFUNCTION("""COMPUTED_VALUE"""),"Iteracion en Java")</f>
        <v>Iteracion en Java</v>
      </c>
      <c r="F19" s="62" t="s">
        <v>56</v>
      </c>
      <c r="G19" s="62" t="s">
        <v>57</v>
      </c>
    </row>
    <row r="20" ht="15.75" customHeight="1">
      <c r="B20" s="37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20" s="37"/>
      <c r="D20" s="37" t="str">
        <f>IFERROR(__xludf.DUMMYFUNCTION("""COMPUTED_VALUE"""),"Estructuras de Datos y Control en Java")</f>
        <v>Estructuras de Datos y Control en Java</v>
      </c>
      <c r="E20" s="37" t="str">
        <f>IFERROR(__xludf.DUMMYFUNCTION("""COMPUTED_VALUE"""),"Lectura de Archivos")</f>
        <v>Lectura de Archivos</v>
      </c>
      <c r="F20" s="62" t="s">
        <v>58</v>
      </c>
      <c r="G20" s="62" t="s">
        <v>57</v>
      </c>
    </row>
    <row r="21" ht="15.75" customHeight="1">
      <c r="B21" s="37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21" s="37"/>
      <c r="D21" s="37" t="str">
        <f>IFERROR(__xludf.DUMMYFUNCTION("""COMPUTED_VALUE"""),"Estructuras de Datos y Control en Java")</f>
        <v>Estructuras de Datos y Control en Java</v>
      </c>
      <c r="E21" s="37" t="str">
        <f>IFERROR(__xludf.DUMMYFUNCTION("""COMPUTED_VALUE"""),"Escritura de Archivos")</f>
        <v>Escritura de Archivos</v>
      </c>
      <c r="F21" s="62" t="s">
        <v>56</v>
      </c>
      <c r="G21" s="62" t="s">
        <v>57</v>
      </c>
    </row>
    <row r="22" ht="15.75" customHeight="1">
      <c r="B22" s="37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2" s="37" t="str">
        <f>IFERROR(__xludf.DUMMYFUNCTION("""COMPUTED_VALUE"""),"Lenguajes Formales")</f>
        <v>Lenguajes Formales</v>
      </c>
      <c r="D22" s="37" t="str">
        <f>IFERROR(__xludf.DUMMYFUNCTION("""COMPUTED_VALUE"""),"Lenguajes")</f>
        <v>Lenguajes</v>
      </c>
      <c r="E22" s="37" t="str">
        <f>IFERROR(__xludf.DUMMYFUNCTION("""COMPUTED_VALUE"""),"Lenguajes Natural")</f>
        <v>Lenguajes Natural</v>
      </c>
      <c r="F22" s="62" t="s">
        <v>57</v>
      </c>
      <c r="G22" s="62" t="s">
        <v>57</v>
      </c>
    </row>
    <row r="23" ht="15.75" customHeight="1">
      <c r="B23" s="37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3" s="37"/>
      <c r="D23" s="37" t="str">
        <f>IFERROR(__xludf.DUMMYFUNCTION("""COMPUTED_VALUE"""),"Lenguajes")</f>
        <v>Lenguajes</v>
      </c>
      <c r="E23" s="37" t="str">
        <f>IFERROR(__xludf.DUMMYFUNCTION("""COMPUTED_VALUE"""),"Lenguajes Formales")</f>
        <v>Lenguajes Formales</v>
      </c>
      <c r="F23" s="62" t="s">
        <v>57</v>
      </c>
      <c r="G23" s="62" t="s">
        <v>57</v>
      </c>
    </row>
    <row r="24" ht="15.75" customHeight="1">
      <c r="B24" s="37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4" s="37"/>
      <c r="D24" s="37" t="str">
        <f>IFERROR(__xludf.DUMMYFUNCTION("""COMPUTED_VALUE"""),"Lenguajes")</f>
        <v>Lenguajes</v>
      </c>
      <c r="E24" s="37" t="str">
        <f>IFERROR(__xludf.DUMMYFUNCTION("""COMPUTED_VALUE"""),"Lenguajes de Programacion")</f>
        <v>Lenguajes de Programacion</v>
      </c>
      <c r="F24" s="62" t="s">
        <v>57</v>
      </c>
      <c r="G24" s="62" t="s">
        <v>57</v>
      </c>
    </row>
    <row r="25" ht="15.75" customHeight="1">
      <c r="B25" s="37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5" s="37"/>
      <c r="D25" s="37" t="str">
        <f>IFERROR(__xludf.DUMMYFUNCTION("""COMPUTED_VALUE"""),"Lenguajes")</f>
        <v>Lenguajes</v>
      </c>
      <c r="E25" s="37" t="str">
        <f>IFERROR(__xludf.DUMMYFUNCTION("""COMPUTED_VALUE"""),"Evolucion de los Lenguajes de Programacion")</f>
        <v>Evolucion de los Lenguajes de Programacion</v>
      </c>
      <c r="F25" s="62" t="s">
        <v>57</v>
      </c>
      <c r="G25" s="62" t="s">
        <v>57</v>
      </c>
    </row>
    <row r="26" ht="15.75" customHeight="1">
      <c r="B26" s="37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6" s="37"/>
      <c r="D26" s="37" t="str">
        <f>IFERROR(__xludf.DUMMYFUNCTION("""COMPUTED_VALUE"""),"Lenguajes")</f>
        <v>Lenguajes</v>
      </c>
      <c r="E26" s="37" t="str">
        <f>IFERROR(__xludf.DUMMYFUNCTION("""COMPUTED_VALUE"""),"Paradigmas")</f>
        <v>Paradigmas</v>
      </c>
      <c r="F26" s="62" t="s">
        <v>57</v>
      </c>
      <c r="G26" s="62" t="s">
        <v>57</v>
      </c>
    </row>
    <row r="27" ht="15.75" customHeight="1">
      <c r="B27" s="37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7" s="37"/>
      <c r="D27" s="37" t="str">
        <f>IFERROR(__xludf.DUMMYFUNCTION("""COMPUTED_VALUE"""),"Lenguajes")</f>
        <v>Lenguajes</v>
      </c>
      <c r="E27" s="37" t="str">
        <f>IFERROR(__xludf.DUMMYFUNCTION("""COMPUTED_VALUE"""),"Generaciones de lenguajes de programación")</f>
        <v>Generaciones de lenguajes de programación</v>
      </c>
      <c r="F27" s="62" t="s">
        <v>57</v>
      </c>
      <c r="G27" s="62" t="s">
        <v>57</v>
      </c>
    </row>
    <row r="28" ht="15.75" customHeight="1">
      <c r="B28" s="37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8" s="37"/>
      <c r="D28" s="37" t="str">
        <f>IFERROR(__xludf.DUMMYFUNCTION("""COMPUTED_VALUE"""),"Procesadores de Lenguaje")</f>
        <v>Procesadores de Lenguaje</v>
      </c>
      <c r="E28" s="37" t="str">
        <f>IFERROR(__xludf.DUMMYFUNCTION("""COMPUTED_VALUE"""),"Interprete")</f>
        <v>Interprete</v>
      </c>
      <c r="F28" s="62" t="s">
        <v>57</v>
      </c>
      <c r="G28" s="62" t="s">
        <v>57</v>
      </c>
    </row>
    <row r="29" ht="15.75" customHeight="1">
      <c r="B29" s="37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9" s="37"/>
      <c r="D29" s="37" t="str">
        <f>IFERROR(__xludf.DUMMYFUNCTION("""COMPUTED_VALUE"""),"Procesadores de Lenguaje")</f>
        <v>Procesadores de Lenguaje</v>
      </c>
      <c r="E29" s="37" t="str">
        <f>IFERROR(__xludf.DUMMYFUNCTION("""COMPUTED_VALUE"""),"Compilador")</f>
        <v>Compilador</v>
      </c>
      <c r="F29" s="62" t="s">
        <v>57</v>
      </c>
      <c r="G29" s="62" t="s">
        <v>57</v>
      </c>
    </row>
    <row r="30" ht="15.75" customHeight="1">
      <c r="B30" s="37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30" s="37"/>
      <c r="D30" s="37" t="str">
        <f>IFERROR(__xludf.DUMMYFUNCTION("""COMPUTED_VALUE"""),"Procesadores de Lenguaje")</f>
        <v>Procesadores de Lenguaje</v>
      </c>
      <c r="E30" s="37" t="str">
        <f>IFERROR(__xludf.DUMMYFUNCTION("""COMPUTED_VALUE"""),"Estructura de un compilador")</f>
        <v>Estructura de un compilador</v>
      </c>
      <c r="F30" s="62" t="s">
        <v>57</v>
      </c>
      <c r="G30" s="62" t="s">
        <v>57</v>
      </c>
    </row>
    <row r="31" ht="15.75" customHeight="1">
      <c r="B31" s="37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31" s="37"/>
      <c r="D31" s="37" t="str">
        <f>IFERROR(__xludf.DUMMYFUNCTION("""COMPUTED_VALUE"""),"Procesadores de Lenguaje")</f>
        <v>Procesadores de Lenguaje</v>
      </c>
      <c r="E31" s="37" t="str">
        <f>IFERROR(__xludf.DUMMYFUNCTION("""COMPUTED_VALUE"""),"Diferencias y Ejemplos")</f>
        <v>Diferencias y Ejemplos</v>
      </c>
      <c r="F31" s="62" t="s">
        <v>57</v>
      </c>
      <c r="G31" s="62" t="s">
        <v>57</v>
      </c>
    </row>
    <row r="32" ht="15.75" customHeight="1">
      <c r="B32" s="37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32" s="37"/>
      <c r="D32" s="37" t="str">
        <f>IFERROR(__xludf.DUMMYFUNCTION("""COMPUTED_VALUE"""),"Procesadores de Lenguaje")</f>
        <v>Procesadores de Lenguaje</v>
      </c>
      <c r="E32" s="37" t="str">
        <f>IFERROR(__xludf.DUMMYFUNCTION("""COMPUTED_VALUE"""),"Herramientas")</f>
        <v>Herramientas</v>
      </c>
      <c r="F32" s="62" t="s">
        <v>57</v>
      </c>
      <c r="G32" s="62" t="s">
        <v>57</v>
      </c>
    </row>
    <row r="33" ht="15.75" customHeight="1">
      <c r="B33" s="37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33" s="37"/>
      <c r="D33" s="37" t="str">
        <f>IFERROR(__xludf.DUMMYFUNCTION("""COMPUTED_VALUE"""),"Procesadores de Lenguaje")</f>
        <v>Procesadores de Lenguaje</v>
      </c>
      <c r="E33" s="37" t="str">
        <f>IFERROR(__xludf.DUMMYFUNCTION("""COMPUTED_VALUE"""),"Jerarquia de Chosmky")</f>
        <v>Jerarquia de Chosmky</v>
      </c>
      <c r="F33" s="62" t="s">
        <v>57</v>
      </c>
      <c r="G33" s="62" t="s">
        <v>57</v>
      </c>
    </row>
    <row r="34" ht="15.75" customHeight="1">
      <c r="B34" s="37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34" s="37"/>
      <c r="D34" s="37" t="str">
        <f>IFERROR(__xludf.DUMMYFUNCTION("""COMPUTED_VALUE"""),"Procesadores de Lenguaje")</f>
        <v>Procesadores de Lenguaje</v>
      </c>
      <c r="E34" s="37" t="str">
        <f>IFERROR(__xludf.DUMMYFUNCTION("""COMPUTED_VALUE"""),"Clasificacion de Gramaticas")</f>
        <v>Clasificacion de Gramaticas</v>
      </c>
      <c r="F34" s="62" t="s">
        <v>57</v>
      </c>
      <c r="G34" s="62" t="s">
        <v>57</v>
      </c>
    </row>
    <row r="35" ht="15.75" customHeight="1">
      <c r="B35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5" s="37" t="str">
        <f>IFERROR(__xludf.DUMMYFUNCTION("""COMPUTED_VALUE"""),"Analisis Lexico")</f>
        <v>Analisis Lexico</v>
      </c>
      <c r="D35" s="37" t="str">
        <f>IFERROR(__xludf.DUMMYFUNCTION("""COMPUTED_VALUE"""),"Definicion y Funcion del analizador lexico ")</f>
        <v>Definicion y Funcion del analizador lexico </v>
      </c>
      <c r="E35" s="37" t="str">
        <f>IFERROR(__xludf.DUMMYFUNCTION("""COMPUTED_VALUE"""),"Patrones")</f>
        <v>Patrones</v>
      </c>
      <c r="F35" s="62" t="s">
        <v>57</v>
      </c>
      <c r="G35" s="62" t="s">
        <v>57</v>
      </c>
    </row>
    <row r="36" ht="15.75" customHeight="1">
      <c r="B36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6" s="37"/>
      <c r="D36" s="37" t="str">
        <f>IFERROR(__xludf.DUMMYFUNCTION("""COMPUTED_VALUE"""),"Definicion y Funcion del analizador lexico ")</f>
        <v>Definicion y Funcion del analizador lexico </v>
      </c>
      <c r="E36" s="37" t="str">
        <f>IFERROR(__xludf.DUMMYFUNCTION("""COMPUTED_VALUE"""),"Tokens")</f>
        <v>Tokens</v>
      </c>
      <c r="F36" s="62" t="s">
        <v>57</v>
      </c>
      <c r="G36" s="62" t="s">
        <v>57</v>
      </c>
    </row>
    <row r="37" ht="15.75" customHeight="1">
      <c r="B37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7" s="37"/>
      <c r="D37" s="37" t="str">
        <f>IFERROR(__xludf.DUMMYFUNCTION("""COMPUTED_VALUE"""),"Definicion y Funcion del analizador lexico ")</f>
        <v>Definicion y Funcion del analizador lexico </v>
      </c>
      <c r="E37" s="37" t="str">
        <f>IFERROR(__xludf.DUMMYFUNCTION("""COMPUTED_VALUE"""),"Lexemas")</f>
        <v>Lexemas</v>
      </c>
      <c r="F37" s="62" t="s">
        <v>57</v>
      </c>
      <c r="G37" s="62" t="s">
        <v>57</v>
      </c>
    </row>
    <row r="38" ht="15.75" customHeight="1">
      <c r="B38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8" s="37"/>
      <c r="D38" s="37" t="str">
        <f>IFERROR(__xludf.DUMMYFUNCTION("""COMPUTED_VALUE"""),"Definicion y Funcion del analizador lexico ")</f>
        <v>Definicion y Funcion del analizador lexico </v>
      </c>
      <c r="E38" s="37" t="str">
        <f>IFERROR(__xludf.DUMMYFUNCTION("""COMPUTED_VALUE"""),"Errores Lexicos")</f>
        <v>Errores Lexicos</v>
      </c>
      <c r="F38" s="62" t="s">
        <v>57</v>
      </c>
      <c r="G38" s="62" t="s">
        <v>57</v>
      </c>
    </row>
    <row r="39" ht="15.75" customHeight="1">
      <c r="B39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9" s="37"/>
      <c r="D39" s="37" t="str">
        <f>IFERROR(__xludf.DUMMYFUNCTION("""COMPUTED_VALUE"""),"Definicion y Funcion del analizador lexico ")</f>
        <v>Definicion y Funcion del analizador lexico </v>
      </c>
      <c r="E39" s="37" t="str">
        <f>IFERROR(__xludf.DUMMYFUNCTION("""COMPUTED_VALUE"""),"Ejemplos de tokens en diferentes lenguajes")</f>
        <v>Ejemplos de tokens en diferentes lenguajes</v>
      </c>
      <c r="F39" s="62" t="s">
        <v>57</v>
      </c>
      <c r="G39" s="62" t="s">
        <v>57</v>
      </c>
    </row>
    <row r="40" ht="15.75" customHeight="1">
      <c r="B40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0" s="37"/>
      <c r="D40" s="37" t="str">
        <f>IFERROR(__xludf.DUMMYFUNCTION("""COMPUTED_VALUE"""),"Operaciones Entre Lenguajes y Expresiones regulares")</f>
        <v>Operaciones Entre Lenguajes y Expresiones regulares</v>
      </c>
      <c r="E40" s="37" t="str">
        <f>IFERROR(__xludf.DUMMYFUNCTION("""COMPUTED_VALUE"""),"Interoperabilidad entre Lenguajes")</f>
        <v>Interoperabilidad entre Lenguajes</v>
      </c>
      <c r="F40" s="62" t="s">
        <v>56</v>
      </c>
      <c r="G40" s="62" t="s">
        <v>56</v>
      </c>
    </row>
    <row r="41" ht="15.75" customHeight="1">
      <c r="B41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1" s="37"/>
      <c r="D41" s="37" t="str">
        <f>IFERROR(__xludf.DUMMYFUNCTION("""COMPUTED_VALUE"""),"Operaciones Entre Lenguajes y Expresiones regulares")</f>
        <v>Operaciones Entre Lenguajes y Expresiones regulares</v>
      </c>
      <c r="E41" s="37" t="str">
        <f>IFERROR(__xludf.DUMMYFUNCTION("""COMPUTED_VALUE"""),"Concepto de interoperabilidad")</f>
        <v>Concepto de interoperabilidad</v>
      </c>
      <c r="F41" s="62" t="s">
        <v>56</v>
      </c>
      <c r="G41" s="62" t="s">
        <v>56</v>
      </c>
    </row>
    <row r="42" ht="15.75" customHeight="1">
      <c r="B42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2" s="37"/>
      <c r="D42" s="37" t="str">
        <f>IFERROR(__xludf.DUMMYFUNCTION("""COMPUTED_VALUE"""),"Operaciones Entre Lenguajes y Expresiones regulares")</f>
        <v>Operaciones Entre Lenguajes y Expresiones regulares</v>
      </c>
      <c r="E42" s="37" t="str">
        <f>IFERROR(__xludf.DUMMYFUNCTION("""COMPUTED_VALUE"""),"Traducción y Compilación:Proceso de traducción de un lenguaje a otro")</f>
        <v>Traducción y Compilación:Proceso de traducción de un lenguaje a otro</v>
      </c>
      <c r="F42" s="62" t="s">
        <v>57</v>
      </c>
      <c r="G42" s="62" t="s">
        <v>57</v>
      </c>
    </row>
    <row r="43" ht="15.75" customHeight="1">
      <c r="B43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3" s="37"/>
      <c r="D43" s="37" t="str">
        <f>IFERROR(__xludf.DUMMYFUNCTION("""COMPUTED_VALUE"""),"Operaciones Entre Lenguajes y Expresiones regulares")</f>
        <v>Operaciones Entre Lenguajes y Expresiones regulares</v>
      </c>
      <c r="E43" s="37" t="str">
        <f>IFERROR(__xludf.DUMMYFUNCTION("""COMPUTED_VALUE"""),"Buenas Prácticas en Interoperabilidad")</f>
        <v>Buenas Prácticas en Interoperabilidad</v>
      </c>
      <c r="F43" s="62" t="s">
        <v>56</v>
      </c>
      <c r="G43" s="62" t="s">
        <v>57</v>
      </c>
    </row>
    <row r="44" ht="15.75" customHeight="1">
      <c r="B44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4" s="37"/>
      <c r="D44" s="37" t="str">
        <f>IFERROR(__xludf.DUMMYFUNCTION("""COMPUTED_VALUE"""),"Operaciones Entre Lenguajes y Expresiones regulares")</f>
        <v>Operaciones Entre Lenguajes y Expresiones regulares</v>
      </c>
      <c r="E44" s="37" t="str">
        <f>IFERROR(__xludf.DUMMYFUNCTION("""COMPUTED_VALUE"""),"¿Qué son las expresiones regulares?")</f>
        <v>¿Qué son las expresiones regulares?</v>
      </c>
      <c r="F44" s="62" t="s">
        <v>57</v>
      </c>
      <c r="G44" s="62" t="s">
        <v>57</v>
      </c>
    </row>
    <row r="45" ht="15.75" customHeight="1">
      <c r="B45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5" s="37"/>
      <c r="D45" s="37" t="str">
        <f>IFERROR(__xludf.DUMMYFUNCTION("""COMPUTED_VALUE"""),"Operaciones Entre Lenguajes y Expresiones regulares")</f>
        <v>Operaciones Entre Lenguajes y Expresiones regulares</v>
      </c>
      <c r="E45" s="37" t="str">
        <f>IFERROR(__xludf.DUMMYFUNCTION("""COMPUTED_VALUE"""),"Aplicaciones de Expresiones Regulares en Análisis Léxico")</f>
        <v>Aplicaciones de Expresiones Regulares en Análisis Léxico</v>
      </c>
      <c r="F45" s="62" t="s">
        <v>57</v>
      </c>
      <c r="G45" s="62" t="s">
        <v>57</v>
      </c>
    </row>
    <row r="46" ht="15.75" customHeight="1">
      <c r="B46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6" s="37"/>
      <c r="D46" s="37" t="str">
        <f>IFERROR(__xludf.DUMMYFUNCTION("""COMPUTED_VALUE"""),"Operaciones Entre Lenguajes y Expresiones regulares")</f>
        <v>Operaciones Entre Lenguajes y Expresiones regulares</v>
      </c>
      <c r="E46" s="37" t="str">
        <f>IFERROR(__xludf.DUMMYFUNCTION("""COMPUTED_VALUE"""),"Diagrama de transición de estados")</f>
        <v>Diagrama de transición de estados</v>
      </c>
      <c r="F46" s="62" t="s">
        <v>57</v>
      </c>
      <c r="G46" s="62" t="s">
        <v>57</v>
      </c>
    </row>
    <row r="47" ht="15.75" customHeight="1">
      <c r="B47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7" s="37"/>
      <c r="D47" s="37" t="str">
        <f>IFERROR(__xludf.DUMMYFUNCTION("""COMPUTED_VALUE"""),"Operaciones Entre Lenguajes y Expresiones regulares")</f>
        <v>Operaciones Entre Lenguajes y Expresiones regulares</v>
      </c>
      <c r="E47" s="37" t="str">
        <f>IFERROR(__xludf.DUMMYFUNCTION("""COMPUTED_VALUE"""),"Tablas de Transicion")</f>
        <v>Tablas de Transicion</v>
      </c>
      <c r="F47" s="62" t="s">
        <v>57</v>
      </c>
      <c r="G47" s="62" t="s">
        <v>57</v>
      </c>
    </row>
    <row r="48" ht="15.75" customHeight="1">
      <c r="B48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8" s="37"/>
      <c r="D48" s="37" t="str">
        <f>IFERROR(__xludf.DUMMYFUNCTION("""COMPUTED_VALUE"""),"Automata Finitos")</f>
        <v>Automata Finitos</v>
      </c>
      <c r="E48" s="37" t="str">
        <f>IFERROR(__xludf.DUMMYFUNCTION("""COMPUTED_VALUE"""),"Definición de AFN")</f>
        <v>Definición de AFN</v>
      </c>
      <c r="F48" s="62" t="s">
        <v>57</v>
      </c>
      <c r="G48" s="62" t="s">
        <v>57</v>
      </c>
    </row>
    <row r="49" ht="15.75" customHeight="1">
      <c r="B49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9" s="37"/>
      <c r="D49" s="37" t="str">
        <f>IFERROR(__xludf.DUMMYFUNCTION("""COMPUTED_VALUE"""),"Automata Finitos")</f>
        <v>Automata Finitos</v>
      </c>
      <c r="E49" s="37" t="str">
        <f>IFERROR(__xludf.DUMMYFUNCTION("""COMPUTED_VALUE"""),"Estructura de un AFN")</f>
        <v>Estructura de un AFN</v>
      </c>
      <c r="F49" s="62" t="s">
        <v>57</v>
      </c>
      <c r="G49" s="62" t="s">
        <v>57</v>
      </c>
    </row>
    <row r="50" ht="15.75" customHeight="1">
      <c r="B50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50" s="37"/>
      <c r="D50" s="37" t="str">
        <f>IFERROR(__xludf.DUMMYFUNCTION("""COMPUTED_VALUE"""),"Automata Finitos")</f>
        <v>Automata Finitos</v>
      </c>
      <c r="E50" s="37" t="str">
        <f>IFERROR(__xludf.DUMMYFUNCTION("""COMPUTED_VALUE"""),"Ejemplo de AFN")</f>
        <v>Ejemplo de AFN</v>
      </c>
      <c r="F50" s="62" t="s">
        <v>57</v>
      </c>
      <c r="G50" s="62" t="s">
        <v>57</v>
      </c>
    </row>
    <row r="51" ht="15.75" customHeight="1">
      <c r="B51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51" s="37"/>
      <c r="D51" s="37" t="str">
        <f>IFERROR(__xludf.DUMMYFUNCTION("""COMPUTED_VALUE"""),"Automata Finitos")</f>
        <v>Automata Finitos</v>
      </c>
      <c r="E51" s="37" t="str">
        <f>IFERROR(__xludf.DUMMYFUNCTION("""COMPUTED_VALUE"""),"Definición de AFD")</f>
        <v>Definición de AFD</v>
      </c>
      <c r="F51" s="62" t="s">
        <v>57</v>
      </c>
      <c r="G51" s="62" t="s">
        <v>57</v>
      </c>
    </row>
    <row r="52" ht="15.75" customHeight="1">
      <c r="B52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52" s="37"/>
      <c r="D52" s="37" t="str">
        <f>IFERROR(__xludf.DUMMYFUNCTION("""COMPUTED_VALUE"""),"Automata Finitos")</f>
        <v>Automata Finitos</v>
      </c>
      <c r="E52" s="37" t="str">
        <f>IFERROR(__xludf.DUMMYFUNCTION("""COMPUTED_VALUE"""),"Estructura de un AFD")</f>
        <v>Estructura de un AFD</v>
      </c>
      <c r="F52" s="62" t="s">
        <v>57</v>
      </c>
      <c r="G52" s="62" t="s">
        <v>57</v>
      </c>
    </row>
    <row r="53" ht="15.75" customHeight="1">
      <c r="B53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53" s="37"/>
      <c r="D53" s="37" t="str">
        <f>IFERROR(__xludf.DUMMYFUNCTION("""COMPUTED_VALUE"""),"Automata Finitos")</f>
        <v>Automata Finitos</v>
      </c>
      <c r="E53" s="37" t="str">
        <f>IFERROR(__xludf.DUMMYFUNCTION("""COMPUTED_VALUE"""),"Ejemplo de AFD")</f>
        <v>Ejemplo de AFD</v>
      </c>
      <c r="F53" s="62" t="s">
        <v>57</v>
      </c>
      <c r="G53" s="62" t="s">
        <v>57</v>
      </c>
    </row>
    <row r="54" ht="15.75" customHeight="1">
      <c r="B54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54" s="37"/>
      <c r="D54" s="37" t="str">
        <f>IFERROR(__xludf.DUMMYFUNCTION("""COMPUTED_VALUE"""),"Conversion AFN a AFD")</f>
        <v>Conversion AFN a AFD</v>
      </c>
      <c r="E54" s="37" t="str">
        <f>IFERROR(__xludf.DUMMYFUNCTION("""COMPUTED_VALUE"""),"Método del Árbol")</f>
        <v>Método del Árbol</v>
      </c>
      <c r="F54" s="62" t="s">
        <v>57</v>
      </c>
      <c r="G54" s="62" t="s">
        <v>57</v>
      </c>
    </row>
    <row r="55" ht="15.75" customHeight="1">
      <c r="B55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55" s="37"/>
      <c r="D55" s="37" t="str">
        <f>IFERROR(__xludf.DUMMYFUNCTION("""COMPUTED_VALUE"""),"Conversion AFN a AFD")</f>
        <v>Conversion AFN a AFD</v>
      </c>
      <c r="E55" s="37" t="str">
        <f>IFERROR(__xludf.DUMMYFUNCTION("""COMPUTED_VALUE"""),"Anulables")</f>
        <v>Anulables</v>
      </c>
      <c r="F55" s="62" t="s">
        <v>57</v>
      </c>
      <c r="G55" s="62" t="s">
        <v>57</v>
      </c>
    </row>
    <row r="56" ht="15.75" customHeight="1">
      <c r="B56" s="37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56" s="37"/>
      <c r="D56" s="37" t="str">
        <f>IFERROR(__xludf.DUMMYFUNCTION("""COMPUTED_VALUE"""),"Conversion AFN a AFD")</f>
        <v>Conversion AFN a AFD</v>
      </c>
      <c r="E56" s="37" t="str">
        <f>IFERROR(__xludf.DUMMYFUNCTION("""COMPUTED_VALUE"""),"Cálculo de First, Last y Next")</f>
        <v>Cálculo de First, Last y Next</v>
      </c>
      <c r="F56" s="62" t="s">
        <v>57</v>
      </c>
      <c r="G56" s="62" t="s">
        <v>57</v>
      </c>
    </row>
    <row r="57" ht="15.75" customHeight="1">
      <c r="B57" s="37" t="str">
        <f>IFERROR(__xludf.DUMMYFUNCTION("""COMPUTED_VALUE"""),"El estudiante aplica técnicas de minimización de autómatas finitos deterministas (AFD) mediante la identificación de estados equivalentes y particiones sucesivas para reducir el número de estados sin alterar el lenguaje reconocido ")</f>
        <v>El estudiante aplica técnicas de minimización de autómatas finitos deterministas (AFD) mediante la identificación de estados equivalentes y particiones sucesivas para reducir el número de estados sin alterar el lenguaje reconocido </v>
      </c>
      <c r="C57" s="37"/>
      <c r="D57" s="37" t="str">
        <f>IFERROR(__xludf.DUMMYFUNCTION("""COMPUTED_VALUE"""),"Optimizacion de Estados")</f>
        <v>Optimizacion de Estados</v>
      </c>
      <c r="E57" s="37" t="str">
        <f>IFERROR(__xludf.DUMMYFUNCTION("""COMPUTED_VALUE"""),"Minimización de un AFD")</f>
        <v>Minimización de un AFD</v>
      </c>
      <c r="F57" s="62" t="s">
        <v>57</v>
      </c>
      <c r="G57" s="62" t="s">
        <v>57</v>
      </c>
    </row>
    <row r="58" ht="15.75" customHeight="1">
      <c r="B58" s="37" t="str">
        <f>IFERROR(__xludf.DUMMYFUNCTION("""COMPUTED_VALUE"""),"El estudiante aplica técnicas de minimización de autómatas finitos deterministas (AFD) mediante la identificación de estados equivalentes y particiones sucesivas para reducir el número de estados sin alterar el lenguaje reconocido ")</f>
        <v>El estudiante aplica técnicas de minimización de autómatas finitos deterministas (AFD) mediante la identificación de estados equivalentes y particiones sucesivas para reducir el número de estados sin alterar el lenguaje reconocido </v>
      </c>
      <c r="C58" s="37"/>
      <c r="D58" s="37" t="str">
        <f>IFERROR(__xludf.DUMMYFUNCTION("""COMPUTED_VALUE"""),"Optimizacion de Estados")</f>
        <v>Optimizacion de Estados</v>
      </c>
      <c r="E58" s="37" t="str">
        <f>IFERROR(__xludf.DUMMYFUNCTION("""COMPUTED_VALUE"""),"Identificación de Estados Equivalentes")</f>
        <v>Identificación de Estados Equivalentes</v>
      </c>
      <c r="F58" s="62" t="s">
        <v>57</v>
      </c>
      <c r="G58" s="62" t="s">
        <v>57</v>
      </c>
    </row>
    <row r="59" ht="15.75" customHeight="1">
      <c r="B59" s="37" t="str">
        <f>IFERROR(__xludf.DUMMYFUNCTION("""COMPUTED_VALUE"""),"El estudiante aplica técnicas de minimización de autómatas finitos deterministas (AFD) mediante la identificación de estados equivalentes y particiones sucesivas para reducir el número de estados sin alterar el lenguaje reconocido ")</f>
        <v>El estudiante aplica técnicas de minimización de autómatas finitos deterministas (AFD) mediante la identificación de estados equivalentes y particiones sucesivas para reducir el número de estados sin alterar el lenguaje reconocido </v>
      </c>
      <c r="C59" s="37"/>
      <c r="D59" s="37" t="str">
        <f>IFERROR(__xludf.DUMMYFUNCTION("""COMPUTED_VALUE"""),"Optimizacion de Estados")</f>
        <v>Optimizacion de Estados</v>
      </c>
      <c r="E59" s="37" t="str">
        <f>IFERROR(__xludf.DUMMYFUNCTION("""COMPUTED_VALUE"""),"Representación Compacta de AFD")</f>
        <v>Representación Compacta de AFD</v>
      </c>
      <c r="F59" s="62" t="s">
        <v>57</v>
      </c>
      <c r="G59" s="62" t="s">
        <v>57</v>
      </c>
    </row>
    <row r="60" ht="15.75" customHeight="1">
      <c r="B60" s="37" t="str">
        <f>IFERROR(__xludf.DUMMYFUNCTION("""COMPUTED_VALUE"""),"El estudiante aplica técnicas de minimización de autómatas finitos deterministas (AFD) mediante la identificación de estados equivalentes y particiones sucesivas para reducir el número de estados sin alterar el lenguaje reconocido ")</f>
        <v>El estudiante aplica técnicas de minimización de autómatas finitos deterministas (AFD) mediante la identificación de estados equivalentes y particiones sucesivas para reducir el número de estados sin alterar el lenguaje reconocido </v>
      </c>
      <c r="C60" s="37"/>
      <c r="D60" s="37" t="str">
        <f>IFERROR(__xludf.DUMMYFUNCTION("""COMPUTED_VALUE"""),"Optimizacion de Estados")</f>
        <v>Optimizacion de Estados</v>
      </c>
      <c r="E60" s="37" t="str">
        <f>IFERROR(__xludf.DUMMYFUNCTION("""COMPUTED_VALUE"""),"Ventajas de una representación optimizada")</f>
        <v>Ventajas de una representación optimizada</v>
      </c>
      <c r="F60" s="62" t="s">
        <v>57</v>
      </c>
      <c r="G60" s="62" t="s">
        <v>57</v>
      </c>
    </row>
    <row r="61" ht="15.75" customHeight="1">
      <c r="B61" s="37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C61" s="37" t="str">
        <f>IFERROR(__xludf.DUMMYFUNCTION("""COMPUTED_VALUE"""),"Analisis Sintactico")</f>
        <v>Analisis Sintactico</v>
      </c>
      <c r="D61" s="37" t="str">
        <f>IFERROR(__xludf.DUMMYFUNCTION("""COMPUTED_VALUE"""),"Funcion del Analizador Sintactico ")</f>
        <v>Funcion del Analizador Sintactico </v>
      </c>
      <c r="E61" s="37" t="str">
        <f>IFERROR(__xludf.DUMMYFUNCTION("""COMPUTED_VALUE"""),"Definición de análisis sintáctico")</f>
        <v>Definición de análisis sintáctico</v>
      </c>
      <c r="F61" s="62" t="s">
        <v>57</v>
      </c>
      <c r="G61" s="62" t="s">
        <v>57</v>
      </c>
    </row>
    <row r="62" ht="15.75" customHeight="1">
      <c r="B62" s="37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C62" s="37"/>
      <c r="D62" s="37" t="str">
        <f>IFERROR(__xludf.DUMMYFUNCTION("""COMPUTED_VALUE"""),"Funcion del Analizador Sintactico ")</f>
        <v>Funcion del Analizador Sintactico </v>
      </c>
      <c r="E62" s="37" t="str">
        <f>IFERROR(__xludf.DUMMYFUNCTION("""COMPUTED_VALUE"""),"Propósito del analizador sintáctico en un compilador")</f>
        <v>Propósito del analizador sintáctico en un compilador</v>
      </c>
      <c r="F62" s="62" t="s">
        <v>57</v>
      </c>
      <c r="G62" s="62" t="s">
        <v>57</v>
      </c>
    </row>
    <row r="63" ht="15.75" customHeight="1">
      <c r="B63" s="37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C63" s="37"/>
      <c r="D63" s="37" t="str">
        <f>IFERROR(__xludf.DUMMYFUNCTION("""COMPUTED_VALUE"""),"Funcion del Analizador Sintactico ")</f>
        <v>Funcion del Analizador Sintactico </v>
      </c>
      <c r="E63" s="37" t="str">
        <f>IFERROR(__xludf.DUMMYFUNCTION("""COMPUTED_VALUE"""),"Diferencias entre análisis léxico y sintáctico")</f>
        <v>Diferencias entre análisis léxico y sintáctico</v>
      </c>
      <c r="F63" s="62" t="s">
        <v>57</v>
      </c>
      <c r="G63" s="62" t="s">
        <v>57</v>
      </c>
    </row>
    <row r="64" ht="15.75" customHeight="1">
      <c r="B64" s="37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C64" s="37"/>
      <c r="D64" s="37" t="str">
        <f>IFERROR(__xludf.DUMMYFUNCTION("""COMPUTED_VALUE"""),"Funcion del Analizador Sintactico ")</f>
        <v>Funcion del Analizador Sintactico </v>
      </c>
      <c r="E64" s="37" t="str">
        <f>IFERROR(__xludf.DUMMYFUNCTION("""COMPUTED_VALUE"""),"Analizadores sintácticos ascendentes")</f>
        <v>Analizadores sintácticos ascendentes</v>
      </c>
      <c r="F64" s="62" t="s">
        <v>57</v>
      </c>
      <c r="G64" s="62" t="s">
        <v>57</v>
      </c>
    </row>
    <row r="65" ht="15.75" customHeight="1">
      <c r="B65" s="37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C65" s="37"/>
      <c r="D65" s="37" t="str">
        <f>IFERROR(__xludf.DUMMYFUNCTION("""COMPUTED_VALUE"""),"Funcion del Analizador Sintactico ")</f>
        <v>Funcion del Analizador Sintactico </v>
      </c>
      <c r="E65" s="37" t="str">
        <f>IFERROR(__xludf.DUMMYFUNCTION("""COMPUTED_VALUE"""),"Analizadores sintácticos descendentes")</f>
        <v>Analizadores sintácticos descendentes</v>
      </c>
      <c r="F65" s="62" t="s">
        <v>57</v>
      </c>
      <c r="G65" s="62" t="s">
        <v>57</v>
      </c>
    </row>
    <row r="66" ht="15.75" customHeight="1">
      <c r="B66" s="37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C66" s="37"/>
      <c r="D66" s="37" t="str">
        <f>IFERROR(__xludf.DUMMYFUNCTION("""COMPUTED_VALUE"""),"Funcion del Analizador Sintactico ")</f>
        <v>Funcion del Analizador Sintactico </v>
      </c>
      <c r="E66" s="37" t="str">
        <f>IFERROR(__xludf.DUMMYFUNCTION("""COMPUTED_VALUE"""),"Comparación de técnicas de análisis sintáctico")</f>
        <v>Comparación de técnicas de análisis sintáctico</v>
      </c>
      <c r="F66" s="62" t="s">
        <v>57</v>
      </c>
      <c r="G66" s="62" t="s">
        <v>57</v>
      </c>
    </row>
    <row r="67" ht="15.75" customHeight="1">
      <c r="B67" s="37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67" s="37"/>
      <c r="D67" s="37" t="str">
        <f>IFERROR(__xludf.DUMMYFUNCTION("""COMPUTED_VALUE"""),"Lenguajes Libres de Contexto ")</f>
        <v>Lenguajes Libres de Contexto </v>
      </c>
      <c r="E67" s="37" t="str">
        <f>IFERROR(__xludf.DUMMYFUNCTION("""COMPUTED_VALUE"""),"Definición de lenguajes libres de contexto (LFC)")</f>
        <v>Definición de lenguajes libres de contexto (LFC)</v>
      </c>
      <c r="F67" s="62" t="s">
        <v>57</v>
      </c>
      <c r="G67" s="62" t="s">
        <v>57</v>
      </c>
    </row>
    <row r="68" ht="15.75" customHeight="1">
      <c r="B68" s="37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68" s="37"/>
      <c r="D68" s="37" t="str">
        <f>IFERROR(__xludf.DUMMYFUNCTION("""COMPUTED_VALUE"""),"Lenguajes Libres de Contexto ")</f>
        <v>Lenguajes Libres de Contexto </v>
      </c>
      <c r="E68" s="37" t="str">
        <f>IFERROR(__xludf.DUMMYFUNCTION("""COMPUTED_VALUE"""),"Características de LFC")</f>
        <v>Características de LFC</v>
      </c>
      <c r="F68" s="62" t="s">
        <v>57</v>
      </c>
      <c r="G68" s="62" t="s">
        <v>57</v>
      </c>
    </row>
    <row r="69" ht="15.75" customHeight="1">
      <c r="B69" s="37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69" s="37"/>
      <c r="D69" s="37" t="str">
        <f>IFERROR(__xludf.DUMMYFUNCTION("""COMPUTED_VALUE"""),"Lenguajes Libres de Contexto ")</f>
        <v>Lenguajes Libres de Contexto </v>
      </c>
      <c r="E69" s="37" t="str">
        <f>IFERROR(__xludf.DUMMYFUNCTION("""COMPUTED_VALUE"""),"Importancia de los LFC en la teoría de lenguajes de programación")</f>
        <v>Importancia de los LFC en la teoría de lenguajes de programación</v>
      </c>
      <c r="F69" s="62" t="s">
        <v>57</v>
      </c>
      <c r="G69" s="62" t="s">
        <v>57</v>
      </c>
    </row>
    <row r="70" ht="15.75" customHeight="1">
      <c r="B70" s="37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0" s="37"/>
      <c r="D70" s="37" t="str">
        <f>IFERROR(__xludf.DUMMYFUNCTION("""COMPUTED_VALUE"""),"Lenguajes Libres de Contexto ")</f>
        <v>Lenguajes Libres de Contexto </v>
      </c>
      <c r="E70" s="37" t="str">
        <f>IFERROR(__xludf.DUMMYFUNCTION("""COMPUTED_VALUE"""),"Gramáticas Tipo 2")</f>
        <v>Gramáticas Tipo 2</v>
      </c>
      <c r="F70" s="62" t="s">
        <v>57</v>
      </c>
      <c r="G70" s="62" t="s">
        <v>57</v>
      </c>
    </row>
    <row r="71" ht="15.75" customHeight="1">
      <c r="B71" s="37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1" s="37"/>
      <c r="D71" s="37" t="str">
        <f>IFERROR(__xludf.DUMMYFUNCTION("""COMPUTED_VALUE"""),"Lenguajes Libres de Contexto ")</f>
        <v>Lenguajes Libres de Contexto </v>
      </c>
      <c r="E71" s="37" t="str">
        <f>IFERROR(__xludf.DUMMYFUNCTION("""COMPUTED_VALUE"""),"Ejemplos de generación de cadenas usando gramáticas Tipo 2")</f>
        <v>Ejemplos de generación de cadenas usando gramáticas Tipo 2</v>
      </c>
      <c r="F71" s="62" t="s">
        <v>57</v>
      </c>
      <c r="G71" s="62" t="s">
        <v>57</v>
      </c>
    </row>
    <row r="72" ht="15.75" customHeight="1">
      <c r="B72" s="37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2" s="37"/>
      <c r="D72" s="37" t="str">
        <f>IFERROR(__xludf.DUMMYFUNCTION("""COMPUTED_VALUE"""),"Lenguajes Libres de Contexto ")</f>
        <v>Lenguajes Libres de Contexto </v>
      </c>
      <c r="E72" s="37" t="str">
        <f>IFERROR(__xludf.DUMMYFUNCTION("""COMPUTED_VALUE"""),"Aplicaciones prácticas de gramáticas Tipo 2 en lenguajes de programación")</f>
        <v>Aplicaciones prácticas de gramáticas Tipo 2 en lenguajes de programación</v>
      </c>
      <c r="F72" s="62" t="s">
        <v>57</v>
      </c>
      <c r="G72" s="62" t="s">
        <v>57</v>
      </c>
    </row>
    <row r="73" ht="15.75" customHeight="1">
      <c r="B73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3" s="63"/>
      <c r="D73" s="63" t="str">
        <f>IFERROR(__xludf.DUMMYFUNCTION("""COMPUTED_VALUE"""),"Arboles de Derivacion y Ambigueadad")</f>
        <v>Arboles de Derivacion y Ambigueadad</v>
      </c>
      <c r="E73" s="63" t="str">
        <f>IFERROR(__xludf.DUMMYFUNCTION("""COMPUTED_VALUE"""),"Árboles de derivación")</f>
        <v>Árboles de derivación</v>
      </c>
      <c r="F73" s="62" t="s">
        <v>57</v>
      </c>
      <c r="G73" s="62" t="s">
        <v>57</v>
      </c>
    </row>
    <row r="74" ht="15.75" customHeight="1">
      <c r="B74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4" s="63"/>
      <c r="D74" s="63" t="str">
        <f>IFERROR(__xludf.DUMMYFUNCTION("""COMPUTED_VALUE"""),"Arboles de Derivacion y Ambigueadad")</f>
        <v>Arboles de Derivacion y Ambigueadad</v>
      </c>
      <c r="E74" s="63" t="str">
        <f>IFERROR(__xludf.DUMMYFUNCTION("""COMPUTED_VALUE"""),"Definición y construcción de árboles de derivación")</f>
        <v>Definición y construcción de árboles de derivación</v>
      </c>
      <c r="F74" s="62" t="s">
        <v>57</v>
      </c>
      <c r="G74" s="62" t="s">
        <v>57</v>
      </c>
    </row>
    <row r="75" ht="15.75" customHeight="1">
      <c r="B75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5" s="63"/>
      <c r="D75" s="63" t="str">
        <f>IFERROR(__xludf.DUMMYFUNCTION("""COMPUTED_VALUE"""),"Arboles de Derivacion y Ambigueadad")</f>
        <v>Arboles de Derivacion y Ambigueadad</v>
      </c>
      <c r="E75" s="63" t="str">
        <f>IFERROR(__xludf.DUMMYFUNCTION("""COMPUTED_VALUE"""),"Ambigüedad")</f>
        <v>Ambigüedad</v>
      </c>
      <c r="F75" s="62" t="s">
        <v>57</v>
      </c>
      <c r="G75" s="62" t="s">
        <v>57</v>
      </c>
    </row>
    <row r="76" ht="15.75" customHeight="1">
      <c r="B76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6" s="63"/>
      <c r="D76" s="63" t="str">
        <f>IFERROR(__xludf.DUMMYFUNCTION("""COMPUTED_VALUE"""),"Arboles de Derivacion y Ambigueadad")</f>
        <v>Arboles de Derivacion y Ambigueadad</v>
      </c>
      <c r="E76" s="63" t="str">
        <f>IFERROR(__xludf.DUMMYFUNCTION("""COMPUTED_VALUE"""),"Concepto de ambigüedad en gramáticas")</f>
        <v>Concepto de ambigüedad en gramáticas</v>
      </c>
      <c r="F76" s="62" t="s">
        <v>57</v>
      </c>
      <c r="G76" s="62" t="s">
        <v>57</v>
      </c>
    </row>
    <row r="77" ht="15.75" customHeight="1">
      <c r="B77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7" s="63"/>
      <c r="D77" s="63" t="str">
        <f>IFERROR(__xludf.DUMMYFUNCTION("""COMPUTED_VALUE"""),"Arboles de Derivacion y Ambigueadad")</f>
        <v>Arboles de Derivacion y Ambigueadad</v>
      </c>
      <c r="E77" s="63" t="str">
        <f>IFERROR(__xludf.DUMMYFUNCTION("""COMPUTED_VALUE"""),"Ejemplos de gramáticas ambiguas")</f>
        <v>Ejemplos de gramáticas ambiguas</v>
      </c>
      <c r="F77" s="62" t="s">
        <v>57</v>
      </c>
      <c r="G77" s="62" t="s">
        <v>57</v>
      </c>
    </row>
    <row r="78" ht="15.75" customHeight="1">
      <c r="B78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8" s="63"/>
      <c r="D78" s="63" t="str">
        <f>IFERROR(__xludf.DUMMYFUNCTION("""COMPUTED_VALUE"""),"Arboles de Derivacion y Ambigueadad")</f>
        <v>Arboles de Derivacion y Ambigueadad</v>
      </c>
      <c r="E78" s="63" t="str">
        <f>IFERROR(__xludf.DUMMYFUNCTION("""COMPUTED_VALUE"""),"Recursividad")</f>
        <v>Recursividad</v>
      </c>
      <c r="F78" s="62" t="s">
        <v>57</v>
      </c>
      <c r="G78" s="62" t="s">
        <v>57</v>
      </c>
    </row>
    <row r="79" ht="15.75" customHeight="1">
      <c r="B79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9" s="63"/>
      <c r="D79" s="63" t="str">
        <f>IFERROR(__xludf.DUMMYFUNCTION("""COMPUTED_VALUE"""),"Arboles de Derivacion y Ambigueadad")</f>
        <v>Arboles de Derivacion y Ambigueadad</v>
      </c>
      <c r="E79" s="63" t="str">
        <f>IFERROR(__xludf.DUMMYFUNCTION("""COMPUTED_VALUE"""),"Definición de recursividad en gramáticas")</f>
        <v>Definición de recursividad en gramáticas</v>
      </c>
      <c r="F79" s="62" t="s">
        <v>57</v>
      </c>
      <c r="G79" s="62" t="s">
        <v>57</v>
      </c>
    </row>
    <row r="80" ht="15.75" customHeight="1">
      <c r="B80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80" s="63"/>
      <c r="D80" s="63" t="str">
        <f>IFERROR(__xludf.DUMMYFUNCTION("""COMPUTED_VALUE"""),"Arboles de Derivacion y Ambigueadad")</f>
        <v>Arboles de Derivacion y Ambigueadad</v>
      </c>
      <c r="E80" s="63" t="str">
        <f>IFERROR(__xludf.DUMMYFUNCTION("""COMPUTED_VALUE"""),"Ejemplos de gramáticas recursivas")</f>
        <v>Ejemplos de gramáticas recursivas</v>
      </c>
      <c r="F80" s="62" t="s">
        <v>57</v>
      </c>
      <c r="G80" s="62" t="s">
        <v>57</v>
      </c>
    </row>
    <row r="81" ht="15.75" customHeight="1">
      <c r="B81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81" s="63"/>
      <c r="D81" s="63" t="str">
        <f>IFERROR(__xludf.DUMMYFUNCTION("""COMPUTED_VALUE"""),"Automatas de Pila")</f>
        <v>Automatas de Pila</v>
      </c>
      <c r="E81" s="63" t="str">
        <f>IFERROR(__xludf.DUMMYFUNCTION("""COMPUTED_VALUE"""),"Introducción a los autómatas de pila")</f>
        <v>Introducción a los autómatas de pila</v>
      </c>
      <c r="F81" s="62" t="s">
        <v>57</v>
      </c>
      <c r="G81" s="62" t="s">
        <v>57</v>
      </c>
    </row>
    <row r="82" ht="15.75" customHeight="1">
      <c r="B82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82" s="63"/>
      <c r="D82" s="63" t="str">
        <f>IFERROR(__xludf.DUMMYFUNCTION("""COMPUTED_VALUE"""),"Automatas de Pila")</f>
        <v>Automatas de Pila</v>
      </c>
      <c r="E82" s="63" t="str">
        <f>IFERROR(__xludf.DUMMYFUNCTION("""COMPUTED_VALUE"""),"Definición y funcionamiento de un autómata de pila")</f>
        <v>Definición y funcionamiento de un autómata de pila</v>
      </c>
      <c r="F82" s="62" t="s">
        <v>57</v>
      </c>
      <c r="G82" s="62" t="s">
        <v>57</v>
      </c>
    </row>
    <row r="83" ht="15.75" customHeight="1">
      <c r="B83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83" s="63"/>
      <c r="D83" s="63" t="str">
        <f>IFERROR(__xludf.DUMMYFUNCTION("""COMPUTED_VALUE"""),"Automatas de Pila")</f>
        <v>Automatas de Pila</v>
      </c>
      <c r="E83" s="63" t="str">
        <f>IFERROR(__xludf.DUMMYFUNCTION("""COMPUTED_VALUE"""),"Diferencias entre autómatas de pila y autómatas finitos")</f>
        <v>Diferencias entre autómatas de pila y autómatas finitos</v>
      </c>
      <c r="F83" s="62" t="s">
        <v>57</v>
      </c>
      <c r="G83" s="62" t="s">
        <v>57</v>
      </c>
    </row>
    <row r="84" ht="15.75" customHeight="1">
      <c r="B84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84" s="63"/>
      <c r="D84" s="63" t="str">
        <f>IFERROR(__xludf.DUMMYFUNCTION("""COMPUTED_VALUE"""),"Automatas de Pila")</f>
        <v>Automatas de Pila</v>
      </c>
      <c r="E84" s="63" t="str">
        <f>IFERROR(__xludf.DUMMYFUNCTION("""COMPUTED_VALUE"""),"Procesamiento")</f>
        <v>Procesamiento</v>
      </c>
      <c r="F84" s="62" t="s">
        <v>57</v>
      </c>
      <c r="G84" s="62" t="s">
        <v>57</v>
      </c>
    </row>
    <row r="85" ht="15.75" customHeight="1">
      <c r="B85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85" s="63"/>
      <c r="D85" s="63" t="str">
        <f>IFERROR(__xludf.DUMMYFUNCTION("""COMPUTED_VALUE"""),"Automatas de Pila")</f>
        <v>Automatas de Pila</v>
      </c>
      <c r="E85" s="63" t="str">
        <f>IFERROR(__xludf.DUMMYFUNCTION("""COMPUTED_VALUE"""),"Tipos de aceptación")</f>
        <v>Tipos de aceptación</v>
      </c>
      <c r="F85" s="62" t="s">
        <v>57</v>
      </c>
      <c r="G85" s="62" t="s">
        <v>57</v>
      </c>
    </row>
    <row r="86" ht="15.75" customHeight="1">
      <c r="B86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86" s="63"/>
      <c r="D86" s="63" t="str">
        <f>IFERROR(__xludf.DUMMYFUNCTION("""COMPUTED_VALUE"""),"Automatas de Pila")</f>
        <v>Automatas de Pila</v>
      </c>
      <c r="E86" s="63" t="str">
        <f>IFERROR(__xludf.DUMMYFUNCTION("""COMPUTED_VALUE"""),"Estado Final")</f>
        <v>Estado Final</v>
      </c>
      <c r="F86" s="62" t="s">
        <v>57</v>
      </c>
      <c r="G86" s="62" t="s">
        <v>57</v>
      </c>
    </row>
    <row r="87" ht="15.75" customHeight="1">
      <c r="B87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87" s="63"/>
      <c r="D87" s="63" t="str">
        <f>IFERROR(__xludf.DUMMYFUNCTION("""COMPUTED_VALUE"""),"Automatas de Pila")</f>
        <v>Automatas de Pila</v>
      </c>
      <c r="E87" s="63" t="str">
        <f>IFERROR(__xludf.DUMMYFUNCTION("""COMPUTED_VALUE"""),"Pila vacía")</f>
        <v>Pila vacía</v>
      </c>
      <c r="F87" s="62" t="s">
        <v>57</v>
      </c>
      <c r="G87" s="62" t="s">
        <v>57</v>
      </c>
    </row>
    <row r="88" ht="15.75" customHeight="1">
      <c r="B88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88" s="63"/>
      <c r="D88" s="63" t="str">
        <f>IFERROR(__xludf.DUMMYFUNCTION("""COMPUTED_VALUE"""),"Automatas de Pila")</f>
        <v>Automatas de Pila</v>
      </c>
      <c r="E88" s="63" t="str">
        <f>IFERROR(__xludf.DUMMYFUNCTION("""COMPUTED_VALUE"""),"Autómata de Pila desde Gramática Tipo 2")</f>
        <v>Autómata de Pila desde Gramática Tipo 2</v>
      </c>
      <c r="F88" s="62" t="s">
        <v>57</v>
      </c>
      <c r="G88" s="62" t="s">
        <v>57</v>
      </c>
    </row>
    <row r="89" ht="15.75" customHeight="1">
      <c r="B89" s="60"/>
      <c r="C89" s="60"/>
      <c r="D89" s="60"/>
      <c r="E89" s="60"/>
    </row>
    <row r="90" ht="15.75" customHeight="1">
      <c r="B90" s="60"/>
      <c r="C90" s="60"/>
      <c r="D90" s="60"/>
      <c r="E90" s="60"/>
    </row>
    <row r="91" ht="15.75" customHeight="1">
      <c r="B91" s="60"/>
      <c r="C91" s="60"/>
      <c r="D91" s="60"/>
      <c r="E91" s="60"/>
    </row>
    <row r="92" ht="15.75" customHeight="1">
      <c r="B92" s="60"/>
      <c r="C92" s="60"/>
      <c r="D92" s="60"/>
      <c r="E92" s="60"/>
    </row>
    <row r="93" ht="15.75" customHeight="1">
      <c r="B93" s="60"/>
      <c r="C93" s="60"/>
      <c r="D93" s="60"/>
      <c r="E93" s="60"/>
    </row>
    <row r="94" ht="15.75" customHeight="1">
      <c r="B94" s="60"/>
      <c r="C94" s="60"/>
      <c r="D94" s="60"/>
      <c r="E94" s="60"/>
    </row>
    <row r="95" ht="15.75" customHeight="1">
      <c r="B95" s="60"/>
      <c r="C95" s="60"/>
      <c r="D95" s="60"/>
      <c r="E95" s="60"/>
    </row>
    <row r="96" ht="15.75" customHeight="1">
      <c r="B96" s="60"/>
      <c r="C96" s="60"/>
      <c r="D96" s="60"/>
      <c r="E96" s="60"/>
    </row>
    <row r="97" ht="15.75" customHeight="1">
      <c r="B97" s="60"/>
      <c r="C97" s="60"/>
      <c r="D97" s="60"/>
      <c r="E97" s="60"/>
    </row>
    <row r="98" ht="15.75" customHeight="1">
      <c r="B98" s="60"/>
      <c r="C98" s="60"/>
      <c r="D98" s="60"/>
      <c r="E98" s="60"/>
    </row>
    <row r="99" ht="15.75" customHeight="1">
      <c r="B99" s="60"/>
      <c r="C99" s="60"/>
      <c r="D99" s="60"/>
      <c r="E99" s="60"/>
    </row>
    <row r="100" ht="15.75" customHeight="1">
      <c r="B100" s="60"/>
      <c r="C100" s="60"/>
      <c r="D100" s="60"/>
      <c r="E100" s="60"/>
    </row>
    <row r="101" ht="15.75" customHeight="1">
      <c r="B101" s="60"/>
      <c r="C101" s="60"/>
      <c r="D101" s="60"/>
      <c r="E101" s="60"/>
    </row>
    <row r="102" ht="15.75" customHeight="1">
      <c r="B102" s="60"/>
      <c r="C102" s="60"/>
      <c r="D102" s="60"/>
      <c r="E102" s="60"/>
    </row>
    <row r="103" ht="15.75" customHeight="1">
      <c r="B103" s="60"/>
      <c r="C103" s="60"/>
      <c r="D103" s="60"/>
      <c r="E103" s="60"/>
    </row>
    <row r="104" ht="15.75" customHeight="1">
      <c r="B104" s="60"/>
      <c r="C104" s="60"/>
      <c r="D104" s="60"/>
      <c r="E104" s="60"/>
    </row>
    <row r="105" ht="15.75" customHeight="1">
      <c r="B105" s="60"/>
      <c r="C105" s="60"/>
      <c r="D105" s="60"/>
      <c r="E105" s="60"/>
    </row>
    <row r="106" ht="15.75" customHeight="1">
      <c r="B106" s="60"/>
      <c r="C106" s="60"/>
      <c r="D106" s="60"/>
      <c r="E106" s="60"/>
    </row>
    <row r="107" ht="15.75" customHeight="1">
      <c r="B107" s="60"/>
      <c r="C107" s="60"/>
      <c r="D107" s="60"/>
      <c r="E107" s="60"/>
    </row>
    <row r="108" ht="15.75" customHeight="1">
      <c r="B108" s="60"/>
      <c r="C108" s="60"/>
      <c r="D108" s="60"/>
      <c r="E108" s="60"/>
    </row>
    <row r="109" ht="15.75" customHeight="1">
      <c r="B109" s="60"/>
      <c r="C109" s="60"/>
      <c r="D109" s="60"/>
      <c r="E109" s="60"/>
    </row>
    <row r="110" ht="15.75" customHeight="1">
      <c r="B110" s="60"/>
      <c r="C110" s="60"/>
      <c r="D110" s="60"/>
      <c r="E110" s="60"/>
    </row>
    <row r="111" ht="15.75" customHeight="1">
      <c r="B111" s="60"/>
      <c r="C111" s="60"/>
      <c r="D111" s="60"/>
      <c r="E111" s="60"/>
    </row>
    <row r="112" ht="15.75" customHeight="1">
      <c r="B112" s="60"/>
      <c r="C112" s="60"/>
      <c r="D112" s="60"/>
      <c r="E112" s="60"/>
    </row>
    <row r="113" ht="15.75" customHeight="1">
      <c r="B113" s="60"/>
      <c r="C113" s="60"/>
      <c r="D113" s="60"/>
      <c r="E113" s="60"/>
    </row>
    <row r="114" ht="15.75" customHeight="1">
      <c r="B114" s="60"/>
      <c r="C114" s="60"/>
      <c r="D114" s="60"/>
      <c r="E114" s="60"/>
    </row>
    <row r="115" ht="15.75" customHeight="1">
      <c r="B115" s="60"/>
      <c r="C115" s="60"/>
      <c r="D115" s="60"/>
      <c r="E115" s="60"/>
    </row>
    <row r="116" ht="15.75" customHeight="1">
      <c r="B116" s="60"/>
      <c r="C116" s="60"/>
      <c r="D116" s="60"/>
      <c r="E116" s="60"/>
    </row>
    <row r="117" ht="15.75" customHeight="1">
      <c r="B117" s="60"/>
      <c r="C117" s="60"/>
      <c r="D117" s="60"/>
      <c r="E117" s="60"/>
    </row>
    <row r="118" ht="15.75" customHeight="1">
      <c r="B118" s="60"/>
      <c r="C118" s="60"/>
      <c r="D118" s="60"/>
      <c r="E118" s="60"/>
    </row>
    <row r="119" ht="15.75" customHeight="1">
      <c r="B119" s="60"/>
      <c r="C119" s="60"/>
      <c r="D119" s="60"/>
      <c r="E119" s="60"/>
    </row>
    <row r="120" ht="15.75" customHeight="1">
      <c r="B120" s="60"/>
      <c r="C120" s="60"/>
      <c r="D120" s="60"/>
      <c r="E120" s="60"/>
    </row>
    <row r="121" ht="15.75" customHeight="1">
      <c r="B121" s="60"/>
      <c r="C121" s="60"/>
      <c r="D121" s="60"/>
      <c r="E121" s="60"/>
    </row>
    <row r="122" ht="15.75" customHeight="1">
      <c r="B122" s="60"/>
      <c r="C122" s="60"/>
      <c r="D122" s="60"/>
      <c r="E122" s="60"/>
    </row>
    <row r="123" ht="15.75" customHeight="1">
      <c r="B123" s="60"/>
      <c r="C123" s="60"/>
      <c r="D123" s="60"/>
      <c r="E123" s="60"/>
    </row>
    <row r="124" ht="15.75" customHeight="1">
      <c r="B124" s="60"/>
      <c r="C124" s="60"/>
      <c r="D124" s="60"/>
      <c r="E124" s="60"/>
    </row>
    <row r="125" ht="15.75" customHeight="1">
      <c r="B125" s="60"/>
      <c r="C125" s="60"/>
      <c r="D125" s="60"/>
      <c r="E125" s="60"/>
    </row>
    <row r="126" ht="15.75" customHeight="1">
      <c r="B126" s="60"/>
      <c r="C126" s="60"/>
      <c r="D126" s="60"/>
      <c r="E126" s="60"/>
    </row>
    <row r="127" ht="15.75" customHeight="1">
      <c r="B127" s="60"/>
      <c r="C127" s="60"/>
      <c r="D127" s="60"/>
      <c r="E127" s="60"/>
    </row>
    <row r="128" ht="15.75" customHeight="1">
      <c r="B128" s="60"/>
      <c r="C128" s="60"/>
      <c r="D128" s="60"/>
      <c r="E128" s="60"/>
    </row>
    <row r="129" ht="15.75" customHeight="1">
      <c r="B129" s="60"/>
      <c r="C129" s="60"/>
      <c r="D129" s="60"/>
      <c r="E129" s="60"/>
    </row>
    <row r="130" ht="15.75" customHeight="1">
      <c r="B130" s="60"/>
      <c r="C130" s="60"/>
      <c r="D130" s="60"/>
      <c r="E130" s="60"/>
    </row>
    <row r="131" ht="15.75" customHeight="1">
      <c r="B131" s="60"/>
      <c r="C131" s="60"/>
      <c r="D131" s="60"/>
      <c r="E131" s="60"/>
    </row>
    <row r="132" ht="15.75" customHeight="1">
      <c r="B132" s="60"/>
      <c r="C132" s="60"/>
      <c r="D132" s="60"/>
      <c r="E132" s="60"/>
    </row>
    <row r="133" ht="15.75" customHeight="1">
      <c r="B133" s="60"/>
      <c r="C133" s="60"/>
      <c r="D133" s="60"/>
      <c r="E133" s="60"/>
    </row>
    <row r="134" ht="15.75" customHeight="1">
      <c r="B134" s="60"/>
      <c r="C134" s="60"/>
      <c r="D134" s="60"/>
      <c r="E134" s="60"/>
    </row>
    <row r="135" ht="15.75" customHeight="1">
      <c r="B135" s="60"/>
      <c r="C135" s="60"/>
      <c r="D135" s="60"/>
      <c r="E135" s="60"/>
    </row>
    <row r="136" ht="15.75" customHeight="1">
      <c r="B136" s="60"/>
      <c r="C136" s="60"/>
      <c r="D136" s="60"/>
      <c r="E136" s="60"/>
    </row>
    <row r="137" ht="15.75" customHeight="1">
      <c r="B137" s="60"/>
      <c r="C137" s="60"/>
      <c r="D137" s="60"/>
      <c r="E137" s="60"/>
    </row>
    <row r="138" ht="15.75" customHeight="1">
      <c r="B138" s="60"/>
      <c r="C138" s="60"/>
      <c r="D138" s="60"/>
      <c r="E138" s="60"/>
    </row>
    <row r="139" ht="15.75" customHeight="1">
      <c r="B139" s="60"/>
      <c r="C139" s="60"/>
      <c r="D139" s="60"/>
      <c r="E139" s="60"/>
    </row>
    <row r="140" ht="15.75" customHeight="1">
      <c r="B140" s="60"/>
      <c r="C140" s="60"/>
      <c r="D140" s="60"/>
      <c r="E140" s="60"/>
    </row>
    <row r="141" ht="15.75" customHeight="1">
      <c r="B141" s="60"/>
      <c r="C141" s="60"/>
      <c r="D141" s="60"/>
      <c r="E141" s="60"/>
    </row>
    <row r="142" ht="15.75" customHeight="1">
      <c r="B142" s="60"/>
      <c r="C142" s="60"/>
      <c r="D142" s="60"/>
      <c r="E142" s="60"/>
    </row>
    <row r="143" ht="15.75" customHeight="1">
      <c r="B143" s="60"/>
      <c r="C143" s="60"/>
      <c r="D143" s="60"/>
      <c r="E143" s="60"/>
    </row>
    <row r="144" ht="15.75" customHeight="1">
      <c r="B144" s="60"/>
      <c r="C144" s="60"/>
      <c r="D144" s="60"/>
      <c r="E144" s="60"/>
    </row>
    <row r="145" ht="15.75" customHeight="1">
      <c r="B145" s="60"/>
      <c r="C145" s="60"/>
      <c r="D145" s="60"/>
      <c r="E145" s="60"/>
    </row>
    <row r="146" ht="15.75" customHeight="1">
      <c r="B146" s="60"/>
      <c r="C146" s="60"/>
      <c r="D146" s="60"/>
      <c r="E146" s="60"/>
    </row>
    <row r="147" ht="15.75" customHeight="1">
      <c r="B147" s="60"/>
      <c r="C147" s="60"/>
      <c r="D147" s="60"/>
      <c r="E147" s="60"/>
    </row>
    <row r="148" ht="15.75" customHeight="1">
      <c r="B148" s="60"/>
      <c r="C148" s="60"/>
      <c r="D148" s="60"/>
      <c r="E148" s="60"/>
    </row>
    <row r="149" ht="15.75" customHeight="1">
      <c r="B149" s="60"/>
      <c r="C149" s="60"/>
      <c r="D149" s="60"/>
      <c r="E149" s="60"/>
    </row>
    <row r="150" ht="15.75" customHeight="1">
      <c r="B150" s="60"/>
      <c r="C150" s="60"/>
      <c r="D150" s="60"/>
      <c r="E150" s="60"/>
    </row>
    <row r="151" ht="15.75" customHeight="1">
      <c r="B151" s="60"/>
      <c r="C151" s="60"/>
      <c r="D151" s="60"/>
      <c r="E151" s="60"/>
    </row>
    <row r="152" ht="15.75" customHeight="1">
      <c r="B152" s="60"/>
      <c r="C152" s="60"/>
      <c r="D152" s="60"/>
      <c r="E152" s="60"/>
    </row>
    <row r="153" ht="15.75" customHeight="1">
      <c r="B153" s="60"/>
      <c r="C153" s="60"/>
      <c r="D153" s="60"/>
      <c r="E153" s="60"/>
    </row>
    <row r="154" ht="15.75" customHeight="1">
      <c r="B154" s="60"/>
      <c r="C154" s="60"/>
      <c r="D154" s="60"/>
      <c r="E154" s="60"/>
    </row>
    <row r="155" ht="15.75" customHeight="1">
      <c r="B155" s="60"/>
      <c r="C155" s="60"/>
      <c r="D155" s="60"/>
      <c r="E155" s="60"/>
    </row>
    <row r="156" ht="15.75" customHeight="1">
      <c r="B156" s="60"/>
      <c r="C156" s="60"/>
      <c r="D156" s="60"/>
      <c r="E156" s="60"/>
    </row>
    <row r="157" ht="15.75" customHeight="1">
      <c r="B157" s="60"/>
      <c r="C157" s="60"/>
      <c r="D157" s="60"/>
      <c r="E157" s="60"/>
    </row>
    <row r="158" ht="15.75" customHeight="1">
      <c r="B158" s="60"/>
      <c r="C158" s="60"/>
      <c r="D158" s="60"/>
      <c r="E158" s="60"/>
    </row>
    <row r="159" ht="15.75" customHeight="1">
      <c r="B159" s="60"/>
      <c r="C159" s="60"/>
      <c r="D159" s="60"/>
      <c r="E159" s="60"/>
    </row>
    <row r="160" ht="15.75" customHeight="1">
      <c r="B160" s="60"/>
      <c r="C160" s="60"/>
      <c r="D160" s="60"/>
      <c r="E160" s="60"/>
    </row>
    <row r="161" ht="15.75" customHeight="1">
      <c r="B161" s="60"/>
      <c r="C161" s="60"/>
      <c r="D161" s="60"/>
      <c r="E161" s="60"/>
    </row>
    <row r="162" ht="15.75" customHeight="1">
      <c r="B162" s="60"/>
      <c r="C162" s="60"/>
      <c r="D162" s="60"/>
      <c r="E162" s="60"/>
    </row>
    <row r="163" ht="15.75" customHeight="1">
      <c r="B163" s="60"/>
      <c r="C163" s="60"/>
      <c r="D163" s="60"/>
      <c r="E163" s="60"/>
    </row>
    <row r="164" ht="15.75" customHeight="1">
      <c r="B164" s="60"/>
      <c r="C164" s="60"/>
      <c r="D164" s="60"/>
      <c r="E164" s="60"/>
    </row>
    <row r="165" ht="15.75" customHeight="1">
      <c r="B165" s="60"/>
      <c r="C165" s="60"/>
      <c r="D165" s="60"/>
      <c r="E165" s="60"/>
    </row>
    <row r="166" ht="15.75" customHeight="1">
      <c r="B166" s="60"/>
      <c r="C166" s="60"/>
      <c r="D166" s="60"/>
      <c r="E166" s="60"/>
    </row>
    <row r="167" ht="15.75" customHeight="1">
      <c r="B167" s="60"/>
      <c r="C167" s="60"/>
      <c r="D167" s="60"/>
      <c r="E167" s="60"/>
    </row>
    <row r="168" ht="15.75" customHeight="1">
      <c r="B168" s="60"/>
      <c r="C168" s="60"/>
      <c r="D168" s="60"/>
      <c r="E168" s="60"/>
    </row>
    <row r="169" ht="15.75" customHeight="1">
      <c r="B169" s="60"/>
      <c r="C169" s="60"/>
      <c r="D169" s="60"/>
      <c r="E169" s="60"/>
    </row>
    <row r="170" ht="15.75" customHeight="1">
      <c r="B170" s="60"/>
      <c r="C170" s="60"/>
      <c r="D170" s="60"/>
      <c r="E170" s="60"/>
    </row>
    <row r="171" ht="15.75" customHeight="1">
      <c r="B171" s="60"/>
      <c r="C171" s="60"/>
      <c r="D171" s="60"/>
      <c r="E171" s="60"/>
    </row>
    <row r="172" ht="15.75" customHeight="1">
      <c r="B172" s="60"/>
      <c r="C172" s="60"/>
      <c r="D172" s="60"/>
      <c r="E172" s="60"/>
    </row>
    <row r="173" ht="15.75" customHeight="1">
      <c r="B173" s="60"/>
      <c r="C173" s="60"/>
      <c r="D173" s="60"/>
      <c r="E173" s="60"/>
    </row>
    <row r="174" ht="15.75" customHeight="1">
      <c r="B174" s="60"/>
      <c r="C174" s="60"/>
      <c r="D174" s="60"/>
      <c r="E174" s="60"/>
    </row>
    <row r="175" ht="15.75" customHeight="1">
      <c r="B175" s="60"/>
      <c r="C175" s="60"/>
      <c r="D175" s="60"/>
      <c r="E175" s="60"/>
    </row>
    <row r="176" ht="15.75" customHeight="1">
      <c r="B176" s="60"/>
      <c r="C176" s="60"/>
      <c r="D176" s="60"/>
      <c r="E176" s="60"/>
    </row>
    <row r="177" ht="15.75" customHeight="1">
      <c r="B177" s="60"/>
      <c r="C177" s="60"/>
      <c r="D177" s="60"/>
      <c r="E177" s="60"/>
    </row>
    <row r="178" ht="15.75" customHeight="1">
      <c r="B178" s="60"/>
      <c r="C178" s="60"/>
      <c r="D178" s="60"/>
      <c r="E178" s="60"/>
    </row>
    <row r="179" ht="15.75" customHeight="1">
      <c r="B179" s="60"/>
      <c r="C179" s="60"/>
      <c r="D179" s="60"/>
      <c r="E179" s="60"/>
    </row>
    <row r="180" ht="15.75" customHeight="1">
      <c r="B180" s="60"/>
      <c r="C180" s="60"/>
      <c r="D180" s="60"/>
      <c r="E180" s="60"/>
    </row>
    <row r="181" ht="15.75" customHeight="1">
      <c r="B181" s="60"/>
      <c r="C181" s="60"/>
      <c r="D181" s="60"/>
      <c r="E181" s="60"/>
    </row>
    <row r="182" ht="15.75" customHeight="1">
      <c r="B182" s="60"/>
      <c r="C182" s="60"/>
      <c r="D182" s="60"/>
      <c r="E182" s="60"/>
    </row>
    <row r="183" ht="15.75" customHeight="1">
      <c r="B183" s="60"/>
      <c r="C183" s="60"/>
      <c r="D183" s="60"/>
      <c r="E183" s="60"/>
    </row>
    <row r="184" ht="15.75" customHeight="1">
      <c r="B184" s="60"/>
      <c r="C184" s="60"/>
      <c r="D184" s="60"/>
      <c r="E184" s="60"/>
    </row>
    <row r="185" ht="15.75" customHeight="1">
      <c r="B185" s="60"/>
      <c r="C185" s="60"/>
      <c r="D185" s="60"/>
      <c r="E185" s="60"/>
    </row>
    <row r="186" ht="15.75" customHeight="1">
      <c r="B186" s="60"/>
      <c r="C186" s="60"/>
      <c r="D186" s="60"/>
      <c r="E186" s="60"/>
    </row>
    <row r="187" ht="15.75" customHeight="1">
      <c r="B187" s="60"/>
      <c r="C187" s="60"/>
      <c r="D187" s="60"/>
      <c r="E187" s="60"/>
    </row>
    <row r="188" ht="15.75" customHeight="1">
      <c r="B188" s="60"/>
      <c r="C188" s="60"/>
      <c r="D188" s="60"/>
      <c r="E188" s="60"/>
    </row>
    <row r="189" ht="15.75" customHeight="1">
      <c r="B189" s="60"/>
      <c r="C189" s="60"/>
      <c r="D189" s="60"/>
      <c r="E189" s="60"/>
    </row>
    <row r="190" ht="15.75" customHeight="1">
      <c r="B190" s="60"/>
      <c r="C190" s="60"/>
      <c r="D190" s="60"/>
      <c r="E190" s="60"/>
    </row>
    <row r="191" ht="15.75" customHeight="1">
      <c r="B191" s="60"/>
      <c r="C191" s="60"/>
      <c r="D191" s="60"/>
      <c r="E191" s="60"/>
    </row>
    <row r="192" ht="15.75" customHeight="1">
      <c r="B192" s="60"/>
      <c r="C192" s="60"/>
      <c r="D192" s="60"/>
      <c r="E192" s="60"/>
    </row>
    <row r="193" ht="15.75" customHeight="1">
      <c r="B193" s="60"/>
      <c r="C193" s="60"/>
      <c r="D193" s="60"/>
      <c r="E193" s="60"/>
    </row>
    <row r="194" ht="15.75" customHeight="1">
      <c r="B194" s="60"/>
      <c r="C194" s="60"/>
      <c r="D194" s="60"/>
      <c r="E194" s="60"/>
    </row>
    <row r="195" ht="15.75" customHeight="1">
      <c r="B195" s="60"/>
      <c r="C195" s="60"/>
      <c r="D195" s="60"/>
      <c r="E195" s="60"/>
    </row>
    <row r="196" ht="15.75" customHeight="1">
      <c r="B196" s="60"/>
      <c r="C196" s="60"/>
      <c r="D196" s="60"/>
      <c r="E196" s="60"/>
    </row>
    <row r="197" ht="15.75" customHeight="1">
      <c r="B197" s="60"/>
      <c r="C197" s="60"/>
      <c r="D197" s="60"/>
      <c r="E197" s="60"/>
    </row>
    <row r="198" ht="15.75" customHeight="1">
      <c r="B198" s="60"/>
      <c r="C198" s="60"/>
      <c r="D198" s="60"/>
      <c r="E198" s="60"/>
    </row>
    <row r="199" ht="15.75" customHeight="1">
      <c r="B199" s="60"/>
      <c r="C199" s="60"/>
      <c r="D199" s="60"/>
      <c r="E199" s="60"/>
    </row>
    <row r="200" ht="15.75" customHeight="1">
      <c r="B200" s="60"/>
      <c r="C200" s="60"/>
      <c r="D200" s="60"/>
      <c r="E200" s="60"/>
    </row>
    <row r="201" ht="15.75" customHeight="1">
      <c r="B201" s="60"/>
      <c r="C201" s="60"/>
      <c r="D201" s="60"/>
      <c r="E201" s="60"/>
    </row>
    <row r="202" ht="15.75" customHeight="1">
      <c r="B202" s="60"/>
      <c r="C202" s="60"/>
      <c r="D202" s="60"/>
      <c r="E202" s="60"/>
    </row>
    <row r="203" ht="15.75" customHeight="1">
      <c r="B203" s="60"/>
      <c r="C203" s="60"/>
      <c r="D203" s="60"/>
      <c r="E203" s="60"/>
    </row>
    <row r="204" ht="15.75" customHeight="1">
      <c r="B204" s="60"/>
      <c r="C204" s="60"/>
      <c r="D204" s="60"/>
      <c r="E204" s="60"/>
    </row>
    <row r="205" ht="15.75" customHeight="1">
      <c r="B205" s="60"/>
      <c r="C205" s="60"/>
      <c r="D205" s="60"/>
      <c r="E205" s="60"/>
    </row>
    <row r="206" ht="15.75" customHeight="1">
      <c r="B206" s="60"/>
      <c r="C206" s="60"/>
      <c r="D206" s="60"/>
      <c r="E206" s="60"/>
    </row>
    <row r="207" ht="15.75" customHeight="1">
      <c r="B207" s="60"/>
      <c r="C207" s="60"/>
      <c r="D207" s="60"/>
      <c r="E207" s="60"/>
    </row>
    <row r="208" ht="15.75" customHeight="1">
      <c r="B208" s="60"/>
      <c r="C208" s="60"/>
      <c r="D208" s="60"/>
      <c r="E208" s="60"/>
    </row>
    <row r="209" ht="15.75" customHeight="1">
      <c r="B209" s="60"/>
      <c r="C209" s="60"/>
      <c r="D209" s="60"/>
      <c r="E209" s="60"/>
    </row>
    <row r="210" ht="15.75" customHeight="1">
      <c r="B210" s="60"/>
      <c r="C210" s="60"/>
      <c r="D210" s="60"/>
      <c r="E210" s="60"/>
    </row>
    <row r="211" ht="15.75" customHeight="1">
      <c r="B211" s="60"/>
      <c r="C211" s="60"/>
      <c r="D211" s="60"/>
      <c r="E211" s="60"/>
    </row>
    <row r="212" ht="15.75" customHeight="1">
      <c r="B212" s="60"/>
      <c r="C212" s="60"/>
      <c r="D212" s="60"/>
      <c r="E212" s="60"/>
    </row>
    <row r="213" ht="15.75" customHeight="1">
      <c r="B213" s="60"/>
      <c r="C213" s="60"/>
      <c r="D213" s="60"/>
      <c r="E213" s="60"/>
    </row>
    <row r="214" ht="15.75" customHeight="1">
      <c r="B214" s="60"/>
      <c r="C214" s="60"/>
      <c r="D214" s="60"/>
      <c r="E214" s="60"/>
    </row>
    <row r="215" ht="15.75" customHeight="1">
      <c r="B215" s="60"/>
      <c r="C215" s="60"/>
      <c r="D215" s="60"/>
      <c r="E215" s="60"/>
    </row>
    <row r="216" ht="15.75" customHeight="1">
      <c r="B216" s="60"/>
      <c r="C216" s="60"/>
      <c r="D216" s="60"/>
      <c r="E216" s="60"/>
    </row>
    <row r="217" ht="15.75" customHeight="1">
      <c r="B217" s="60"/>
      <c r="C217" s="60"/>
      <c r="D217" s="60"/>
      <c r="E217" s="60"/>
    </row>
    <row r="218" ht="15.75" customHeight="1">
      <c r="B218" s="60"/>
      <c r="C218" s="60"/>
      <c r="D218" s="60"/>
      <c r="E218" s="60"/>
    </row>
    <row r="219" ht="15.75" customHeight="1">
      <c r="B219" s="60"/>
      <c r="C219" s="60"/>
      <c r="D219" s="60"/>
      <c r="E219" s="60"/>
    </row>
    <row r="220" ht="15.75" customHeight="1">
      <c r="B220" s="60"/>
      <c r="C220" s="60"/>
      <c r="D220" s="60"/>
      <c r="E220" s="60"/>
    </row>
    <row r="221" ht="15.75" customHeight="1">
      <c r="B221" s="60"/>
      <c r="C221" s="60"/>
      <c r="D221" s="60"/>
      <c r="E221" s="60"/>
    </row>
    <row r="222" ht="15.75" customHeight="1">
      <c r="B222" s="60"/>
      <c r="C222" s="60"/>
      <c r="D222" s="60"/>
      <c r="E222" s="60"/>
    </row>
    <row r="223" ht="15.75" customHeight="1">
      <c r="B223" s="60"/>
      <c r="C223" s="60"/>
      <c r="D223" s="60"/>
      <c r="E223" s="60"/>
    </row>
    <row r="224" ht="15.75" customHeight="1">
      <c r="B224" s="60"/>
      <c r="C224" s="60"/>
      <c r="D224" s="60"/>
      <c r="E224" s="60"/>
    </row>
    <row r="225" ht="15.75" customHeight="1">
      <c r="B225" s="60"/>
      <c r="C225" s="60"/>
      <c r="D225" s="60"/>
      <c r="E225" s="60"/>
    </row>
    <row r="226" ht="15.75" customHeight="1">
      <c r="B226" s="60"/>
      <c r="C226" s="60"/>
      <c r="D226" s="60"/>
      <c r="E226" s="60"/>
    </row>
    <row r="227" ht="15.75" customHeight="1">
      <c r="B227" s="60"/>
      <c r="C227" s="60"/>
      <c r="D227" s="60"/>
      <c r="E227" s="60"/>
    </row>
    <row r="228" ht="15.75" customHeight="1">
      <c r="B228" s="60"/>
      <c r="C228" s="60"/>
      <c r="D228" s="60"/>
      <c r="E228" s="60"/>
    </row>
    <row r="229" ht="15.75" customHeight="1">
      <c r="B229" s="60"/>
      <c r="C229" s="60"/>
      <c r="D229" s="60"/>
      <c r="E229" s="60"/>
    </row>
    <row r="230" ht="15.75" customHeight="1">
      <c r="B230" s="60"/>
      <c r="C230" s="60"/>
      <c r="D230" s="60"/>
      <c r="E230" s="60"/>
    </row>
    <row r="231" ht="15.75" customHeight="1">
      <c r="B231" s="60"/>
      <c r="C231" s="60"/>
      <c r="D231" s="60"/>
      <c r="E231" s="60"/>
    </row>
    <row r="232" ht="15.75" customHeight="1">
      <c r="B232" s="60"/>
      <c r="C232" s="60"/>
      <c r="D232" s="60"/>
      <c r="E232" s="60"/>
    </row>
    <row r="233" ht="15.75" customHeight="1">
      <c r="B233" s="60"/>
      <c r="C233" s="60"/>
      <c r="D233" s="60"/>
      <c r="E233" s="60"/>
    </row>
    <row r="234" ht="15.75" customHeight="1">
      <c r="B234" s="60"/>
      <c r="C234" s="60"/>
      <c r="D234" s="60"/>
      <c r="E234" s="60"/>
    </row>
    <row r="235" ht="15.75" customHeight="1">
      <c r="B235" s="60"/>
      <c r="C235" s="60"/>
      <c r="D235" s="60"/>
      <c r="E235" s="60"/>
    </row>
    <row r="236" ht="15.75" customHeight="1">
      <c r="B236" s="60"/>
      <c r="C236" s="60"/>
      <c r="D236" s="60"/>
      <c r="E236" s="60"/>
    </row>
    <row r="237" ht="15.75" customHeight="1">
      <c r="B237" s="60"/>
      <c r="C237" s="60"/>
      <c r="D237" s="60"/>
      <c r="E237" s="60"/>
    </row>
    <row r="238" ht="15.75" customHeight="1">
      <c r="B238" s="60"/>
      <c r="C238" s="60"/>
      <c r="D238" s="60"/>
      <c r="E238" s="60"/>
    </row>
    <row r="239" ht="15.75" customHeight="1">
      <c r="B239" s="60"/>
      <c r="C239" s="60"/>
      <c r="D239" s="60"/>
      <c r="E239" s="60"/>
    </row>
    <row r="240" ht="15.75" customHeight="1">
      <c r="B240" s="60"/>
      <c r="C240" s="60"/>
      <c r="D240" s="60"/>
      <c r="E240" s="60"/>
    </row>
    <row r="241" ht="15.75" customHeight="1">
      <c r="B241" s="60"/>
      <c r="C241" s="60"/>
      <c r="D241" s="60"/>
      <c r="E241" s="60"/>
    </row>
    <row r="242" ht="15.75" customHeight="1">
      <c r="B242" s="60"/>
      <c r="C242" s="60"/>
      <c r="D242" s="60"/>
      <c r="E242" s="60"/>
    </row>
    <row r="243" ht="15.75" customHeight="1">
      <c r="B243" s="60"/>
      <c r="C243" s="60"/>
      <c r="D243" s="60"/>
      <c r="E243" s="60"/>
    </row>
    <row r="244" ht="15.75" customHeight="1">
      <c r="B244" s="60"/>
      <c r="C244" s="60"/>
      <c r="D244" s="60"/>
      <c r="E244" s="60"/>
    </row>
    <row r="245" ht="15.75" customHeight="1">
      <c r="B245" s="60"/>
      <c r="C245" s="60"/>
      <c r="D245" s="60"/>
      <c r="E245" s="60"/>
    </row>
    <row r="246" ht="15.75" customHeight="1">
      <c r="B246" s="60"/>
      <c r="C246" s="60"/>
      <c r="D246" s="60"/>
      <c r="E246" s="60"/>
    </row>
    <row r="247" ht="15.75" customHeight="1">
      <c r="B247" s="60"/>
      <c r="C247" s="60"/>
      <c r="D247" s="60"/>
      <c r="E247" s="60"/>
    </row>
    <row r="248" ht="15.75" customHeight="1">
      <c r="B248" s="60"/>
      <c r="C248" s="60"/>
      <c r="D248" s="60"/>
      <c r="E248" s="60"/>
    </row>
    <row r="249" ht="15.75" customHeight="1">
      <c r="B249" s="60"/>
      <c r="C249" s="60"/>
      <c r="D249" s="60"/>
      <c r="E249" s="60"/>
    </row>
    <row r="250" ht="15.75" customHeight="1">
      <c r="B250" s="60"/>
      <c r="C250" s="60"/>
      <c r="D250" s="60"/>
      <c r="E250" s="60"/>
    </row>
    <row r="251" ht="15.75" customHeight="1">
      <c r="B251" s="60"/>
      <c r="C251" s="60"/>
      <c r="D251" s="60"/>
      <c r="E251" s="60"/>
    </row>
    <row r="252" ht="15.75" customHeight="1">
      <c r="B252" s="60"/>
      <c r="C252" s="60"/>
      <c r="D252" s="60"/>
      <c r="E252" s="60"/>
    </row>
    <row r="253" ht="15.75" customHeight="1">
      <c r="B253" s="60"/>
      <c r="C253" s="60"/>
      <c r="D253" s="60"/>
      <c r="E253" s="60"/>
    </row>
    <row r="254" ht="15.75" customHeight="1">
      <c r="B254" s="60"/>
      <c r="C254" s="60"/>
      <c r="D254" s="60"/>
      <c r="E254" s="60"/>
    </row>
    <row r="255" ht="15.75" customHeight="1">
      <c r="B255" s="60"/>
      <c r="C255" s="60"/>
      <c r="D255" s="60"/>
      <c r="E255" s="60"/>
    </row>
    <row r="256" ht="15.75" customHeight="1">
      <c r="B256" s="60"/>
      <c r="C256" s="60"/>
      <c r="D256" s="60"/>
      <c r="E256" s="60"/>
    </row>
    <row r="257" ht="15.75" customHeight="1">
      <c r="B257" s="60"/>
      <c r="C257" s="60"/>
      <c r="D257" s="60"/>
      <c r="E257" s="60"/>
    </row>
    <row r="258" ht="15.75" customHeight="1">
      <c r="B258" s="60"/>
      <c r="C258" s="60"/>
      <c r="D258" s="60"/>
      <c r="E258" s="60"/>
    </row>
    <row r="259" ht="15.75" customHeight="1">
      <c r="B259" s="60"/>
      <c r="C259" s="60"/>
      <c r="D259" s="60"/>
      <c r="E259" s="60"/>
    </row>
    <row r="260" ht="15.75" customHeight="1">
      <c r="B260" s="60"/>
      <c r="C260" s="60"/>
      <c r="D260" s="60"/>
      <c r="E260" s="60"/>
    </row>
    <row r="261" ht="15.75" customHeight="1">
      <c r="B261" s="60"/>
      <c r="C261" s="60"/>
      <c r="D261" s="60"/>
      <c r="E261" s="60"/>
    </row>
    <row r="262" ht="15.75" customHeight="1">
      <c r="B262" s="60"/>
      <c r="C262" s="60"/>
      <c r="D262" s="60"/>
      <c r="E262" s="60"/>
    </row>
    <row r="263" ht="15.75" customHeight="1">
      <c r="B263" s="60"/>
      <c r="C263" s="60"/>
      <c r="D263" s="60"/>
      <c r="E263" s="60"/>
    </row>
    <row r="264" ht="15.75" customHeight="1">
      <c r="B264" s="60"/>
      <c r="C264" s="60"/>
      <c r="D264" s="60"/>
      <c r="E264" s="60"/>
    </row>
    <row r="265" ht="15.75" customHeight="1">
      <c r="B265" s="60"/>
      <c r="C265" s="60"/>
      <c r="D265" s="60"/>
      <c r="E265" s="60"/>
    </row>
    <row r="266" ht="15.75" customHeight="1">
      <c r="B266" s="60"/>
      <c r="C266" s="60"/>
      <c r="D266" s="60"/>
      <c r="E266" s="60"/>
    </row>
    <row r="267" ht="15.75" customHeight="1">
      <c r="B267" s="60"/>
      <c r="C267" s="60"/>
      <c r="D267" s="60"/>
      <c r="E267" s="60"/>
    </row>
    <row r="268" ht="15.75" customHeight="1">
      <c r="B268" s="60"/>
      <c r="C268" s="60"/>
      <c r="D268" s="60"/>
      <c r="E268" s="60"/>
    </row>
    <row r="269" ht="15.75" customHeight="1">
      <c r="B269" s="60"/>
      <c r="C269" s="60"/>
      <c r="D269" s="60"/>
      <c r="E269" s="60"/>
    </row>
    <row r="270" ht="15.75" customHeight="1">
      <c r="B270" s="60"/>
      <c r="C270" s="60"/>
      <c r="D270" s="60"/>
      <c r="E270" s="60"/>
    </row>
    <row r="271" ht="15.75" customHeight="1">
      <c r="B271" s="60"/>
      <c r="C271" s="60"/>
      <c r="D271" s="60"/>
      <c r="E271" s="60"/>
    </row>
    <row r="272" ht="15.75" customHeight="1">
      <c r="B272" s="60"/>
      <c r="C272" s="60"/>
      <c r="D272" s="60"/>
      <c r="E272" s="60"/>
    </row>
    <row r="273" ht="15.75" customHeight="1">
      <c r="B273" s="60"/>
      <c r="C273" s="60"/>
      <c r="D273" s="60"/>
      <c r="E273" s="60"/>
    </row>
    <row r="274" ht="15.75" customHeight="1">
      <c r="B274" s="60"/>
      <c r="C274" s="60"/>
      <c r="D274" s="60"/>
      <c r="E274" s="60"/>
    </row>
    <row r="275" ht="15.75" customHeight="1">
      <c r="B275" s="60"/>
      <c r="C275" s="60"/>
      <c r="D275" s="60"/>
      <c r="E275" s="60"/>
    </row>
    <row r="276" ht="15.75" customHeight="1">
      <c r="B276" s="60"/>
      <c r="C276" s="60"/>
      <c r="D276" s="60"/>
      <c r="E276" s="60"/>
    </row>
    <row r="277" ht="15.75" customHeight="1">
      <c r="B277" s="60"/>
      <c r="C277" s="60"/>
      <c r="D277" s="60"/>
      <c r="E277" s="60"/>
    </row>
    <row r="278" ht="15.75" customHeight="1">
      <c r="B278" s="60"/>
      <c r="C278" s="60"/>
      <c r="D278" s="60"/>
      <c r="E278" s="60"/>
    </row>
    <row r="279" ht="15.75" customHeight="1">
      <c r="B279" s="60"/>
      <c r="C279" s="60"/>
      <c r="D279" s="60"/>
      <c r="E279" s="60"/>
    </row>
    <row r="280" ht="15.75" customHeight="1">
      <c r="B280" s="60"/>
      <c r="C280" s="60"/>
      <c r="D280" s="60"/>
      <c r="E280" s="60"/>
    </row>
    <row r="281" ht="15.75" customHeight="1">
      <c r="B281" s="60"/>
      <c r="C281" s="60"/>
      <c r="D281" s="60"/>
      <c r="E281" s="60"/>
    </row>
    <row r="282" ht="15.75" customHeight="1">
      <c r="B282" s="60"/>
      <c r="C282" s="60"/>
      <c r="D282" s="60"/>
      <c r="E282" s="60"/>
    </row>
    <row r="283" ht="15.75" customHeight="1">
      <c r="B283" s="60"/>
      <c r="C283" s="60"/>
      <c r="D283" s="60"/>
      <c r="E283" s="60"/>
    </row>
    <row r="284" ht="15.75" customHeight="1">
      <c r="B284" s="60"/>
      <c r="C284" s="60"/>
      <c r="D284" s="60"/>
      <c r="E284" s="60"/>
    </row>
    <row r="285" ht="15.75" customHeight="1">
      <c r="B285" s="60"/>
      <c r="C285" s="60"/>
      <c r="D285" s="60"/>
      <c r="E285" s="60"/>
    </row>
    <row r="286" ht="15.75" customHeight="1">
      <c r="B286" s="60"/>
      <c r="C286" s="60"/>
      <c r="D286" s="60"/>
      <c r="E286" s="60"/>
    </row>
    <row r="287" ht="15.75" customHeight="1">
      <c r="B287" s="60"/>
      <c r="C287" s="60"/>
      <c r="D287" s="60"/>
      <c r="E287" s="60"/>
    </row>
    <row r="288" ht="15.75" customHeight="1">
      <c r="B288" s="60"/>
      <c r="C288" s="60"/>
      <c r="D288" s="60"/>
      <c r="E288" s="60"/>
    </row>
    <row r="289" ht="15.75" customHeight="1">
      <c r="B289" s="60"/>
      <c r="C289" s="60"/>
      <c r="D289" s="60"/>
      <c r="E289" s="60"/>
    </row>
    <row r="290" ht="15.75" customHeight="1">
      <c r="B290" s="60"/>
      <c r="C290" s="60"/>
      <c r="D290" s="60"/>
      <c r="E290" s="60"/>
    </row>
    <row r="291" ht="15.75" customHeight="1">
      <c r="B291" s="60"/>
      <c r="C291" s="60"/>
      <c r="D291" s="60"/>
      <c r="E291" s="60"/>
    </row>
    <row r="292" ht="15.75" customHeight="1">
      <c r="B292" s="60"/>
      <c r="C292" s="60"/>
      <c r="D292" s="60"/>
      <c r="E292" s="60"/>
    </row>
    <row r="293" ht="15.75" customHeight="1">
      <c r="B293" s="60"/>
      <c r="C293" s="60"/>
      <c r="D293" s="60"/>
      <c r="E293" s="60"/>
    </row>
    <row r="294" ht="15.75" customHeight="1">
      <c r="B294" s="60"/>
      <c r="C294" s="60"/>
      <c r="D294" s="60"/>
      <c r="E294" s="60"/>
    </row>
    <row r="295" ht="15.75" customHeight="1">
      <c r="B295" s="60"/>
      <c r="C295" s="60"/>
      <c r="D295" s="60"/>
      <c r="E295" s="60"/>
    </row>
    <row r="296" ht="15.75" customHeight="1">
      <c r="B296" s="60"/>
      <c r="C296" s="60"/>
      <c r="D296" s="60"/>
      <c r="E296" s="60"/>
    </row>
    <row r="297" ht="15.75" customHeight="1">
      <c r="B297" s="60"/>
      <c r="C297" s="60"/>
      <c r="D297" s="60"/>
      <c r="E297" s="60"/>
    </row>
    <row r="298" ht="15.75" customHeight="1">
      <c r="B298" s="60"/>
      <c r="C298" s="60"/>
      <c r="D298" s="60"/>
      <c r="E298" s="60"/>
    </row>
    <row r="299" ht="15.75" customHeight="1">
      <c r="B299" s="60"/>
      <c r="C299" s="60"/>
      <c r="D299" s="60"/>
      <c r="E299" s="60"/>
    </row>
    <row r="300" ht="15.75" customHeight="1">
      <c r="B300" s="60"/>
      <c r="C300" s="60"/>
      <c r="D300" s="60"/>
      <c r="E300" s="60"/>
    </row>
    <row r="301" ht="15.75" customHeight="1">
      <c r="B301" s="60"/>
      <c r="C301" s="60"/>
      <c r="D301" s="60"/>
      <c r="E301" s="60"/>
    </row>
    <row r="302" ht="15.75" customHeight="1">
      <c r="B302" s="60"/>
      <c r="C302" s="60"/>
      <c r="D302" s="60"/>
      <c r="E302" s="60"/>
    </row>
    <row r="303" ht="15.75" customHeight="1">
      <c r="B303" s="60"/>
      <c r="C303" s="60"/>
      <c r="D303" s="60"/>
      <c r="E303" s="60"/>
    </row>
    <row r="304" ht="15.75" customHeight="1">
      <c r="B304" s="60"/>
      <c r="C304" s="60"/>
      <c r="D304" s="60"/>
      <c r="E304" s="60"/>
    </row>
    <row r="305" ht="15.75" customHeight="1">
      <c r="B305" s="60"/>
      <c r="C305" s="60"/>
      <c r="D305" s="60"/>
      <c r="E305" s="60"/>
    </row>
    <row r="306" ht="15.75" customHeight="1">
      <c r="B306" s="60"/>
      <c r="C306" s="60"/>
      <c r="D306" s="60"/>
      <c r="E306" s="60"/>
    </row>
    <row r="307" ht="15.75" customHeight="1">
      <c r="B307" s="60"/>
      <c r="C307" s="60"/>
      <c r="D307" s="60"/>
      <c r="E307" s="60"/>
    </row>
    <row r="308" ht="15.75" customHeight="1">
      <c r="B308" s="60"/>
      <c r="C308" s="60"/>
      <c r="D308" s="60"/>
      <c r="E308" s="60"/>
    </row>
    <row r="309" ht="15.75" customHeight="1">
      <c r="B309" s="60"/>
      <c r="C309" s="60"/>
      <c r="D309" s="60"/>
      <c r="E309" s="60"/>
    </row>
    <row r="310" ht="15.75" customHeight="1">
      <c r="B310" s="60"/>
      <c r="C310" s="60"/>
      <c r="D310" s="60"/>
      <c r="E310" s="60"/>
    </row>
    <row r="311" ht="15.75" customHeight="1">
      <c r="B311" s="60"/>
      <c r="C311" s="60"/>
      <c r="D311" s="60"/>
      <c r="E311" s="60"/>
    </row>
    <row r="312" ht="15.75" customHeight="1">
      <c r="B312" s="60"/>
      <c r="C312" s="60"/>
      <c r="D312" s="60"/>
      <c r="E312" s="60"/>
    </row>
    <row r="313" ht="15.75" customHeight="1">
      <c r="B313" s="60"/>
      <c r="C313" s="60"/>
      <c r="D313" s="60"/>
      <c r="E313" s="60"/>
    </row>
    <row r="314" ht="15.75" customHeight="1">
      <c r="B314" s="60"/>
      <c r="C314" s="60"/>
      <c r="D314" s="60"/>
      <c r="E314" s="60"/>
    </row>
    <row r="315" ht="15.75" customHeight="1">
      <c r="B315" s="60"/>
      <c r="C315" s="60"/>
      <c r="D315" s="60"/>
      <c r="E315" s="60"/>
    </row>
    <row r="316" ht="15.75" customHeight="1">
      <c r="B316" s="60"/>
      <c r="C316" s="60"/>
      <c r="D316" s="60"/>
      <c r="E316" s="60"/>
    </row>
    <row r="317" ht="15.75" customHeight="1">
      <c r="B317" s="60"/>
      <c r="C317" s="60"/>
      <c r="D317" s="60"/>
      <c r="E317" s="60"/>
    </row>
    <row r="318" ht="15.75" customHeight="1">
      <c r="B318" s="60"/>
      <c r="C318" s="60"/>
      <c r="D318" s="60"/>
      <c r="E318" s="60"/>
    </row>
    <row r="319" ht="15.75" customHeight="1">
      <c r="B319" s="60"/>
      <c r="C319" s="60"/>
      <c r="D319" s="60"/>
      <c r="E319" s="60"/>
    </row>
    <row r="320" ht="15.75" customHeight="1">
      <c r="B320" s="60"/>
      <c r="C320" s="60"/>
      <c r="D320" s="60"/>
      <c r="E320" s="60"/>
    </row>
    <row r="321" ht="15.75" customHeight="1">
      <c r="B321" s="60"/>
      <c r="C321" s="60"/>
      <c r="D321" s="60"/>
      <c r="E321" s="60"/>
    </row>
    <row r="322" ht="15.75" customHeight="1">
      <c r="B322" s="60"/>
      <c r="C322" s="60"/>
      <c r="D322" s="60"/>
      <c r="E322" s="60"/>
    </row>
    <row r="323" ht="15.75" customHeight="1">
      <c r="B323" s="60"/>
      <c r="C323" s="60"/>
      <c r="D323" s="60"/>
      <c r="E323" s="60"/>
    </row>
    <row r="324" ht="15.75" customHeight="1">
      <c r="B324" s="60"/>
      <c r="C324" s="60"/>
      <c r="D324" s="60"/>
      <c r="E324" s="60"/>
    </row>
    <row r="325" ht="15.75" customHeight="1">
      <c r="B325" s="60"/>
      <c r="C325" s="60"/>
      <c r="D325" s="60"/>
      <c r="E325" s="60"/>
    </row>
    <row r="326" ht="15.75" customHeight="1">
      <c r="B326" s="60"/>
      <c r="C326" s="60"/>
      <c r="D326" s="60"/>
      <c r="E326" s="60"/>
    </row>
    <row r="327" ht="15.75" customHeight="1">
      <c r="B327" s="60"/>
      <c r="C327" s="60"/>
      <c r="D327" s="60"/>
      <c r="E327" s="60"/>
    </row>
    <row r="328" ht="15.75" customHeight="1">
      <c r="B328" s="60"/>
      <c r="C328" s="60"/>
      <c r="D328" s="60"/>
      <c r="E328" s="60"/>
    </row>
    <row r="329" ht="15.75" customHeight="1">
      <c r="B329" s="60"/>
      <c r="C329" s="60"/>
      <c r="D329" s="60"/>
      <c r="E329" s="60"/>
    </row>
    <row r="330" ht="15.75" customHeight="1">
      <c r="B330" s="60"/>
      <c r="C330" s="60"/>
      <c r="D330" s="60"/>
      <c r="E330" s="60"/>
    </row>
    <row r="331" ht="15.75" customHeight="1">
      <c r="B331" s="60"/>
      <c r="C331" s="60"/>
      <c r="D331" s="60"/>
      <c r="E331" s="60"/>
    </row>
    <row r="332" ht="15.75" customHeight="1">
      <c r="B332" s="60"/>
      <c r="C332" s="60"/>
      <c r="D332" s="60"/>
      <c r="E332" s="60"/>
    </row>
    <row r="333" ht="15.75" customHeight="1">
      <c r="B333" s="60"/>
      <c r="C333" s="60"/>
      <c r="D333" s="60"/>
      <c r="E333" s="60"/>
    </row>
    <row r="334" ht="15.75" customHeight="1">
      <c r="B334" s="60"/>
      <c r="C334" s="60"/>
      <c r="D334" s="60"/>
      <c r="E334" s="60"/>
    </row>
    <row r="335" ht="15.75" customHeight="1">
      <c r="B335" s="60"/>
      <c r="C335" s="60"/>
      <c r="D335" s="60"/>
      <c r="E335" s="60"/>
    </row>
    <row r="336" ht="15.75" customHeight="1">
      <c r="B336" s="60"/>
      <c r="C336" s="60"/>
      <c r="D336" s="60"/>
      <c r="E336" s="60"/>
    </row>
    <row r="337" ht="15.75" customHeight="1">
      <c r="B337" s="60"/>
      <c r="C337" s="60"/>
      <c r="D337" s="60"/>
      <c r="E337" s="60"/>
    </row>
    <row r="338" ht="15.75" customHeight="1">
      <c r="B338" s="60"/>
      <c r="C338" s="60"/>
      <c r="D338" s="60"/>
      <c r="E338" s="60"/>
    </row>
    <row r="339" ht="15.75" customHeight="1">
      <c r="B339" s="60"/>
      <c r="C339" s="60"/>
      <c r="D339" s="60"/>
      <c r="E339" s="60"/>
    </row>
    <row r="340" ht="15.75" customHeight="1">
      <c r="B340" s="60"/>
      <c r="C340" s="60"/>
      <c r="D340" s="60"/>
      <c r="E340" s="60"/>
    </row>
    <row r="341" ht="15.75" customHeight="1">
      <c r="B341" s="60"/>
      <c r="C341" s="60"/>
      <c r="D341" s="60"/>
      <c r="E341" s="60"/>
    </row>
    <row r="342" ht="15.75" customHeight="1">
      <c r="B342" s="60"/>
      <c r="C342" s="60"/>
      <c r="D342" s="60"/>
      <c r="E342" s="60"/>
    </row>
    <row r="343" ht="15.75" customHeight="1">
      <c r="B343" s="60"/>
      <c r="C343" s="60"/>
      <c r="D343" s="60"/>
      <c r="E343" s="60"/>
    </row>
    <row r="344" ht="15.75" customHeight="1">
      <c r="B344" s="60"/>
      <c r="C344" s="60"/>
      <c r="D344" s="60"/>
      <c r="E344" s="60"/>
    </row>
    <row r="345" ht="15.75" customHeight="1">
      <c r="B345" s="60"/>
      <c r="C345" s="60"/>
      <c r="D345" s="60"/>
      <c r="E345" s="60"/>
    </row>
    <row r="346" ht="15.75" customHeight="1">
      <c r="B346" s="60"/>
      <c r="C346" s="60"/>
      <c r="D346" s="60"/>
      <c r="E346" s="60"/>
    </row>
    <row r="347" ht="15.75" customHeight="1">
      <c r="B347" s="60"/>
      <c r="C347" s="60"/>
      <c r="D347" s="60"/>
      <c r="E347" s="60"/>
    </row>
    <row r="348" ht="15.75" customHeight="1">
      <c r="B348" s="60"/>
      <c r="C348" s="60"/>
      <c r="D348" s="60"/>
      <c r="E348" s="60"/>
    </row>
    <row r="349" ht="15.75" customHeight="1">
      <c r="B349" s="60"/>
      <c r="C349" s="60"/>
      <c r="D349" s="60"/>
      <c r="E349" s="60"/>
    </row>
    <row r="350" ht="15.75" customHeight="1">
      <c r="B350" s="60"/>
      <c r="C350" s="60"/>
      <c r="D350" s="60"/>
      <c r="E350" s="60"/>
    </row>
    <row r="351" ht="15.75" customHeight="1">
      <c r="B351" s="60"/>
      <c r="C351" s="60"/>
      <c r="D351" s="60"/>
      <c r="E351" s="60"/>
    </row>
    <row r="352" ht="15.75" customHeight="1">
      <c r="B352" s="60"/>
      <c r="C352" s="60"/>
      <c r="D352" s="60"/>
      <c r="E352" s="60"/>
    </row>
    <row r="353" ht="15.75" customHeight="1">
      <c r="B353" s="60"/>
      <c r="C353" s="60"/>
      <c r="D353" s="60"/>
      <c r="E353" s="60"/>
    </row>
    <row r="354" ht="15.75" customHeight="1">
      <c r="B354" s="60"/>
      <c r="C354" s="60"/>
      <c r="D354" s="60"/>
      <c r="E354" s="60"/>
    </row>
    <row r="355" ht="15.75" customHeight="1">
      <c r="B355" s="60"/>
      <c r="C355" s="60"/>
      <c r="D355" s="60"/>
      <c r="E355" s="60"/>
    </row>
    <row r="356" ht="15.75" customHeight="1">
      <c r="B356" s="60"/>
      <c r="C356" s="60"/>
      <c r="D356" s="60"/>
      <c r="E356" s="60"/>
    </row>
    <row r="357" ht="15.75" customHeight="1">
      <c r="B357" s="60"/>
      <c r="C357" s="60"/>
      <c r="D357" s="60"/>
      <c r="E357" s="60"/>
    </row>
    <row r="358" ht="15.75" customHeight="1">
      <c r="B358" s="60"/>
      <c r="C358" s="60"/>
      <c r="D358" s="60"/>
      <c r="E358" s="60"/>
    </row>
    <row r="359" ht="15.75" customHeight="1">
      <c r="B359" s="60"/>
      <c r="C359" s="60"/>
      <c r="D359" s="60"/>
      <c r="E359" s="60"/>
    </row>
    <row r="360" ht="15.75" customHeight="1">
      <c r="B360" s="60"/>
      <c r="C360" s="60"/>
      <c r="D360" s="60"/>
      <c r="E360" s="60"/>
    </row>
    <row r="361" ht="15.75" customHeight="1">
      <c r="B361" s="60"/>
      <c r="C361" s="60"/>
      <c r="D361" s="60"/>
      <c r="E361" s="60"/>
    </row>
    <row r="362" ht="15.75" customHeight="1">
      <c r="B362" s="60"/>
      <c r="C362" s="60"/>
      <c r="D362" s="60"/>
      <c r="E362" s="60"/>
    </row>
    <row r="363" ht="15.75" customHeight="1">
      <c r="B363" s="60"/>
      <c r="C363" s="60"/>
      <c r="D363" s="60"/>
      <c r="E363" s="60"/>
    </row>
    <row r="364" ht="15.75" customHeight="1">
      <c r="B364" s="60"/>
      <c r="C364" s="60"/>
      <c r="D364" s="60"/>
      <c r="E364" s="60"/>
    </row>
    <row r="365" ht="15.75" customHeight="1">
      <c r="B365" s="60"/>
      <c r="C365" s="60"/>
      <c r="D365" s="60"/>
      <c r="E365" s="60"/>
    </row>
    <row r="366" ht="15.75" customHeight="1">
      <c r="B366" s="60"/>
      <c r="C366" s="60"/>
      <c r="D366" s="60"/>
      <c r="E366" s="60"/>
    </row>
    <row r="367" ht="15.75" customHeight="1">
      <c r="B367" s="60"/>
      <c r="C367" s="60"/>
      <c r="D367" s="60"/>
      <c r="E367" s="60"/>
    </row>
    <row r="368" ht="15.75" customHeight="1">
      <c r="B368" s="60"/>
      <c r="C368" s="60"/>
      <c r="D368" s="60"/>
      <c r="E368" s="60"/>
    </row>
    <row r="369" ht="15.75" customHeight="1">
      <c r="B369" s="60"/>
      <c r="C369" s="60"/>
      <c r="D369" s="60"/>
      <c r="E369" s="60"/>
    </row>
    <row r="370" ht="15.75" customHeight="1">
      <c r="B370" s="60"/>
      <c r="C370" s="60"/>
      <c r="D370" s="60"/>
      <c r="E370" s="60"/>
    </row>
    <row r="371" ht="15.75" customHeight="1">
      <c r="B371" s="60"/>
      <c r="C371" s="60"/>
      <c r="D371" s="60"/>
      <c r="E371" s="60"/>
    </row>
    <row r="372" ht="15.75" customHeight="1">
      <c r="B372" s="60"/>
      <c r="C372" s="60"/>
      <c r="D372" s="60"/>
      <c r="E372" s="60"/>
    </row>
    <row r="373" ht="15.75" customHeight="1">
      <c r="B373" s="60"/>
      <c r="C373" s="60"/>
      <c r="D373" s="60"/>
      <c r="E373" s="60"/>
    </row>
    <row r="374" ht="15.75" customHeight="1">
      <c r="B374" s="60"/>
      <c r="C374" s="60"/>
      <c r="D374" s="60"/>
      <c r="E374" s="60"/>
    </row>
    <row r="375" ht="15.75" customHeight="1">
      <c r="B375" s="60"/>
      <c r="C375" s="60"/>
      <c r="D375" s="60"/>
      <c r="E375" s="60"/>
    </row>
    <row r="376" ht="15.75" customHeight="1">
      <c r="B376" s="60"/>
      <c r="C376" s="60"/>
      <c r="D376" s="60"/>
      <c r="E376" s="60"/>
    </row>
    <row r="377" ht="15.75" customHeight="1">
      <c r="B377" s="60"/>
      <c r="C377" s="60"/>
      <c r="D377" s="60"/>
      <c r="E377" s="60"/>
    </row>
    <row r="378" ht="15.75" customHeight="1">
      <c r="B378" s="60"/>
      <c r="C378" s="60"/>
      <c r="D378" s="60"/>
      <c r="E378" s="60"/>
    </row>
    <row r="379" ht="15.75" customHeight="1">
      <c r="B379" s="60"/>
      <c r="C379" s="60"/>
      <c r="D379" s="60"/>
      <c r="E379" s="60"/>
    </row>
    <row r="380" ht="15.75" customHeight="1">
      <c r="B380" s="60"/>
      <c r="C380" s="60"/>
      <c r="D380" s="60"/>
      <c r="E380" s="60"/>
    </row>
    <row r="381" ht="15.75" customHeight="1">
      <c r="B381" s="60"/>
      <c r="C381" s="60"/>
      <c r="D381" s="60"/>
      <c r="E381" s="60"/>
    </row>
    <row r="382" ht="15.75" customHeight="1">
      <c r="B382" s="60"/>
      <c r="C382" s="60"/>
      <c r="D382" s="60"/>
      <c r="E382" s="60"/>
    </row>
    <row r="383" ht="15.75" customHeight="1">
      <c r="B383" s="60"/>
      <c r="C383" s="60"/>
      <c r="D383" s="60"/>
      <c r="E383" s="60"/>
    </row>
    <row r="384" ht="15.75" customHeight="1">
      <c r="B384" s="60"/>
      <c r="C384" s="60"/>
      <c r="D384" s="60"/>
      <c r="E384" s="60"/>
    </row>
    <row r="385" ht="15.75" customHeight="1">
      <c r="B385" s="60"/>
      <c r="C385" s="60"/>
      <c r="D385" s="60"/>
      <c r="E385" s="60"/>
    </row>
    <row r="386" ht="15.75" customHeight="1">
      <c r="B386" s="60"/>
      <c r="C386" s="60"/>
      <c r="D386" s="60"/>
      <c r="E386" s="60"/>
    </row>
    <row r="387" ht="15.75" customHeight="1">
      <c r="B387" s="60"/>
      <c r="C387" s="60"/>
      <c r="D387" s="60"/>
      <c r="E387" s="60"/>
    </row>
    <row r="388" ht="15.75" customHeight="1">
      <c r="B388" s="60"/>
      <c r="C388" s="60"/>
      <c r="D388" s="60"/>
      <c r="E388" s="60"/>
    </row>
    <row r="389" ht="15.75" customHeight="1">
      <c r="B389" s="60"/>
      <c r="C389" s="60"/>
      <c r="D389" s="60"/>
      <c r="E389" s="60"/>
    </row>
    <row r="390" ht="15.75" customHeight="1">
      <c r="B390" s="60"/>
      <c r="C390" s="60"/>
      <c r="D390" s="60"/>
      <c r="E390" s="60"/>
    </row>
    <row r="391" ht="15.75" customHeight="1">
      <c r="B391" s="60"/>
      <c r="C391" s="60"/>
      <c r="D391" s="60"/>
      <c r="E391" s="60"/>
    </row>
    <row r="392" ht="15.75" customHeight="1">
      <c r="B392" s="60"/>
      <c r="C392" s="60"/>
      <c r="D392" s="60"/>
      <c r="E392" s="60"/>
    </row>
    <row r="393" ht="15.75" customHeight="1">
      <c r="B393" s="60"/>
      <c r="C393" s="60"/>
      <c r="D393" s="60"/>
      <c r="E393" s="60"/>
    </row>
    <row r="394" ht="15.75" customHeight="1">
      <c r="B394" s="60"/>
      <c r="C394" s="60"/>
      <c r="D394" s="60"/>
      <c r="E394" s="60"/>
    </row>
    <row r="395" ht="15.75" customHeight="1">
      <c r="B395" s="60"/>
      <c r="C395" s="60"/>
      <c r="D395" s="60"/>
      <c r="E395" s="60"/>
    </row>
    <row r="396" ht="15.75" customHeight="1">
      <c r="B396" s="60"/>
      <c r="C396" s="60"/>
      <c r="D396" s="60"/>
      <c r="E396" s="60"/>
    </row>
    <row r="397" ht="15.75" customHeight="1">
      <c r="B397" s="60"/>
      <c r="C397" s="60"/>
      <c r="D397" s="60"/>
      <c r="E397" s="60"/>
    </row>
    <row r="398" ht="15.75" customHeight="1">
      <c r="B398" s="60"/>
      <c r="C398" s="60"/>
      <c r="D398" s="60"/>
      <c r="E398" s="60"/>
    </row>
    <row r="399" ht="15.75" customHeight="1">
      <c r="B399" s="60"/>
      <c r="C399" s="60"/>
      <c r="D399" s="60"/>
      <c r="E399" s="60"/>
    </row>
    <row r="400" ht="15.75" customHeight="1">
      <c r="B400" s="60"/>
      <c r="C400" s="60"/>
      <c r="D400" s="60"/>
      <c r="E400" s="60"/>
    </row>
    <row r="401" ht="15.75" customHeight="1">
      <c r="B401" s="60"/>
      <c r="C401" s="60"/>
      <c r="D401" s="60"/>
      <c r="E401" s="60"/>
    </row>
    <row r="402" ht="15.75" customHeight="1">
      <c r="B402" s="60"/>
      <c r="C402" s="60"/>
      <c r="D402" s="60"/>
      <c r="E402" s="60"/>
    </row>
    <row r="403" ht="15.75" customHeight="1">
      <c r="B403" s="60"/>
      <c r="C403" s="60"/>
      <c r="D403" s="60"/>
      <c r="E403" s="60"/>
    </row>
    <row r="404" ht="15.75" customHeight="1">
      <c r="B404" s="60"/>
      <c r="C404" s="60"/>
      <c r="D404" s="60"/>
      <c r="E404" s="60"/>
    </row>
    <row r="405" ht="15.75" customHeight="1">
      <c r="B405" s="60"/>
      <c r="C405" s="60"/>
      <c r="D405" s="60"/>
      <c r="E405" s="60"/>
    </row>
    <row r="406" ht="15.75" customHeight="1">
      <c r="B406" s="60"/>
      <c r="C406" s="60"/>
      <c r="D406" s="60"/>
      <c r="E406" s="60"/>
    </row>
    <row r="407" ht="15.75" customHeight="1">
      <c r="B407" s="60"/>
      <c r="C407" s="60"/>
      <c r="D407" s="60"/>
      <c r="E407" s="60"/>
    </row>
    <row r="408" ht="15.75" customHeight="1">
      <c r="B408" s="60"/>
      <c r="C408" s="60"/>
      <c r="D408" s="60"/>
      <c r="E408" s="60"/>
    </row>
    <row r="409" ht="15.75" customHeight="1">
      <c r="B409" s="60"/>
      <c r="C409" s="60"/>
      <c r="D409" s="60"/>
      <c r="E409" s="60"/>
    </row>
    <row r="410" ht="15.75" customHeight="1">
      <c r="B410" s="60"/>
      <c r="C410" s="60"/>
      <c r="D410" s="60"/>
      <c r="E410" s="60"/>
    </row>
    <row r="411" ht="15.75" customHeight="1">
      <c r="B411" s="60"/>
      <c r="C411" s="60"/>
      <c r="D411" s="60"/>
      <c r="E411" s="60"/>
    </row>
    <row r="412" ht="15.75" customHeight="1">
      <c r="B412" s="60"/>
      <c r="C412" s="60"/>
      <c r="D412" s="60"/>
      <c r="E412" s="60"/>
    </row>
    <row r="413" ht="15.75" customHeight="1">
      <c r="B413" s="60"/>
      <c r="C413" s="60"/>
      <c r="D413" s="60"/>
      <c r="E413" s="60"/>
    </row>
    <row r="414" ht="15.75" customHeight="1">
      <c r="B414" s="60"/>
      <c r="C414" s="60"/>
      <c r="D414" s="60"/>
      <c r="E414" s="60"/>
    </row>
    <row r="415" ht="15.75" customHeight="1">
      <c r="B415" s="60"/>
      <c r="C415" s="60"/>
      <c r="D415" s="60"/>
      <c r="E415" s="60"/>
    </row>
    <row r="416" ht="15.75" customHeight="1">
      <c r="B416" s="60"/>
      <c r="C416" s="60"/>
      <c r="D416" s="60"/>
      <c r="E416" s="60"/>
    </row>
    <row r="417" ht="15.75" customHeight="1">
      <c r="B417" s="60"/>
      <c r="C417" s="60"/>
      <c r="D417" s="60"/>
      <c r="E417" s="60"/>
    </row>
    <row r="418" ht="15.75" customHeight="1">
      <c r="B418" s="60"/>
      <c r="C418" s="60"/>
      <c r="D418" s="60"/>
      <c r="E418" s="60"/>
    </row>
    <row r="419" ht="15.75" customHeight="1">
      <c r="B419" s="60"/>
      <c r="C419" s="60"/>
      <c r="D419" s="60"/>
      <c r="E419" s="60"/>
    </row>
    <row r="420" ht="15.75" customHeight="1">
      <c r="B420" s="60"/>
      <c r="C420" s="60"/>
      <c r="D420" s="60"/>
      <c r="E420" s="60"/>
    </row>
    <row r="421" ht="15.75" customHeight="1">
      <c r="B421" s="60"/>
      <c r="C421" s="60"/>
      <c r="D421" s="60"/>
      <c r="E421" s="60"/>
    </row>
    <row r="422" ht="15.75" customHeight="1">
      <c r="B422" s="60"/>
      <c r="C422" s="60"/>
      <c r="D422" s="60"/>
      <c r="E422" s="60"/>
    </row>
    <row r="423" ht="15.75" customHeight="1">
      <c r="B423" s="60"/>
      <c r="C423" s="60"/>
      <c r="D423" s="60"/>
      <c r="E423" s="60"/>
    </row>
    <row r="424" ht="15.75" customHeight="1">
      <c r="B424" s="60"/>
      <c r="C424" s="60"/>
      <c r="D424" s="60"/>
      <c r="E424" s="60"/>
    </row>
    <row r="425" ht="15.75" customHeight="1">
      <c r="B425" s="60"/>
      <c r="C425" s="60"/>
      <c r="D425" s="60"/>
      <c r="E425" s="60"/>
    </row>
    <row r="426" ht="15.75" customHeight="1">
      <c r="B426" s="60"/>
      <c r="C426" s="60"/>
      <c r="D426" s="60"/>
      <c r="E426" s="60"/>
    </row>
    <row r="427" ht="15.75" customHeight="1">
      <c r="B427" s="60"/>
      <c r="C427" s="60"/>
      <c r="D427" s="60"/>
      <c r="E427" s="60"/>
    </row>
    <row r="428" ht="15.75" customHeight="1">
      <c r="B428" s="60"/>
      <c r="C428" s="60"/>
      <c r="D428" s="60"/>
      <c r="E428" s="60"/>
    </row>
    <row r="429" ht="15.75" customHeight="1">
      <c r="B429" s="60"/>
      <c r="C429" s="60"/>
      <c r="D429" s="60"/>
      <c r="E429" s="60"/>
    </row>
    <row r="430" ht="15.75" customHeight="1">
      <c r="B430" s="60"/>
      <c r="C430" s="60"/>
      <c r="D430" s="60"/>
      <c r="E430" s="60"/>
    </row>
    <row r="431" ht="15.75" customHeight="1">
      <c r="B431" s="60"/>
      <c r="C431" s="60"/>
      <c r="D431" s="60"/>
      <c r="E431" s="60"/>
    </row>
    <row r="432" ht="15.75" customHeight="1">
      <c r="B432" s="60"/>
      <c r="C432" s="60"/>
      <c r="D432" s="60"/>
      <c r="E432" s="60"/>
    </row>
    <row r="433" ht="15.75" customHeight="1">
      <c r="B433" s="60"/>
      <c r="C433" s="60"/>
      <c r="D433" s="60"/>
      <c r="E433" s="60"/>
    </row>
    <row r="434" ht="15.75" customHeight="1">
      <c r="B434" s="60"/>
      <c r="C434" s="60"/>
      <c r="D434" s="60"/>
      <c r="E434" s="60"/>
    </row>
    <row r="435" ht="15.75" customHeight="1">
      <c r="B435" s="60"/>
      <c r="C435" s="60"/>
      <c r="D435" s="60"/>
      <c r="E435" s="60"/>
    </row>
    <row r="436" ht="15.75" customHeight="1">
      <c r="B436" s="60"/>
      <c r="C436" s="60"/>
      <c r="D436" s="60"/>
      <c r="E436" s="60"/>
    </row>
    <row r="437" ht="15.75" customHeight="1">
      <c r="B437" s="60"/>
      <c r="C437" s="60"/>
      <c r="D437" s="60"/>
      <c r="E437" s="60"/>
    </row>
    <row r="438" ht="15.75" customHeight="1">
      <c r="B438" s="60"/>
      <c r="C438" s="60"/>
      <c r="D438" s="60"/>
      <c r="E438" s="60"/>
    </row>
    <row r="439" ht="15.75" customHeight="1">
      <c r="B439" s="60"/>
      <c r="C439" s="60"/>
      <c r="D439" s="60"/>
      <c r="E439" s="60"/>
    </row>
    <row r="440" ht="15.75" customHeight="1">
      <c r="B440" s="60"/>
      <c r="C440" s="60"/>
      <c r="D440" s="60"/>
      <c r="E440" s="60"/>
    </row>
    <row r="441" ht="15.75" customHeight="1">
      <c r="B441" s="60"/>
      <c r="C441" s="60"/>
      <c r="D441" s="60"/>
      <c r="E441" s="60"/>
    </row>
    <row r="442" ht="15.75" customHeight="1">
      <c r="B442" s="60"/>
      <c r="C442" s="60"/>
      <c r="D442" s="60"/>
      <c r="E442" s="60"/>
    </row>
    <row r="443" ht="15.75" customHeight="1">
      <c r="B443" s="60"/>
      <c r="C443" s="60"/>
      <c r="D443" s="60"/>
      <c r="E443" s="60"/>
    </row>
    <row r="444" ht="15.75" customHeight="1">
      <c r="B444" s="60"/>
      <c r="C444" s="60"/>
      <c r="D444" s="60"/>
      <c r="E444" s="60"/>
    </row>
    <row r="445" ht="15.75" customHeight="1">
      <c r="B445" s="60"/>
      <c r="C445" s="60"/>
      <c r="D445" s="60"/>
      <c r="E445" s="60"/>
    </row>
    <row r="446" ht="15.75" customHeight="1">
      <c r="B446" s="60"/>
      <c r="C446" s="60"/>
      <c r="D446" s="60"/>
      <c r="E446" s="60"/>
    </row>
    <row r="447" ht="15.75" customHeight="1">
      <c r="B447" s="60"/>
      <c r="C447" s="60"/>
      <c r="D447" s="60"/>
      <c r="E447" s="60"/>
    </row>
    <row r="448" ht="15.75" customHeight="1">
      <c r="B448" s="60"/>
      <c r="C448" s="60"/>
      <c r="D448" s="60"/>
      <c r="E448" s="60"/>
    </row>
    <row r="449" ht="15.75" customHeight="1">
      <c r="B449" s="60"/>
      <c r="C449" s="60"/>
      <c r="D449" s="60"/>
      <c r="E449" s="60"/>
    </row>
    <row r="450" ht="15.75" customHeight="1">
      <c r="B450" s="60"/>
      <c r="C450" s="60"/>
      <c r="D450" s="60"/>
      <c r="E450" s="60"/>
    </row>
    <row r="451" ht="15.75" customHeight="1">
      <c r="B451" s="60"/>
      <c r="C451" s="60"/>
      <c r="D451" s="60"/>
      <c r="E451" s="60"/>
    </row>
    <row r="452" ht="15.75" customHeight="1">
      <c r="B452" s="60"/>
      <c r="C452" s="60"/>
      <c r="D452" s="60"/>
      <c r="E452" s="60"/>
    </row>
    <row r="453" ht="15.75" customHeight="1">
      <c r="B453" s="60"/>
      <c r="C453" s="60"/>
      <c r="D453" s="60"/>
      <c r="E453" s="60"/>
    </row>
    <row r="454" ht="15.75" customHeight="1">
      <c r="B454" s="60"/>
      <c r="C454" s="60"/>
      <c r="D454" s="60"/>
      <c r="E454" s="60"/>
    </row>
    <row r="455" ht="15.75" customHeight="1">
      <c r="B455" s="60"/>
      <c r="C455" s="60"/>
      <c r="D455" s="60"/>
      <c r="E455" s="60"/>
    </row>
    <row r="456" ht="15.75" customHeight="1">
      <c r="B456" s="60"/>
      <c r="C456" s="60"/>
      <c r="D456" s="60"/>
      <c r="E456" s="60"/>
    </row>
    <row r="457" ht="15.75" customHeight="1">
      <c r="B457" s="60"/>
      <c r="C457" s="60"/>
      <c r="D457" s="60"/>
      <c r="E457" s="60"/>
    </row>
    <row r="458" ht="15.75" customHeight="1">
      <c r="B458" s="60"/>
      <c r="C458" s="60"/>
      <c r="D458" s="60"/>
      <c r="E458" s="60"/>
    </row>
    <row r="459" ht="15.75" customHeight="1">
      <c r="B459" s="60"/>
      <c r="C459" s="60"/>
      <c r="D459" s="60"/>
      <c r="E459" s="60"/>
    </row>
    <row r="460" ht="15.75" customHeight="1">
      <c r="B460" s="60"/>
      <c r="C460" s="60"/>
      <c r="D460" s="60"/>
      <c r="E460" s="60"/>
    </row>
    <row r="461" ht="15.75" customHeight="1">
      <c r="B461" s="60"/>
      <c r="C461" s="60"/>
      <c r="D461" s="60"/>
      <c r="E461" s="60"/>
    </row>
    <row r="462" ht="15.75" customHeight="1">
      <c r="B462" s="60"/>
      <c r="C462" s="60"/>
      <c r="D462" s="60"/>
      <c r="E462" s="60"/>
    </row>
    <row r="463" ht="15.75" customHeight="1">
      <c r="B463" s="60"/>
      <c r="C463" s="60"/>
      <c r="D463" s="60"/>
      <c r="E463" s="60"/>
    </row>
    <row r="464" ht="15.75" customHeight="1">
      <c r="B464" s="60"/>
      <c r="C464" s="60"/>
      <c r="D464" s="60"/>
      <c r="E464" s="60"/>
    </row>
    <row r="465" ht="15.75" customHeight="1">
      <c r="B465" s="60"/>
      <c r="C465" s="60"/>
      <c r="D465" s="60"/>
      <c r="E465" s="60"/>
    </row>
    <row r="466" ht="15.75" customHeight="1">
      <c r="B466" s="60"/>
      <c r="C466" s="60"/>
      <c r="D466" s="60"/>
      <c r="E466" s="60"/>
    </row>
    <row r="467" ht="15.75" customHeight="1">
      <c r="B467" s="60"/>
      <c r="C467" s="60"/>
      <c r="D467" s="60"/>
      <c r="E467" s="60"/>
    </row>
    <row r="468" ht="15.75" customHeight="1">
      <c r="B468" s="60"/>
      <c r="C468" s="60"/>
      <c r="D468" s="60"/>
      <c r="E468" s="60"/>
    </row>
    <row r="469" ht="15.75" customHeight="1">
      <c r="B469" s="60"/>
      <c r="C469" s="60"/>
      <c r="D469" s="60"/>
      <c r="E469" s="60"/>
    </row>
    <row r="470" ht="15.75" customHeight="1">
      <c r="B470" s="60"/>
      <c r="C470" s="60"/>
      <c r="D470" s="60"/>
      <c r="E470" s="60"/>
    </row>
    <row r="471" ht="15.75" customHeight="1">
      <c r="B471" s="60"/>
      <c r="C471" s="60"/>
      <c r="D471" s="60"/>
      <c r="E471" s="60"/>
    </row>
    <row r="472" ht="15.75" customHeight="1">
      <c r="B472" s="60"/>
      <c r="C472" s="60"/>
      <c r="D472" s="60"/>
      <c r="E472" s="60"/>
    </row>
    <row r="473" ht="15.75" customHeight="1">
      <c r="B473" s="60"/>
      <c r="C473" s="60"/>
      <c r="D473" s="60"/>
      <c r="E473" s="60"/>
    </row>
    <row r="474" ht="15.75" customHeight="1">
      <c r="B474" s="60"/>
      <c r="C474" s="60"/>
      <c r="D474" s="60"/>
      <c r="E474" s="60"/>
    </row>
    <row r="475" ht="15.75" customHeight="1">
      <c r="B475" s="60"/>
      <c r="C475" s="60"/>
      <c r="D475" s="60"/>
      <c r="E475" s="60"/>
    </row>
    <row r="476" ht="15.75" customHeight="1">
      <c r="B476" s="60"/>
      <c r="C476" s="60"/>
      <c r="D476" s="60"/>
      <c r="E476" s="60"/>
    </row>
    <row r="477" ht="15.75" customHeight="1">
      <c r="B477" s="60"/>
      <c r="C477" s="60"/>
      <c r="D477" s="60"/>
      <c r="E477" s="60"/>
    </row>
    <row r="478" ht="15.75" customHeight="1">
      <c r="B478" s="60"/>
      <c r="C478" s="60"/>
      <c r="D478" s="60"/>
      <c r="E478" s="60"/>
    </row>
    <row r="479" ht="15.75" customHeight="1">
      <c r="B479" s="60"/>
      <c r="C479" s="60"/>
      <c r="D479" s="60"/>
      <c r="E479" s="60"/>
    </row>
    <row r="480" ht="15.75" customHeight="1">
      <c r="B480" s="60"/>
      <c r="C480" s="60"/>
      <c r="D480" s="60"/>
      <c r="E480" s="60"/>
    </row>
    <row r="481" ht="15.75" customHeight="1">
      <c r="B481" s="60"/>
      <c r="C481" s="60"/>
      <c r="D481" s="60"/>
      <c r="E481" s="60"/>
    </row>
    <row r="482" ht="15.75" customHeight="1">
      <c r="B482" s="60"/>
      <c r="C482" s="60"/>
      <c r="D482" s="60"/>
      <c r="E482" s="60"/>
    </row>
    <row r="483" ht="15.75" customHeight="1">
      <c r="B483" s="60"/>
      <c r="C483" s="60"/>
      <c r="D483" s="60"/>
      <c r="E483" s="60"/>
    </row>
    <row r="484" ht="15.75" customHeight="1">
      <c r="B484" s="60"/>
      <c r="C484" s="60"/>
      <c r="D484" s="60"/>
      <c r="E484" s="60"/>
    </row>
    <row r="485" ht="15.75" customHeight="1">
      <c r="B485" s="60"/>
      <c r="C485" s="60"/>
      <c r="D485" s="60"/>
      <c r="E485" s="60"/>
    </row>
    <row r="486" ht="15.75" customHeight="1">
      <c r="B486" s="60"/>
      <c r="C486" s="60"/>
      <c r="D486" s="60"/>
      <c r="E486" s="60"/>
    </row>
    <row r="487" ht="15.75" customHeight="1">
      <c r="B487" s="60"/>
      <c r="C487" s="60"/>
      <c r="D487" s="60"/>
      <c r="E487" s="60"/>
    </row>
    <row r="488" ht="15.75" customHeight="1">
      <c r="B488" s="60"/>
      <c r="C488" s="60"/>
      <c r="D488" s="60"/>
      <c r="E488" s="60"/>
    </row>
    <row r="489" ht="15.75" customHeight="1">
      <c r="B489" s="60"/>
      <c r="C489" s="60"/>
      <c r="D489" s="60"/>
      <c r="E489" s="60"/>
    </row>
    <row r="490" ht="15.75" customHeight="1">
      <c r="B490" s="60"/>
      <c r="C490" s="60"/>
      <c r="D490" s="60"/>
      <c r="E490" s="60"/>
    </row>
    <row r="491" ht="15.75" customHeight="1">
      <c r="B491" s="60"/>
      <c r="C491" s="60"/>
      <c r="D491" s="60"/>
      <c r="E491" s="60"/>
    </row>
    <row r="492" ht="15.75" customHeight="1">
      <c r="B492" s="60"/>
      <c r="C492" s="60"/>
      <c r="D492" s="60"/>
      <c r="E492" s="60"/>
    </row>
    <row r="493" ht="15.75" customHeight="1">
      <c r="B493" s="60"/>
      <c r="C493" s="60"/>
      <c r="D493" s="60"/>
      <c r="E493" s="60"/>
    </row>
    <row r="494" ht="15.75" customHeight="1">
      <c r="B494" s="60"/>
      <c r="C494" s="60"/>
      <c r="D494" s="60"/>
      <c r="E494" s="60"/>
    </row>
    <row r="495" ht="15.75" customHeight="1">
      <c r="B495" s="60"/>
      <c r="C495" s="60"/>
      <c r="D495" s="60"/>
      <c r="E495" s="60"/>
    </row>
    <row r="496" ht="15.75" customHeight="1">
      <c r="B496" s="60"/>
      <c r="C496" s="60"/>
      <c r="D496" s="60"/>
      <c r="E496" s="60"/>
    </row>
    <row r="497" ht="15.75" customHeight="1">
      <c r="B497" s="60"/>
      <c r="C497" s="60"/>
      <c r="D497" s="60"/>
      <c r="E497" s="60"/>
    </row>
    <row r="498" ht="15.75" customHeight="1">
      <c r="B498" s="60"/>
      <c r="C498" s="60"/>
      <c r="D498" s="60"/>
      <c r="E498" s="60"/>
    </row>
    <row r="499" ht="15.75" customHeight="1">
      <c r="B499" s="60"/>
      <c r="C499" s="60"/>
      <c r="D499" s="60"/>
      <c r="E499" s="60"/>
    </row>
    <row r="500" ht="15.75" customHeight="1">
      <c r="B500" s="60"/>
      <c r="C500" s="60"/>
      <c r="D500" s="60"/>
      <c r="E500" s="60"/>
    </row>
    <row r="501" ht="15.75" customHeight="1">
      <c r="B501" s="60"/>
      <c r="C501" s="60"/>
      <c r="D501" s="60"/>
      <c r="E501" s="60"/>
    </row>
    <row r="502" ht="15.75" customHeight="1">
      <c r="B502" s="60"/>
      <c r="C502" s="60"/>
      <c r="D502" s="60"/>
      <c r="E502" s="60"/>
    </row>
    <row r="503" ht="15.75" customHeight="1">
      <c r="B503" s="60"/>
      <c r="C503" s="60"/>
      <c r="D503" s="60"/>
      <c r="E503" s="60"/>
    </row>
    <row r="504" ht="15.75" customHeight="1">
      <c r="B504" s="60"/>
      <c r="C504" s="60"/>
      <c r="D504" s="60"/>
      <c r="E504" s="60"/>
    </row>
    <row r="505" ht="15.75" customHeight="1">
      <c r="B505" s="60"/>
      <c r="C505" s="60"/>
      <c r="D505" s="60"/>
      <c r="E505" s="60"/>
    </row>
    <row r="506" ht="15.75" customHeight="1">
      <c r="B506" s="60"/>
      <c r="C506" s="60"/>
      <c r="D506" s="60"/>
      <c r="E506" s="60"/>
    </row>
    <row r="507" ht="15.75" customHeight="1">
      <c r="B507" s="60"/>
      <c r="C507" s="60"/>
      <c r="D507" s="60"/>
      <c r="E507" s="60"/>
    </row>
    <row r="508" ht="15.75" customHeight="1">
      <c r="B508" s="60"/>
      <c r="C508" s="60"/>
      <c r="D508" s="60"/>
      <c r="E508" s="60"/>
    </row>
    <row r="509" ht="15.75" customHeight="1">
      <c r="B509" s="60"/>
      <c r="C509" s="60"/>
      <c r="D509" s="60"/>
      <c r="E509" s="60"/>
    </row>
    <row r="510" ht="15.75" customHeight="1">
      <c r="B510" s="60"/>
      <c r="C510" s="60"/>
      <c r="D510" s="60"/>
      <c r="E510" s="60"/>
    </row>
    <row r="511" ht="15.75" customHeight="1">
      <c r="B511" s="60"/>
      <c r="C511" s="60"/>
      <c r="D511" s="60"/>
      <c r="E511" s="60"/>
    </row>
    <row r="512" ht="15.75" customHeight="1">
      <c r="B512" s="60"/>
      <c r="C512" s="60"/>
      <c r="D512" s="60"/>
      <c r="E512" s="60"/>
    </row>
    <row r="513" ht="15.75" customHeight="1">
      <c r="B513" s="60"/>
      <c r="C513" s="60"/>
      <c r="D513" s="60"/>
      <c r="E513" s="60"/>
    </row>
    <row r="514" ht="15.75" customHeight="1">
      <c r="B514" s="60"/>
      <c r="C514" s="60"/>
      <c r="D514" s="60"/>
      <c r="E514" s="60"/>
    </row>
    <row r="515" ht="15.75" customHeight="1">
      <c r="B515" s="60"/>
      <c r="C515" s="60"/>
      <c r="D515" s="60"/>
      <c r="E515" s="60"/>
    </row>
    <row r="516" ht="15.75" customHeight="1">
      <c r="B516" s="60"/>
      <c r="C516" s="60"/>
      <c r="D516" s="60"/>
      <c r="E516" s="60"/>
    </row>
    <row r="517" ht="15.75" customHeight="1">
      <c r="B517" s="60"/>
      <c r="C517" s="60"/>
      <c r="D517" s="60"/>
      <c r="E517" s="60"/>
    </row>
    <row r="518" ht="15.75" customHeight="1">
      <c r="B518" s="60"/>
      <c r="C518" s="60"/>
      <c r="D518" s="60"/>
      <c r="E518" s="60"/>
    </row>
    <row r="519" ht="15.75" customHeight="1">
      <c r="B519" s="60"/>
      <c r="C519" s="60"/>
      <c r="D519" s="60"/>
      <c r="E519" s="60"/>
    </row>
    <row r="520" ht="15.75" customHeight="1">
      <c r="B520" s="60"/>
      <c r="C520" s="60"/>
      <c r="D520" s="60"/>
      <c r="E520" s="60"/>
    </row>
    <row r="521" ht="15.75" customHeight="1">
      <c r="B521" s="60"/>
      <c r="C521" s="60"/>
      <c r="D521" s="60"/>
      <c r="E521" s="60"/>
    </row>
    <row r="522" ht="15.75" customHeight="1">
      <c r="B522" s="60"/>
      <c r="C522" s="60"/>
      <c r="D522" s="60"/>
      <c r="E522" s="60"/>
    </row>
    <row r="523" ht="15.75" customHeight="1">
      <c r="B523" s="60"/>
      <c r="C523" s="60"/>
      <c r="D523" s="60"/>
      <c r="E523" s="60"/>
    </row>
    <row r="524" ht="15.75" customHeight="1">
      <c r="B524" s="60"/>
      <c r="C524" s="60"/>
      <c r="D524" s="60"/>
      <c r="E524" s="60"/>
    </row>
    <row r="525" ht="15.75" customHeight="1">
      <c r="B525" s="60"/>
      <c r="C525" s="60"/>
      <c r="D525" s="60"/>
      <c r="E525" s="60"/>
    </row>
    <row r="526" ht="15.75" customHeight="1">
      <c r="B526" s="60"/>
      <c r="C526" s="60"/>
      <c r="D526" s="60"/>
      <c r="E526" s="60"/>
    </row>
    <row r="527" ht="15.75" customHeight="1">
      <c r="B527" s="60"/>
      <c r="C527" s="60"/>
      <c r="D527" s="60"/>
      <c r="E527" s="60"/>
    </row>
    <row r="528" ht="15.75" customHeight="1">
      <c r="B528" s="60"/>
      <c r="C528" s="60"/>
      <c r="D528" s="60"/>
      <c r="E528" s="60"/>
    </row>
    <row r="529" ht="15.75" customHeight="1">
      <c r="B529" s="60"/>
      <c r="C529" s="60"/>
      <c r="D529" s="60"/>
      <c r="E529" s="60"/>
    </row>
    <row r="530" ht="15.75" customHeight="1">
      <c r="B530" s="60"/>
      <c r="C530" s="60"/>
      <c r="D530" s="60"/>
      <c r="E530" s="60"/>
    </row>
    <row r="531" ht="15.75" customHeight="1">
      <c r="B531" s="60"/>
      <c r="C531" s="60"/>
      <c r="D531" s="60"/>
      <c r="E531" s="60"/>
    </row>
    <row r="532" ht="15.75" customHeight="1">
      <c r="B532" s="60"/>
      <c r="C532" s="60"/>
      <c r="D532" s="60"/>
      <c r="E532" s="60"/>
    </row>
    <row r="533" ht="15.75" customHeight="1">
      <c r="B533" s="60"/>
      <c r="C533" s="60"/>
      <c r="D533" s="60"/>
      <c r="E533" s="60"/>
    </row>
    <row r="534" ht="15.75" customHeight="1">
      <c r="B534" s="60"/>
      <c r="C534" s="60"/>
      <c r="D534" s="60"/>
      <c r="E534" s="60"/>
    </row>
    <row r="535" ht="15.75" customHeight="1">
      <c r="B535" s="60"/>
      <c r="C535" s="60"/>
      <c r="D535" s="60"/>
      <c r="E535" s="60"/>
    </row>
    <row r="536" ht="15.75" customHeight="1">
      <c r="B536" s="60"/>
      <c r="C536" s="60"/>
      <c r="D536" s="60"/>
      <c r="E536" s="60"/>
    </row>
    <row r="537" ht="15.75" customHeight="1">
      <c r="B537" s="60"/>
      <c r="C537" s="60"/>
      <c r="D537" s="60"/>
      <c r="E537" s="60"/>
    </row>
    <row r="538" ht="15.75" customHeight="1">
      <c r="B538" s="60"/>
      <c r="C538" s="60"/>
      <c r="D538" s="60"/>
      <c r="E538" s="60"/>
    </row>
    <row r="539" ht="15.75" customHeight="1">
      <c r="B539" s="60"/>
      <c r="C539" s="60"/>
      <c r="D539" s="60"/>
      <c r="E539" s="60"/>
    </row>
    <row r="540" ht="15.75" customHeight="1">
      <c r="B540" s="60"/>
      <c r="C540" s="60"/>
      <c r="D540" s="60"/>
      <c r="E540" s="60"/>
    </row>
    <row r="541" ht="15.75" customHeight="1">
      <c r="B541" s="60"/>
      <c r="C541" s="60"/>
      <c r="D541" s="60"/>
      <c r="E541" s="60"/>
    </row>
    <row r="542" ht="15.75" customHeight="1">
      <c r="B542" s="60"/>
      <c r="C542" s="60"/>
      <c r="D542" s="60"/>
      <c r="E542" s="60"/>
    </row>
    <row r="543" ht="15.75" customHeight="1">
      <c r="B543" s="60"/>
      <c r="C543" s="60"/>
      <c r="D543" s="60"/>
      <c r="E543" s="60"/>
    </row>
    <row r="544" ht="15.75" customHeight="1">
      <c r="B544" s="60"/>
      <c r="C544" s="60"/>
      <c r="D544" s="60"/>
      <c r="E544" s="60"/>
    </row>
    <row r="545" ht="15.75" customHeight="1">
      <c r="B545" s="60"/>
      <c r="C545" s="60"/>
      <c r="D545" s="60"/>
      <c r="E545" s="60"/>
    </row>
    <row r="546" ht="15.75" customHeight="1">
      <c r="B546" s="60"/>
      <c r="C546" s="60"/>
      <c r="D546" s="60"/>
      <c r="E546" s="60"/>
    </row>
    <row r="547" ht="15.75" customHeight="1">
      <c r="B547" s="60"/>
      <c r="C547" s="60"/>
      <c r="D547" s="60"/>
      <c r="E547" s="60"/>
    </row>
    <row r="548" ht="15.75" customHeight="1">
      <c r="B548" s="60"/>
      <c r="C548" s="60"/>
      <c r="D548" s="60"/>
      <c r="E548" s="60"/>
    </row>
    <row r="549" ht="15.75" customHeight="1">
      <c r="B549" s="60"/>
      <c r="C549" s="60"/>
      <c r="D549" s="60"/>
      <c r="E549" s="60"/>
    </row>
    <row r="550" ht="15.75" customHeight="1">
      <c r="B550" s="60"/>
      <c r="C550" s="60"/>
      <c r="D550" s="60"/>
      <c r="E550" s="60"/>
    </row>
    <row r="551" ht="15.75" customHeight="1">
      <c r="B551" s="60"/>
      <c r="C551" s="60"/>
      <c r="D551" s="60"/>
      <c r="E551" s="60"/>
    </row>
    <row r="552" ht="15.75" customHeight="1">
      <c r="B552" s="60"/>
      <c r="C552" s="60"/>
      <c r="D552" s="60"/>
      <c r="E552" s="60"/>
    </row>
    <row r="553" ht="15.75" customHeight="1">
      <c r="B553" s="60"/>
      <c r="C553" s="60"/>
      <c r="D553" s="60"/>
      <c r="E553" s="60"/>
    </row>
    <row r="554" ht="15.75" customHeight="1">
      <c r="B554" s="60"/>
      <c r="C554" s="60"/>
      <c r="D554" s="60"/>
      <c r="E554" s="60"/>
    </row>
    <row r="555" ht="15.75" customHeight="1">
      <c r="B555" s="60"/>
      <c r="C555" s="60"/>
      <c r="D555" s="60"/>
      <c r="E555" s="60"/>
    </row>
    <row r="556" ht="15.75" customHeight="1">
      <c r="B556" s="60"/>
      <c r="C556" s="60"/>
      <c r="D556" s="60"/>
      <c r="E556" s="60"/>
    </row>
    <row r="557" ht="15.75" customHeight="1">
      <c r="B557" s="60"/>
      <c r="C557" s="60"/>
      <c r="D557" s="60"/>
      <c r="E557" s="60"/>
    </row>
    <row r="558" ht="15.75" customHeight="1">
      <c r="B558" s="60"/>
      <c r="C558" s="60"/>
      <c r="D558" s="60"/>
      <c r="E558" s="60"/>
    </row>
    <row r="559" ht="15.75" customHeight="1">
      <c r="B559" s="60"/>
      <c r="C559" s="60"/>
      <c r="D559" s="60"/>
      <c r="E559" s="60"/>
    </row>
    <row r="560" ht="15.75" customHeight="1">
      <c r="B560" s="60"/>
      <c r="C560" s="60"/>
      <c r="D560" s="60"/>
      <c r="E560" s="60"/>
    </row>
    <row r="561" ht="15.75" customHeight="1">
      <c r="B561" s="60"/>
      <c r="C561" s="60"/>
      <c r="D561" s="60"/>
      <c r="E561" s="60"/>
    </row>
    <row r="562" ht="15.75" customHeight="1">
      <c r="B562" s="60"/>
      <c r="C562" s="60"/>
      <c r="D562" s="60"/>
      <c r="E562" s="60"/>
    </row>
    <row r="563" ht="15.75" customHeight="1">
      <c r="B563" s="60"/>
      <c r="C563" s="60"/>
      <c r="D563" s="60"/>
      <c r="E563" s="60"/>
    </row>
    <row r="564" ht="15.75" customHeight="1">
      <c r="B564" s="60"/>
      <c r="C564" s="60"/>
      <c r="D564" s="60"/>
      <c r="E564" s="60"/>
    </row>
    <row r="565" ht="15.75" customHeight="1">
      <c r="B565" s="60"/>
      <c r="C565" s="60"/>
      <c r="D565" s="60"/>
      <c r="E565" s="60"/>
    </row>
    <row r="566" ht="15.75" customHeight="1">
      <c r="B566" s="60"/>
      <c r="C566" s="60"/>
      <c r="D566" s="60"/>
      <c r="E566" s="60"/>
    </row>
    <row r="567" ht="15.75" customHeight="1">
      <c r="B567" s="60"/>
      <c r="C567" s="60"/>
      <c r="D567" s="60"/>
      <c r="E567" s="60"/>
    </row>
    <row r="568" ht="15.75" customHeight="1">
      <c r="B568" s="60"/>
      <c r="C568" s="60"/>
      <c r="D568" s="60"/>
      <c r="E568" s="60"/>
    </row>
    <row r="569" ht="15.75" customHeight="1">
      <c r="B569" s="60"/>
      <c r="C569" s="60"/>
      <c r="D569" s="60"/>
      <c r="E569" s="60"/>
    </row>
    <row r="570" ht="15.75" customHeight="1">
      <c r="B570" s="60"/>
      <c r="C570" s="60"/>
      <c r="D570" s="60"/>
      <c r="E570" s="60"/>
    </row>
    <row r="571" ht="15.75" customHeight="1">
      <c r="B571" s="60"/>
      <c r="C571" s="60"/>
      <c r="D571" s="60"/>
      <c r="E571" s="60"/>
    </row>
    <row r="572" ht="15.75" customHeight="1">
      <c r="B572" s="60"/>
      <c r="C572" s="60"/>
      <c r="D572" s="60"/>
      <c r="E572" s="60"/>
    </row>
    <row r="573" ht="15.75" customHeight="1">
      <c r="B573" s="60"/>
      <c r="C573" s="60"/>
      <c r="D573" s="60"/>
      <c r="E573" s="60"/>
    </row>
    <row r="574" ht="15.75" customHeight="1">
      <c r="B574" s="60"/>
      <c r="C574" s="60"/>
      <c r="D574" s="60"/>
      <c r="E574" s="60"/>
    </row>
    <row r="575" ht="15.75" customHeight="1">
      <c r="B575" s="60"/>
      <c r="C575" s="60"/>
      <c r="D575" s="60"/>
      <c r="E575" s="60"/>
    </row>
    <row r="576" ht="15.75" customHeight="1">
      <c r="B576" s="60"/>
      <c r="C576" s="60"/>
      <c r="D576" s="60"/>
      <c r="E576" s="60"/>
    </row>
    <row r="577" ht="15.75" customHeight="1">
      <c r="B577" s="60"/>
      <c r="C577" s="60"/>
      <c r="D577" s="60"/>
      <c r="E577" s="60"/>
    </row>
    <row r="578" ht="15.75" customHeight="1">
      <c r="B578" s="60"/>
      <c r="C578" s="60"/>
      <c r="D578" s="60"/>
      <c r="E578" s="60"/>
    </row>
    <row r="579" ht="15.75" customHeight="1">
      <c r="B579" s="60"/>
      <c r="C579" s="60"/>
      <c r="D579" s="60"/>
      <c r="E579" s="60"/>
    </row>
    <row r="580" ht="15.75" customHeight="1">
      <c r="B580" s="60"/>
      <c r="C580" s="60"/>
      <c r="D580" s="60"/>
      <c r="E580" s="60"/>
    </row>
    <row r="581" ht="15.75" customHeight="1">
      <c r="B581" s="60"/>
      <c r="C581" s="60"/>
      <c r="D581" s="60"/>
      <c r="E581" s="60"/>
    </row>
    <row r="582" ht="15.75" customHeight="1">
      <c r="B582" s="60"/>
      <c r="C582" s="60"/>
      <c r="D582" s="60"/>
      <c r="E582" s="60"/>
    </row>
    <row r="583" ht="15.75" customHeight="1">
      <c r="B583" s="60"/>
      <c r="C583" s="60"/>
      <c r="D583" s="60"/>
      <c r="E583" s="60"/>
    </row>
    <row r="584" ht="15.75" customHeight="1">
      <c r="B584" s="60"/>
      <c r="C584" s="60"/>
      <c r="D584" s="60"/>
      <c r="E584" s="60"/>
    </row>
    <row r="585" ht="15.75" customHeight="1">
      <c r="B585" s="60"/>
      <c r="C585" s="60"/>
      <c r="D585" s="60"/>
      <c r="E585" s="60"/>
    </row>
    <row r="586" ht="15.75" customHeight="1">
      <c r="B586" s="60"/>
      <c r="C586" s="60"/>
      <c r="D586" s="60"/>
      <c r="E586" s="60"/>
    </row>
    <row r="587" ht="15.75" customHeight="1">
      <c r="B587" s="60"/>
      <c r="C587" s="60"/>
      <c r="D587" s="60"/>
      <c r="E587" s="60"/>
    </row>
    <row r="588" ht="15.75" customHeight="1">
      <c r="B588" s="60"/>
      <c r="C588" s="60"/>
      <c r="D588" s="60"/>
      <c r="E588" s="60"/>
    </row>
    <row r="589" ht="15.75" customHeight="1">
      <c r="B589" s="60"/>
      <c r="C589" s="60"/>
      <c r="D589" s="60"/>
      <c r="E589" s="60"/>
    </row>
    <row r="590" ht="15.75" customHeight="1">
      <c r="B590" s="60"/>
      <c r="C590" s="60"/>
      <c r="D590" s="60"/>
      <c r="E590" s="60"/>
    </row>
    <row r="591" ht="15.75" customHeight="1">
      <c r="B591" s="60"/>
      <c r="C591" s="60"/>
      <c r="D591" s="60"/>
      <c r="E591" s="60"/>
    </row>
    <row r="592" ht="15.75" customHeight="1">
      <c r="B592" s="60"/>
      <c r="C592" s="60"/>
      <c r="D592" s="60"/>
      <c r="E592" s="60"/>
    </row>
    <row r="593" ht="15.75" customHeight="1">
      <c r="B593" s="60"/>
      <c r="C593" s="60"/>
      <c r="D593" s="60"/>
      <c r="E593" s="60"/>
    </row>
    <row r="594" ht="15.75" customHeight="1">
      <c r="B594" s="60"/>
      <c r="C594" s="60"/>
      <c r="D594" s="60"/>
      <c r="E594" s="60"/>
    </row>
    <row r="595" ht="15.75" customHeight="1">
      <c r="B595" s="60"/>
      <c r="C595" s="60"/>
      <c r="D595" s="60"/>
      <c r="E595" s="60"/>
    </row>
    <row r="596" ht="15.75" customHeight="1">
      <c r="B596" s="60"/>
      <c r="C596" s="60"/>
      <c r="D596" s="60"/>
      <c r="E596" s="60"/>
    </row>
    <row r="597" ht="15.75" customHeight="1">
      <c r="B597" s="60"/>
      <c r="C597" s="60"/>
      <c r="D597" s="60"/>
      <c r="E597" s="60"/>
    </row>
    <row r="598" ht="15.75" customHeight="1">
      <c r="B598" s="60"/>
      <c r="C598" s="60"/>
      <c r="D598" s="60"/>
      <c r="E598" s="60"/>
    </row>
    <row r="599" ht="15.75" customHeight="1">
      <c r="B599" s="60"/>
      <c r="C599" s="60"/>
      <c r="D599" s="60"/>
      <c r="E599" s="60"/>
    </row>
    <row r="600" ht="15.75" customHeight="1">
      <c r="B600" s="60"/>
      <c r="C600" s="60"/>
      <c r="D600" s="60"/>
      <c r="E600" s="60"/>
    </row>
    <row r="601" ht="15.75" customHeight="1">
      <c r="B601" s="60"/>
      <c r="C601" s="60"/>
      <c r="D601" s="60"/>
      <c r="E601" s="60"/>
    </row>
    <row r="602" ht="15.75" customHeight="1">
      <c r="B602" s="60"/>
      <c r="C602" s="60"/>
      <c r="D602" s="60"/>
      <c r="E602" s="60"/>
    </row>
    <row r="603" ht="15.75" customHeight="1">
      <c r="B603" s="60"/>
      <c r="C603" s="60"/>
      <c r="D603" s="60"/>
      <c r="E603" s="60"/>
    </row>
    <row r="604" ht="15.75" customHeight="1">
      <c r="B604" s="60"/>
      <c r="C604" s="60"/>
      <c r="D604" s="60"/>
      <c r="E604" s="60"/>
    </row>
    <row r="605" ht="15.75" customHeight="1">
      <c r="B605" s="60"/>
      <c r="C605" s="60"/>
      <c r="D605" s="60"/>
      <c r="E605" s="60"/>
    </row>
    <row r="606" ht="15.75" customHeight="1">
      <c r="B606" s="60"/>
      <c r="C606" s="60"/>
      <c r="D606" s="60"/>
      <c r="E606" s="60"/>
    </row>
    <row r="607" ht="15.75" customHeight="1">
      <c r="B607" s="60"/>
      <c r="C607" s="60"/>
      <c r="D607" s="60"/>
      <c r="E607" s="60"/>
    </row>
    <row r="608" ht="15.75" customHeight="1">
      <c r="B608" s="60"/>
      <c r="C608" s="60"/>
      <c r="D608" s="60"/>
      <c r="E608" s="60"/>
    </row>
    <row r="609" ht="15.75" customHeight="1">
      <c r="B609" s="60"/>
      <c r="C609" s="60"/>
      <c r="D609" s="60"/>
      <c r="E609" s="60"/>
    </row>
    <row r="610" ht="15.75" customHeight="1">
      <c r="B610" s="60"/>
      <c r="C610" s="60"/>
      <c r="D610" s="60"/>
      <c r="E610" s="60"/>
    </row>
    <row r="611" ht="15.75" customHeight="1">
      <c r="B611" s="60"/>
      <c r="C611" s="60"/>
      <c r="D611" s="60"/>
      <c r="E611" s="60"/>
    </row>
    <row r="612" ht="15.75" customHeight="1">
      <c r="B612" s="60"/>
      <c r="C612" s="60"/>
      <c r="D612" s="60"/>
      <c r="E612" s="60"/>
    </row>
    <row r="613" ht="15.75" customHeight="1">
      <c r="B613" s="60"/>
      <c r="C613" s="60"/>
      <c r="D613" s="60"/>
      <c r="E613" s="60"/>
    </row>
    <row r="614" ht="15.75" customHeight="1">
      <c r="B614" s="60"/>
      <c r="C614" s="60"/>
      <c r="D614" s="60"/>
      <c r="E614" s="60"/>
    </row>
    <row r="615" ht="15.75" customHeight="1">
      <c r="B615" s="60"/>
      <c r="C615" s="60"/>
      <c r="D615" s="60"/>
      <c r="E615" s="60"/>
    </row>
    <row r="616" ht="15.75" customHeight="1">
      <c r="B616" s="60"/>
      <c r="C616" s="60"/>
      <c r="D616" s="60"/>
      <c r="E616" s="60"/>
    </row>
    <row r="617" ht="15.75" customHeight="1">
      <c r="B617" s="60"/>
      <c r="C617" s="60"/>
      <c r="D617" s="60"/>
      <c r="E617" s="60"/>
    </row>
    <row r="618" ht="15.75" customHeight="1">
      <c r="B618" s="60"/>
      <c r="C618" s="60"/>
      <c r="D618" s="60"/>
      <c r="E618" s="60"/>
    </row>
    <row r="619" ht="15.75" customHeight="1">
      <c r="B619" s="60"/>
      <c r="C619" s="60"/>
      <c r="D619" s="60"/>
      <c r="E619" s="60"/>
    </row>
    <row r="620" ht="15.75" customHeight="1">
      <c r="B620" s="60"/>
      <c r="C620" s="60"/>
      <c r="D620" s="60"/>
      <c r="E620" s="60"/>
    </row>
    <row r="621" ht="15.75" customHeight="1">
      <c r="B621" s="60"/>
      <c r="C621" s="60"/>
      <c r="D621" s="60"/>
      <c r="E621" s="60"/>
    </row>
    <row r="622" ht="15.75" customHeight="1">
      <c r="B622" s="60"/>
      <c r="C622" s="60"/>
      <c r="D622" s="60"/>
      <c r="E622" s="60"/>
    </row>
    <row r="623" ht="15.75" customHeight="1">
      <c r="B623" s="60"/>
      <c r="C623" s="60"/>
      <c r="D623" s="60"/>
      <c r="E623" s="60"/>
    </row>
    <row r="624" ht="15.75" customHeight="1">
      <c r="B624" s="60"/>
      <c r="C624" s="60"/>
      <c r="D624" s="60"/>
      <c r="E624" s="60"/>
    </row>
    <row r="625" ht="15.75" customHeight="1">
      <c r="B625" s="60"/>
      <c r="C625" s="60"/>
      <c r="D625" s="60"/>
      <c r="E625" s="60"/>
    </row>
    <row r="626" ht="15.75" customHeight="1">
      <c r="B626" s="60"/>
      <c r="C626" s="60"/>
      <c r="D626" s="60"/>
      <c r="E626" s="60"/>
    </row>
    <row r="627" ht="15.75" customHeight="1">
      <c r="B627" s="60"/>
      <c r="C627" s="60"/>
      <c r="D627" s="60"/>
      <c r="E627" s="60"/>
    </row>
    <row r="628" ht="15.75" customHeight="1">
      <c r="B628" s="60"/>
      <c r="C628" s="60"/>
      <c r="D628" s="60"/>
      <c r="E628" s="60"/>
    </row>
    <row r="629" ht="15.75" customHeight="1">
      <c r="B629" s="60"/>
      <c r="C629" s="60"/>
      <c r="D629" s="60"/>
      <c r="E629" s="60"/>
    </row>
    <row r="630" ht="15.75" customHeight="1">
      <c r="B630" s="60"/>
      <c r="C630" s="60"/>
      <c r="D630" s="60"/>
      <c r="E630" s="60"/>
    </row>
    <row r="631" ht="15.75" customHeight="1">
      <c r="B631" s="60"/>
      <c r="C631" s="60"/>
      <c r="D631" s="60"/>
      <c r="E631" s="60"/>
    </row>
    <row r="632" ht="15.75" customHeight="1">
      <c r="B632" s="60"/>
      <c r="C632" s="60"/>
      <c r="D632" s="60"/>
      <c r="E632" s="60"/>
    </row>
    <row r="633" ht="15.75" customHeight="1">
      <c r="B633" s="60"/>
      <c r="C633" s="60"/>
      <c r="D633" s="60"/>
      <c r="E633" s="60"/>
    </row>
    <row r="634" ht="15.75" customHeight="1">
      <c r="B634" s="60"/>
      <c r="C634" s="60"/>
      <c r="D634" s="60"/>
      <c r="E634" s="60"/>
    </row>
    <row r="635" ht="15.75" customHeight="1">
      <c r="B635" s="60"/>
      <c r="C635" s="60"/>
      <c r="D635" s="60"/>
      <c r="E635" s="60"/>
    </row>
    <row r="636" ht="15.75" customHeight="1">
      <c r="B636" s="60"/>
      <c r="C636" s="60"/>
      <c r="D636" s="60"/>
      <c r="E636" s="60"/>
    </row>
    <row r="637" ht="15.75" customHeight="1">
      <c r="B637" s="60"/>
      <c r="C637" s="60"/>
      <c r="D637" s="60"/>
      <c r="E637" s="60"/>
    </row>
    <row r="638" ht="15.75" customHeight="1">
      <c r="B638" s="60"/>
      <c r="C638" s="60"/>
      <c r="D638" s="60"/>
      <c r="E638" s="60"/>
    </row>
    <row r="639" ht="15.75" customHeight="1">
      <c r="B639" s="60"/>
      <c r="C639" s="60"/>
      <c r="D639" s="60"/>
      <c r="E639" s="60"/>
    </row>
    <row r="640" ht="15.75" customHeight="1">
      <c r="B640" s="60"/>
      <c r="C640" s="60"/>
      <c r="D640" s="60"/>
      <c r="E640" s="60"/>
    </row>
    <row r="641" ht="15.75" customHeight="1">
      <c r="B641" s="60"/>
      <c r="C641" s="60"/>
      <c r="D641" s="60"/>
      <c r="E641" s="60"/>
    </row>
    <row r="642" ht="15.75" customHeight="1">
      <c r="B642" s="60"/>
      <c r="C642" s="60"/>
      <c r="D642" s="60"/>
      <c r="E642" s="60"/>
    </row>
    <row r="643" ht="15.75" customHeight="1">
      <c r="B643" s="60"/>
      <c r="C643" s="60"/>
      <c r="D643" s="60"/>
      <c r="E643" s="60"/>
    </row>
    <row r="644" ht="15.75" customHeight="1">
      <c r="B644" s="60"/>
      <c r="C644" s="60"/>
      <c r="D644" s="60"/>
      <c r="E644" s="60"/>
    </row>
    <row r="645" ht="15.75" customHeight="1">
      <c r="B645" s="60"/>
      <c r="C645" s="60"/>
      <c r="D645" s="60"/>
      <c r="E645" s="60"/>
    </row>
    <row r="646" ht="15.75" customHeight="1">
      <c r="B646" s="60"/>
      <c r="C646" s="60"/>
      <c r="D646" s="60"/>
      <c r="E646" s="60"/>
    </row>
    <row r="647" ht="15.75" customHeight="1">
      <c r="B647" s="60"/>
      <c r="C647" s="60"/>
      <c r="D647" s="60"/>
      <c r="E647" s="60"/>
    </row>
    <row r="648" ht="15.75" customHeight="1">
      <c r="B648" s="60"/>
      <c r="C648" s="60"/>
      <c r="D648" s="60"/>
      <c r="E648" s="60"/>
    </row>
    <row r="649" ht="15.75" customHeight="1">
      <c r="B649" s="60"/>
      <c r="C649" s="60"/>
      <c r="D649" s="60"/>
      <c r="E649" s="60"/>
    </row>
    <row r="650" ht="15.75" customHeight="1">
      <c r="B650" s="60"/>
      <c r="C650" s="60"/>
      <c r="D650" s="60"/>
      <c r="E650" s="60"/>
    </row>
    <row r="651" ht="15.75" customHeight="1">
      <c r="B651" s="60"/>
      <c r="C651" s="60"/>
      <c r="D651" s="60"/>
      <c r="E651" s="60"/>
    </row>
    <row r="652" ht="15.75" customHeight="1">
      <c r="B652" s="60"/>
      <c r="C652" s="60"/>
      <c r="D652" s="60"/>
      <c r="E652" s="60"/>
    </row>
    <row r="653" ht="15.75" customHeight="1">
      <c r="B653" s="60"/>
      <c r="C653" s="60"/>
      <c r="D653" s="60"/>
      <c r="E653" s="60"/>
    </row>
    <row r="654" ht="15.75" customHeight="1">
      <c r="B654" s="60"/>
      <c r="C654" s="60"/>
      <c r="D654" s="60"/>
      <c r="E654" s="60"/>
    </row>
    <row r="655" ht="15.75" customHeight="1">
      <c r="B655" s="60"/>
      <c r="C655" s="60"/>
      <c r="D655" s="60"/>
      <c r="E655" s="60"/>
    </row>
    <row r="656" ht="15.75" customHeight="1">
      <c r="B656" s="60"/>
      <c r="C656" s="60"/>
      <c r="D656" s="60"/>
      <c r="E656" s="60"/>
    </row>
    <row r="657" ht="15.75" customHeight="1">
      <c r="B657" s="60"/>
      <c r="C657" s="60"/>
      <c r="D657" s="60"/>
      <c r="E657" s="60"/>
    </row>
    <row r="658" ht="15.75" customHeight="1">
      <c r="B658" s="60"/>
      <c r="C658" s="60"/>
      <c r="D658" s="60"/>
      <c r="E658" s="60"/>
    </row>
    <row r="659" ht="15.75" customHeight="1">
      <c r="B659" s="60"/>
      <c r="C659" s="60"/>
      <c r="D659" s="60"/>
      <c r="E659" s="60"/>
    </row>
    <row r="660" ht="15.75" customHeight="1">
      <c r="B660" s="60"/>
      <c r="C660" s="60"/>
      <c r="D660" s="60"/>
      <c r="E660" s="60"/>
    </row>
    <row r="661" ht="15.75" customHeight="1">
      <c r="B661" s="60"/>
      <c r="C661" s="60"/>
      <c r="D661" s="60"/>
      <c r="E661" s="60"/>
    </row>
    <row r="662" ht="15.75" customHeight="1">
      <c r="B662" s="60"/>
      <c r="C662" s="60"/>
      <c r="D662" s="60"/>
      <c r="E662" s="60"/>
    </row>
    <row r="663" ht="15.75" customHeight="1">
      <c r="B663" s="60"/>
      <c r="C663" s="60"/>
      <c r="D663" s="60"/>
      <c r="E663" s="60"/>
    </row>
    <row r="664" ht="15.75" customHeight="1">
      <c r="B664" s="60"/>
      <c r="C664" s="60"/>
      <c r="D664" s="60"/>
      <c r="E664" s="60"/>
    </row>
    <row r="665" ht="15.75" customHeight="1">
      <c r="B665" s="60"/>
      <c r="C665" s="60"/>
      <c r="D665" s="60"/>
      <c r="E665" s="60"/>
    </row>
    <row r="666" ht="15.75" customHeight="1">
      <c r="B666" s="60"/>
      <c r="C666" s="60"/>
      <c r="D666" s="60"/>
      <c r="E666" s="60"/>
    </row>
    <row r="667" ht="15.75" customHeight="1">
      <c r="B667" s="60"/>
      <c r="C667" s="60"/>
      <c r="D667" s="60"/>
      <c r="E667" s="60"/>
    </row>
    <row r="668" ht="15.75" customHeight="1">
      <c r="B668" s="60"/>
      <c r="C668" s="60"/>
      <c r="D668" s="60"/>
      <c r="E668" s="60"/>
    </row>
    <row r="669" ht="15.75" customHeight="1">
      <c r="B669" s="60"/>
      <c r="C669" s="60"/>
      <c r="D669" s="60"/>
      <c r="E669" s="60"/>
    </row>
    <row r="670" ht="15.75" customHeight="1">
      <c r="B670" s="60"/>
      <c r="C670" s="60"/>
      <c r="D670" s="60"/>
      <c r="E670" s="60"/>
    </row>
    <row r="671" ht="15.75" customHeight="1">
      <c r="B671" s="60"/>
      <c r="C671" s="60"/>
      <c r="D671" s="60"/>
      <c r="E671" s="60"/>
    </row>
    <row r="672" ht="15.75" customHeight="1">
      <c r="B672" s="60"/>
      <c r="C672" s="60"/>
      <c r="D672" s="60"/>
      <c r="E672" s="60"/>
    </row>
    <row r="673" ht="15.75" customHeight="1">
      <c r="B673" s="60"/>
      <c r="C673" s="60"/>
      <c r="D673" s="60"/>
      <c r="E673" s="60"/>
    </row>
    <row r="674" ht="15.75" customHeight="1">
      <c r="B674" s="60"/>
      <c r="C674" s="60"/>
      <c r="D674" s="60"/>
      <c r="E674" s="60"/>
    </row>
    <row r="675" ht="15.75" customHeight="1">
      <c r="B675" s="60"/>
      <c r="C675" s="60"/>
      <c r="D675" s="60"/>
      <c r="E675" s="60"/>
    </row>
    <row r="676" ht="15.75" customHeight="1">
      <c r="B676" s="60"/>
      <c r="C676" s="60"/>
      <c r="D676" s="60"/>
      <c r="E676" s="60"/>
    </row>
    <row r="677" ht="15.75" customHeight="1">
      <c r="B677" s="60"/>
      <c r="C677" s="60"/>
      <c r="D677" s="60"/>
      <c r="E677" s="60"/>
    </row>
    <row r="678" ht="15.75" customHeight="1">
      <c r="B678" s="60"/>
      <c r="C678" s="60"/>
      <c r="D678" s="60"/>
      <c r="E678" s="60"/>
    </row>
    <row r="679" ht="15.75" customHeight="1">
      <c r="B679" s="60"/>
      <c r="C679" s="60"/>
      <c r="D679" s="60"/>
      <c r="E679" s="60"/>
    </row>
    <row r="680" ht="15.75" customHeight="1">
      <c r="B680" s="60"/>
      <c r="C680" s="60"/>
      <c r="D680" s="60"/>
      <c r="E680" s="60"/>
    </row>
    <row r="681" ht="15.75" customHeight="1">
      <c r="B681" s="60"/>
      <c r="C681" s="60"/>
      <c r="D681" s="60"/>
      <c r="E681" s="60"/>
    </row>
    <row r="682" ht="15.75" customHeight="1">
      <c r="B682" s="60"/>
      <c r="C682" s="60"/>
      <c r="D682" s="60"/>
      <c r="E682" s="60"/>
    </row>
    <row r="683" ht="15.75" customHeight="1">
      <c r="B683" s="60"/>
      <c r="C683" s="60"/>
      <c r="D683" s="60"/>
      <c r="E683" s="60"/>
    </row>
    <row r="684" ht="15.75" customHeight="1">
      <c r="B684" s="60"/>
      <c r="C684" s="60"/>
      <c r="D684" s="60"/>
      <c r="E684" s="60"/>
    </row>
    <row r="685" ht="15.75" customHeight="1">
      <c r="B685" s="60"/>
      <c r="C685" s="60"/>
      <c r="D685" s="60"/>
      <c r="E685" s="60"/>
    </row>
    <row r="686" ht="15.75" customHeight="1">
      <c r="B686" s="60"/>
      <c r="C686" s="60"/>
      <c r="D686" s="60"/>
      <c r="E686" s="60"/>
    </row>
    <row r="687" ht="15.75" customHeight="1">
      <c r="B687" s="60"/>
      <c r="C687" s="60"/>
      <c r="D687" s="60"/>
      <c r="E687" s="60"/>
    </row>
    <row r="688" ht="15.75" customHeight="1">
      <c r="B688" s="60"/>
      <c r="C688" s="60"/>
      <c r="D688" s="60"/>
      <c r="E688" s="60"/>
    </row>
    <row r="689" ht="15.75" customHeight="1">
      <c r="B689" s="60"/>
      <c r="C689" s="60"/>
      <c r="D689" s="60"/>
      <c r="E689" s="60"/>
    </row>
    <row r="690" ht="15.75" customHeight="1">
      <c r="B690" s="60"/>
      <c r="C690" s="60"/>
      <c r="D690" s="60"/>
      <c r="E690" s="60"/>
    </row>
    <row r="691" ht="15.75" customHeight="1">
      <c r="B691" s="60"/>
      <c r="C691" s="60"/>
      <c r="D691" s="60"/>
      <c r="E691" s="60"/>
    </row>
    <row r="692" ht="15.75" customHeight="1">
      <c r="B692" s="60"/>
      <c r="C692" s="60"/>
      <c r="D692" s="60"/>
      <c r="E692" s="60"/>
    </row>
    <row r="693" ht="15.75" customHeight="1">
      <c r="B693" s="60"/>
      <c r="C693" s="60"/>
      <c r="D693" s="60"/>
      <c r="E693" s="60"/>
    </row>
    <row r="694" ht="15.75" customHeight="1">
      <c r="B694" s="60"/>
      <c r="C694" s="60"/>
      <c r="D694" s="60"/>
      <c r="E694" s="60"/>
    </row>
    <row r="695" ht="15.75" customHeight="1">
      <c r="B695" s="60"/>
      <c r="C695" s="60"/>
      <c r="D695" s="60"/>
      <c r="E695" s="60"/>
    </row>
    <row r="696" ht="15.75" customHeight="1">
      <c r="B696" s="60"/>
      <c r="C696" s="60"/>
      <c r="D696" s="60"/>
      <c r="E696" s="60"/>
    </row>
    <row r="697" ht="15.75" customHeight="1">
      <c r="B697" s="60"/>
      <c r="C697" s="60"/>
      <c r="D697" s="60"/>
      <c r="E697" s="60"/>
    </row>
    <row r="698" ht="15.75" customHeight="1">
      <c r="B698" s="60"/>
      <c r="C698" s="60"/>
      <c r="D698" s="60"/>
      <c r="E698" s="60"/>
    </row>
    <row r="699" ht="15.75" customHeight="1">
      <c r="B699" s="60"/>
      <c r="C699" s="60"/>
      <c r="D699" s="60"/>
      <c r="E699" s="60"/>
    </row>
    <row r="700" ht="15.75" customHeight="1">
      <c r="B700" s="60"/>
      <c r="C700" s="60"/>
      <c r="D700" s="60"/>
      <c r="E700" s="60"/>
    </row>
    <row r="701" ht="15.75" customHeight="1">
      <c r="B701" s="60"/>
      <c r="C701" s="60"/>
      <c r="D701" s="60"/>
      <c r="E701" s="60"/>
    </row>
    <row r="702" ht="15.75" customHeight="1">
      <c r="B702" s="60"/>
      <c r="C702" s="60"/>
      <c r="D702" s="60"/>
      <c r="E702" s="60"/>
    </row>
    <row r="703" ht="15.75" customHeight="1">
      <c r="B703" s="60"/>
      <c r="C703" s="60"/>
      <c r="D703" s="60"/>
      <c r="E703" s="60"/>
    </row>
    <row r="704" ht="15.75" customHeight="1">
      <c r="B704" s="60"/>
      <c r="C704" s="60"/>
      <c r="D704" s="60"/>
      <c r="E704" s="60"/>
    </row>
    <row r="705" ht="15.75" customHeight="1">
      <c r="B705" s="60"/>
      <c r="C705" s="60"/>
      <c r="D705" s="60"/>
      <c r="E705" s="60"/>
    </row>
    <row r="706" ht="15.75" customHeight="1">
      <c r="B706" s="60"/>
      <c r="C706" s="60"/>
      <c r="D706" s="60"/>
      <c r="E706" s="60"/>
    </row>
    <row r="707" ht="15.75" customHeight="1">
      <c r="B707" s="60"/>
      <c r="C707" s="60"/>
      <c r="D707" s="60"/>
      <c r="E707" s="60"/>
    </row>
    <row r="708" ht="15.75" customHeight="1">
      <c r="B708" s="60"/>
      <c r="C708" s="60"/>
      <c r="D708" s="60"/>
      <c r="E708" s="60"/>
    </row>
    <row r="709" ht="15.75" customHeight="1">
      <c r="B709" s="60"/>
      <c r="C709" s="60"/>
      <c r="D709" s="60"/>
      <c r="E709" s="60"/>
    </row>
    <row r="710" ht="15.75" customHeight="1">
      <c r="B710" s="60"/>
      <c r="C710" s="60"/>
      <c r="D710" s="60"/>
      <c r="E710" s="60"/>
    </row>
    <row r="711" ht="15.75" customHeight="1">
      <c r="B711" s="60"/>
      <c r="C711" s="60"/>
      <c r="D711" s="60"/>
      <c r="E711" s="60"/>
    </row>
    <row r="712" ht="15.75" customHeight="1">
      <c r="B712" s="60"/>
      <c r="C712" s="60"/>
      <c r="D712" s="60"/>
      <c r="E712" s="60"/>
    </row>
    <row r="713" ht="15.75" customHeight="1">
      <c r="B713" s="60"/>
      <c r="C713" s="60"/>
      <c r="D713" s="60"/>
      <c r="E713" s="60"/>
    </row>
    <row r="714" ht="15.75" customHeight="1">
      <c r="B714" s="60"/>
      <c r="C714" s="60"/>
      <c r="D714" s="60"/>
      <c r="E714" s="60"/>
    </row>
    <row r="715" ht="15.75" customHeight="1">
      <c r="B715" s="60"/>
      <c r="C715" s="60"/>
      <c r="D715" s="60"/>
      <c r="E715" s="60"/>
    </row>
    <row r="716" ht="15.75" customHeight="1">
      <c r="B716" s="60"/>
      <c r="C716" s="60"/>
      <c r="D716" s="60"/>
      <c r="E716" s="60"/>
    </row>
    <row r="717" ht="15.75" customHeight="1">
      <c r="B717" s="60"/>
      <c r="C717" s="60"/>
      <c r="D717" s="60"/>
      <c r="E717" s="60"/>
    </row>
    <row r="718" ht="15.75" customHeight="1">
      <c r="B718" s="60"/>
      <c r="C718" s="60"/>
      <c r="D718" s="60"/>
      <c r="E718" s="60"/>
    </row>
    <row r="719" ht="15.75" customHeight="1">
      <c r="B719" s="60"/>
      <c r="C719" s="60"/>
      <c r="D719" s="60"/>
      <c r="E719" s="60"/>
    </row>
    <row r="720" ht="15.75" customHeight="1">
      <c r="B720" s="60"/>
      <c r="C720" s="60"/>
      <c r="D720" s="60"/>
      <c r="E720" s="60"/>
    </row>
    <row r="721" ht="15.75" customHeight="1">
      <c r="B721" s="60"/>
      <c r="C721" s="60"/>
      <c r="D721" s="60"/>
      <c r="E721" s="60"/>
    </row>
    <row r="722" ht="15.75" customHeight="1">
      <c r="B722" s="60"/>
      <c r="C722" s="60"/>
      <c r="D722" s="60"/>
      <c r="E722" s="60"/>
    </row>
    <row r="723" ht="15.75" customHeight="1">
      <c r="B723" s="60"/>
      <c r="C723" s="60"/>
      <c r="D723" s="60"/>
      <c r="E723" s="60"/>
    </row>
    <row r="724" ht="15.75" customHeight="1">
      <c r="B724" s="60"/>
      <c r="C724" s="60"/>
      <c r="D724" s="60"/>
      <c r="E724" s="60"/>
    </row>
    <row r="725" ht="15.75" customHeight="1">
      <c r="B725" s="60"/>
      <c r="C725" s="60"/>
      <c r="D725" s="60"/>
      <c r="E725" s="60"/>
    </row>
    <row r="726" ht="15.75" customHeight="1">
      <c r="B726" s="60"/>
      <c r="C726" s="60"/>
      <c r="D726" s="60"/>
      <c r="E726" s="60"/>
    </row>
    <row r="727" ht="15.75" customHeight="1">
      <c r="B727" s="60"/>
      <c r="C727" s="60"/>
      <c r="D727" s="60"/>
      <c r="E727" s="60"/>
    </row>
    <row r="728" ht="15.75" customHeight="1">
      <c r="B728" s="60"/>
      <c r="C728" s="60"/>
      <c r="D728" s="60"/>
      <c r="E728" s="60"/>
    </row>
    <row r="729" ht="15.75" customHeight="1">
      <c r="B729" s="60"/>
      <c r="C729" s="60"/>
      <c r="D729" s="60"/>
      <c r="E729" s="60"/>
    </row>
    <row r="730" ht="15.75" customHeight="1">
      <c r="B730" s="60"/>
      <c r="C730" s="60"/>
      <c r="D730" s="60"/>
      <c r="E730" s="60"/>
    </row>
    <row r="731" ht="15.75" customHeight="1">
      <c r="B731" s="60"/>
      <c r="C731" s="60"/>
      <c r="D731" s="60"/>
      <c r="E731" s="60"/>
    </row>
    <row r="732" ht="15.75" customHeight="1">
      <c r="B732" s="60"/>
      <c r="C732" s="60"/>
      <c r="D732" s="60"/>
      <c r="E732" s="60"/>
    </row>
    <row r="733" ht="15.75" customHeight="1">
      <c r="B733" s="60"/>
      <c r="C733" s="60"/>
      <c r="D733" s="60"/>
      <c r="E733" s="60"/>
    </row>
    <row r="734" ht="15.75" customHeight="1">
      <c r="B734" s="60"/>
      <c r="C734" s="60"/>
      <c r="D734" s="60"/>
      <c r="E734" s="60"/>
    </row>
    <row r="735" ht="15.75" customHeight="1">
      <c r="B735" s="60"/>
      <c r="C735" s="60"/>
      <c r="D735" s="60"/>
      <c r="E735" s="60"/>
    </row>
    <row r="736" ht="15.75" customHeight="1">
      <c r="B736" s="60"/>
      <c r="C736" s="60"/>
      <c r="D736" s="60"/>
      <c r="E736" s="60"/>
    </row>
    <row r="737" ht="15.75" customHeight="1">
      <c r="B737" s="60"/>
      <c r="C737" s="60"/>
      <c r="D737" s="60"/>
      <c r="E737" s="60"/>
    </row>
    <row r="738" ht="15.75" customHeight="1">
      <c r="B738" s="60"/>
      <c r="C738" s="60"/>
      <c r="D738" s="60"/>
      <c r="E738" s="60"/>
    </row>
    <row r="739" ht="15.75" customHeight="1">
      <c r="B739" s="60"/>
      <c r="C739" s="60"/>
      <c r="D739" s="60"/>
      <c r="E739" s="60"/>
    </row>
    <row r="740" ht="15.75" customHeight="1">
      <c r="B740" s="60"/>
      <c r="C740" s="60"/>
      <c r="D740" s="60"/>
      <c r="E740" s="60"/>
    </row>
    <row r="741" ht="15.75" customHeight="1">
      <c r="B741" s="60"/>
      <c r="C741" s="60"/>
      <c r="D741" s="60"/>
      <c r="E741" s="60"/>
    </row>
    <row r="742" ht="15.75" customHeight="1">
      <c r="B742" s="60"/>
      <c r="C742" s="60"/>
      <c r="D742" s="60"/>
      <c r="E742" s="60"/>
    </row>
    <row r="743" ht="15.75" customHeight="1">
      <c r="B743" s="60"/>
      <c r="C743" s="60"/>
      <c r="D743" s="60"/>
      <c r="E743" s="60"/>
    </row>
    <row r="744" ht="15.75" customHeight="1">
      <c r="B744" s="60"/>
      <c r="C744" s="60"/>
      <c r="D744" s="60"/>
      <c r="E744" s="60"/>
    </row>
    <row r="745" ht="15.75" customHeight="1">
      <c r="B745" s="60"/>
      <c r="C745" s="60"/>
      <c r="D745" s="60"/>
      <c r="E745" s="60"/>
    </row>
    <row r="746" ht="15.75" customHeight="1">
      <c r="B746" s="60"/>
      <c r="C746" s="60"/>
      <c r="D746" s="60"/>
      <c r="E746" s="60"/>
    </row>
    <row r="747" ht="15.75" customHeight="1">
      <c r="B747" s="60"/>
      <c r="C747" s="60"/>
      <c r="D747" s="60"/>
      <c r="E747" s="60"/>
    </row>
    <row r="748" ht="15.75" customHeight="1">
      <c r="B748" s="60"/>
      <c r="C748" s="60"/>
      <c r="D748" s="60"/>
      <c r="E748" s="60"/>
    </row>
    <row r="749" ht="15.75" customHeight="1">
      <c r="B749" s="60"/>
      <c r="C749" s="60"/>
      <c r="D749" s="60"/>
      <c r="E749" s="60"/>
    </row>
    <row r="750" ht="15.75" customHeight="1">
      <c r="B750" s="60"/>
      <c r="C750" s="60"/>
      <c r="D750" s="60"/>
      <c r="E750" s="60"/>
    </row>
    <row r="751" ht="15.75" customHeight="1">
      <c r="B751" s="60"/>
      <c r="C751" s="60"/>
      <c r="D751" s="60"/>
      <c r="E751" s="60"/>
    </row>
    <row r="752" ht="15.75" customHeight="1">
      <c r="B752" s="60"/>
      <c r="C752" s="60"/>
      <c r="D752" s="60"/>
      <c r="E752" s="60"/>
    </row>
    <row r="753" ht="15.75" customHeight="1">
      <c r="B753" s="60"/>
      <c r="C753" s="60"/>
      <c r="D753" s="60"/>
      <c r="E753" s="60"/>
    </row>
    <row r="754" ht="15.75" customHeight="1">
      <c r="B754" s="60"/>
      <c r="C754" s="60"/>
      <c r="D754" s="60"/>
      <c r="E754" s="60"/>
    </row>
    <row r="755" ht="15.75" customHeight="1">
      <c r="B755" s="60"/>
      <c r="C755" s="60"/>
      <c r="D755" s="60"/>
      <c r="E755" s="60"/>
    </row>
    <row r="756" ht="15.75" customHeight="1">
      <c r="B756" s="60"/>
      <c r="C756" s="60"/>
      <c r="D756" s="60"/>
      <c r="E756" s="60"/>
    </row>
    <row r="757" ht="15.75" customHeight="1">
      <c r="B757" s="60"/>
      <c r="C757" s="60"/>
      <c r="D757" s="60"/>
      <c r="E757" s="60"/>
    </row>
    <row r="758" ht="15.75" customHeight="1">
      <c r="B758" s="60"/>
      <c r="C758" s="60"/>
      <c r="D758" s="60"/>
      <c r="E758" s="60"/>
    </row>
    <row r="759" ht="15.75" customHeight="1">
      <c r="B759" s="60"/>
      <c r="C759" s="60"/>
      <c r="D759" s="60"/>
      <c r="E759" s="60"/>
    </row>
    <row r="760" ht="15.75" customHeight="1">
      <c r="B760" s="60"/>
      <c r="C760" s="60"/>
      <c r="D760" s="60"/>
      <c r="E760" s="60"/>
    </row>
    <row r="761" ht="15.75" customHeight="1">
      <c r="B761" s="60"/>
      <c r="C761" s="60"/>
      <c r="D761" s="60"/>
      <c r="E761" s="60"/>
    </row>
    <row r="762" ht="15.75" customHeight="1">
      <c r="B762" s="60"/>
      <c r="C762" s="60"/>
      <c r="D762" s="60"/>
      <c r="E762" s="60"/>
    </row>
    <row r="763" ht="15.75" customHeight="1">
      <c r="B763" s="60"/>
      <c r="C763" s="60"/>
      <c r="D763" s="60"/>
      <c r="E763" s="60"/>
    </row>
    <row r="764" ht="15.75" customHeight="1">
      <c r="B764" s="60"/>
      <c r="C764" s="60"/>
      <c r="D764" s="60"/>
      <c r="E764" s="60"/>
    </row>
    <row r="765" ht="15.75" customHeight="1">
      <c r="B765" s="60"/>
      <c r="C765" s="60"/>
      <c r="D765" s="60"/>
      <c r="E765" s="60"/>
    </row>
    <row r="766" ht="15.75" customHeight="1">
      <c r="B766" s="60"/>
      <c r="C766" s="60"/>
      <c r="D766" s="60"/>
      <c r="E766" s="60"/>
    </row>
    <row r="767" ht="15.75" customHeight="1">
      <c r="B767" s="60"/>
      <c r="C767" s="60"/>
      <c r="D767" s="60"/>
      <c r="E767" s="60"/>
    </row>
    <row r="768" ht="15.75" customHeight="1">
      <c r="B768" s="60"/>
      <c r="C768" s="60"/>
      <c r="D768" s="60"/>
      <c r="E768" s="60"/>
    </row>
    <row r="769" ht="15.75" customHeight="1">
      <c r="B769" s="60"/>
      <c r="C769" s="60"/>
      <c r="D769" s="60"/>
      <c r="E769" s="60"/>
    </row>
    <row r="770" ht="15.75" customHeight="1">
      <c r="B770" s="60"/>
      <c r="C770" s="60"/>
      <c r="D770" s="60"/>
      <c r="E770" s="60"/>
    </row>
    <row r="771" ht="15.75" customHeight="1">
      <c r="B771" s="60"/>
      <c r="C771" s="60"/>
      <c r="D771" s="60"/>
      <c r="E771" s="60"/>
    </row>
    <row r="772" ht="15.75" customHeight="1">
      <c r="B772" s="60"/>
      <c r="C772" s="60"/>
      <c r="D772" s="60"/>
      <c r="E772" s="60"/>
    </row>
    <row r="773" ht="15.75" customHeight="1">
      <c r="B773" s="60"/>
      <c r="C773" s="60"/>
      <c r="D773" s="60"/>
      <c r="E773" s="60"/>
    </row>
    <row r="774" ht="15.75" customHeight="1">
      <c r="B774" s="60"/>
      <c r="C774" s="60"/>
      <c r="D774" s="60"/>
      <c r="E774" s="60"/>
    </row>
    <row r="775" ht="15.75" customHeight="1">
      <c r="B775" s="60"/>
      <c r="C775" s="60"/>
      <c r="D775" s="60"/>
      <c r="E775" s="60"/>
    </row>
    <row r="776" ht="15.75" customHeight="1">
      <c r="B776" s="60"/>
      <c r="C776" s="60"/>
      <c r="D776" s="60"/>
      <c r="E776" s="60"/>
    </row>
    <row r="777" ht="15.75" customHeight="1">
      <c r="B777" s="60"/>
      <c r="C777" s="60"/>
      <c r="D777" s="60"/>
      <c r="E777" s="60"/>
    </row>
    <row r="778" ht="15.75" customHeight="1">
      <c r="B778" s="60"/>
      <c r="C778" s="60"/>
      <c r="D778" s="60"/>
      <c r="E778" s="60"/>
    </row>
    <row r="779" ht="15.75" customHeight="1">
      <c r="B779" s="60"/>
      <c r="C779" s="60"/>
      <c r="D779" s="60"/>
      <c r="E779" s="60"/>
    </row>
    <row r="780" ht="15.75" customHeight="1">
      <c r="B780" s="60"/>
      <c r="C780" s="60"/>
      <c r="D780" s="60"/>
      <c r="E780" s="60"/>
    </row>
    <row r="781" ht="15.75" customHeight="1">
      <c r="B781" s="60"/>
      <c r="C781" s="60"/>
      <c r="D781" s="60"/>
      <c r="E781" s="60"/>
    </row>
    <row r="782" ht="15.75" customHeight="1">
      <c r="B782" s="60"/>
      <c r="C782" s="60"/>
      <c r="D782" s="60"/>
      <c r="E782" s="60"/>
    </row>
    <row r="783" ht="15.75" customHeight="1">
      <c r="B783" s="60"/>
      <c r="C783" s="60"/>
      <c r="D783" s="60"/>
      <c r="E783" s="60"/>
    </row>
    <row r="784" ht="15.75" customHeight="1">
      <c r="B784" s="60"/>
      <c r="C784" s="60"/>
      <c r="D784" s="60"/>
      <c r="E784" s="60"/>
    </row>
    <row r="785" ht="15.75" customHeight="1">
      <c r="B785" s="60"/>
      <c r="C785" s="60"/>
      <c r="D785" s="60"/>
      <c r="E785" s="60"/>
    </row>
    <row r="786" ht="15.75" customHeight="1">
      <c r="B786" s="60"/>
      <c r="C786" s="60"/>
      <c r="D786" s="60"/>
      <c r="E786" s="60"/>
    </row>
    <row r="787" ht="15.75" customHeight="1">
      <c r="B787" s="60"/>
      <c r="C787" s="60"/>
      <c r="D787" s="60"/>
      <c r="E787" s="60"/>
    </row>
    <row r="788" ht="15.75" customHeight="1">
      <c r="B788" s="60"/>
      <c r="C788" s="60"/>
      <c r="D788" s="60"/>
      <c r="E788" s="60"/>
    </row>
    <row r="789" ht="15.75" customHeight="1">
      <c r="B789" s="60"/>
      <c r="C789" s="60"/>
      <c r="D789" s="60"/>
      <c r="E789" s="60"/>
    </row>
    <row r="790" ht="15.75" customHeight="1">
      <c r="B790" s="60"/>
      <c r="C790" s="60"/>
      <c r="D790" s="60"/>
      <c r="E790" s="60"/>
    </row>
    <row r="791" ht="15.75" customHeight="1">
      <c r="B791" s="60"/>
      <c r="C791" s="60"/>
      <c r="D791" s="60"/>
      <c r="E791" s="60"/>
    </row>
    <row r="792" ht="15.75" customHeight="1">
      <c r="B792" s="60"/>
      <c r="C792" s="60"/>
      <c r="D792" s="60"/>
      <c r="E792" s="60"/>
    </row>
    <row r="793" ht="15.75" customHeight="1">
      <c r="B793" s="60"/>
      <c r="C793" s="60"/>
      <c r="D793" s="60"/>
      <c r="E793" s="60"/>
    </row>
    <row r="794" ht="15.75" customHeight="1">
      <c r="B794" s="60"/>
      <c r="C794" s="60"/>
      <c r="D794" s="60"/>
      <c r="E794" s="60"/>
    </row>
    <row r="795" ht="15.75" customHeight="1">
      <c r="B795" s="60"/>
      <c r="C795" s="60"/>
      <c r="D795" s="60"/>
      <c r="E795" s="60"/>
    </row>
    <row r="796" ht="15.75" customHeight="1">
      <c r="B796" s="60"/>
      <c r="C796" s="60"/>
      <c r="D796" s="60"/>
      <c r="E796" s="60"/>
    </row>
    <row r="797" ht="15.75" customHeight="1">
      <c r="B797" s="60"/>
      <c r="C797" s="60"/>
      <c r="D797" s="60"/>
      <c r="E797" s="60"/>
    </row>
    <row r="798" ht="15.75" customHeight="1">
      <c r="B798" s="60"/>
      <c r="C798" s="60"/>
      <c r="D798" s="60"/>
      <c r="E798" s="60"/>
    </row>
    <row r="799" ht="15.75" customHeight="1">
      <c r="B799" s="60"/>
      <c r="C799" s="60"/>
      <c r="D799" s="60"/>
      <c r="E799" s="60"/>
    </row>
    <row r="800" ht="15.75" customHeight="1">
      <c r="B800" s="60"/>
      <c r="C800" s="60"/>
      <c r="D800" s="60"/>
      <c r="E800" s="60"/>
    </row>
    <row r="801" ht="15.75" customHeight="1">
      <c r="B801" s="60"/>
      <c r="C801" s="60"/>
      <c r="D801" s="60"/>
      <c r="E801" s="60"/>
    </row>
    <row r="802" ht="15.75" customHeight="1">
      <c r="B802" s="60"/>
      <c r="C802" s="60"/>
      <c r="D802" s="60"/>
      <c r="E802" s="60"/>
    </row>
    <row r="803" ht="15.75" customHeight="1">
      <c r="B803" s="60"/>
      <c r="C803" s="60"/>
      <c r="D803" s="60"/>
      <c r="E803" s="60"/>
    </row>
    <row r="804" ht="15.75" customHeight="1">
      <c r="B804" s="60"/>
      <c r="C804" s="60"/>
      <c r="D804" s="60"/>
      <c r="E804" s="60"/>
    </row>
    <row r="805" ht="15.75" customHeight="1">
      <c r="B805" s="60"/>
      <c r="C805" s="60"/>
      <c r="D805" s="60"/>
      <c r="E805" s="60"/>
    </row>
    <row r="806" ht="15.75" customHeight="1">
      <c r="B806" s="60"/>
      <c r="C806" s="60"/>
      <c r="D806" s="60"/>
      <c r="E806" s="60"/>
    </row>
    <row r="807" ht="15.75" customHeight="1">
      <c r="B807" s="60"/>
      <c r="C807" s="60"/>
      <c r="D807" s="60"/>
      <c r="E807" s="60"/>
    </row>
    <row r="808" ht="15.75" customHeight="1">
      <c r="B808" s="60"/>
      <c r="C808" s="60"/>
      <c r="D808" s="60"/>
      <c r="E808" s="60"/>
    </row>
    <row r="809" ht="15.75" customHeight="1">
      <c r="B809" s="60"/>
      <c r="C809" s="60"/>
      <c r="D809" s="60"/>
      <c r="E809" s="60"/>
    </row>
    <row r="810" ht="15.75" customHeight="1">
      <c r="B810" s="60"/>
      <c r="C810" s="60"/>
      <c r="D810" s="60"/>
      <c r="E810" s="60"/>
    </row>
    <row r="811" ht="15.75" customHeight="1">
      <c r="B811" s="60"/>
      <c r="C811" s="60"/>
      <c r="D811" s="60"/>
      <c r="E811" s="60"/>
    </row>
    <row r="812" ht="15.75" customHeight="1">
      <c r="B812" s="60"/>
      <c r="C812" s="60"/>
      <c r="D812" s="60"/>
      <c r="E812" s="60"/>
    </row>
    <row r="813" ht="15.75" customHeight="1">
      <c r="B813" s="60"/>
      <c r="C813" s="60"/>
      <c r="D813" s="60"/>
      <c r="E813" s="60"/>
    </row>
    <row r="814" ht="15.75" customHeight="1">
      <c r="B814" s="60"/>
      <c r="C814" s="60"/>
      <c r="D814" s="60"/>
      <c r="E814" s="60"/>
    </row>
    <row r="815" ht="15.75" customHeight="1">
      <c r="B815" s="60"/>
      <c r="C815" s="60"/>
      <c r="D815" s="60"/>
      <c r="E815" s="60"/>
    </row>
    <row r="816" ht="15.75" customHeight="1">
      <c r="B816" s="60"/>
      <c r="C816" s="60"/>
      <c r="D816" s="60"/>
      <c r="E816" s="60"/>
    </row>
    <row r="817" ht="15.75" customHeight="1">
      <c r="B817" s="60"/>
      <c r="C817" s="60"/>
      <c r="D817" s="60"/>
      <c r="E817" s="60"/>
    </row>
    <row r="818" ht="15.75" customHeight="1">
      <c r="B818" s="60"/>
      <c r="C818" s="60"/>
      <c r="D818" s="60"/>
      <c r="E818" s="60"/>
    </row>
    <row r="819" ht="15.75" customHeight="1">
      <c r="B819" s="60"/>
      <c r="C819" s="60"/>
      <c r="D819" s="60"/>
      <c r="E819" s="60"/>
    </row>
    <row r="820" ht="15.75" customHeight="1">
      <c r="B820" s="60"/>
      <c r="C820" s="60"/>
      <c r="D820" s="60"/>
      <c r="E820" s="60"/>
    </row>
    <row r="821" ht="15.75" customHeight="1">
      <c r="B821" s="60"/>
      <c r="C821" s="60"/>
      <c r="D821" s="60"/>
      <c r="E821" s="60"/>
    </row>
    <row r="822" ht="15.75" customHeight="1">
      <c r="B822" s="60"/>
      <c r="C822" s="60"/>
      <c r="D822" s="60"/>
      <c r="E822" s="60"/>
    </row>
    <row r="823" ht="15.75" customHeight="1">
      <c r="B823" s="60"/>
      <c r="C823" s="60"/>
      <c r="D823" s="60"/>
      <c r="E823" s="60"/>
    </row>
    <row r="824" ht="15.75" customHeight="1">
      <c r="B824" s="60"/>
      <c r="C824" s="60"/>
      <c r="D824" s="60"/>
      <c r="E824" s="60"/>
    </row>
    <row r="825" ht="15.75" customHeight="1">
      <c r="B825" s="60"/>
      <c r="C825" s="60"/>
      <c r="D825" s="60"/>
      <c r="E825" s="60"/>
    </row>
    <row r="826" ht="15.75" customHeight="1">
      <c r="B826" s="60"/>
      <c r="C826" s="60"/>
      <c r="D826" s="60"/>
      <c r="E826" s="60"/>
    </row>
    <row r="827" ht="15.75" customHeight="1">
      <c r="B827" s="60"/>
      <c r="C827" s="60"/>
      <c r="D827" s="60"/>
      <c r="E827" s="60"/>
    </row>
    <row r="828" ht="15.75" customHeight="1">
      <c r="B828" s="60"/>
      <c r="C828" s="60"/>
      <c r="D828" s="60"/>
      <c r="E828" s="60"/>
    </row>
    <row r="829" ht="15.75" customHeight="1">
      <c r="B829" s="60"/>
      <c r="C829" s="60"/>
      <c r="D829" s="60"/>
      <c r="E829" s="60"/>
    </row>
    <row r="830" ht="15.75" customHeight="1">
      <c r="B830" s="60"/>
      <c r="C830" s="60"/>
      <c r="D830" s="60"/>
      <c r="E830" s="60"/>
    </row>
    <row r="831" ht="15.75" customHeight="1">
      <c r="B831" s="60"/>
      <c r="C831" s="60"/>
      <c r="D831" s="60"/>
      <c r="E831" s="60"/>
    </row>
    <row r="832" ht="15.75" customHeight="1">
      <c r="B832" s="60"/>
      <c r="C832" s="60"/>
      <c r="D832" s="60"/>
      <c r="E832" s="60"/>
    </row>
    <row r="833" ht="15.75" customHeight="1">
      <c r="B833" s="60"/>
      <c r="C833" s="60"/>
      <c r="D833" s="60"/>
      <c r="E833" s="60"/>
    </row>
    <row r="834" ht="15.75" customHeight="1">
      <c r="B834" s="60"/>
      <c r="C834" s="60"/>
      <c r="D834" s="60"/>
      <c r="E834" s="60"/>
    </row>
    <row r="835" ht="15.75" customHeight="1">
      <c r="B835" s="60"/>
      <c r="C835" s="60"/>
      <c r="D835" s="60"/>
      <c r="E835" s="60"/>
    </row>
    <row r="836" ht="15.75" customHeight="1">
      <c r="B836" s="60"/>
      <c r="C836" s="60"/>
      <c r="D836" s="60"/>
      <c r="E836" s="60"/>
    </row>
    <row r="837" ht="15.75" customHeight="1">
      <c r="B837" s="60"/>
      <c r="C837" s="60"/>
      <c r="D837" s="60"/>
      <c r="E837" s="60"/>
    </row>
    <row r="838" ht="15.75" customHeight="1">
      <c r="B838" s="60"/>
      <c r="C838" s="60"/>
      <c r="D838" s="60"/>
      <c r="E838" s="60"/>
    </row>
    <row r="839" ht="15.75" customHeight="1">
      <c r="B839" s="60"/>
      <c r="C839" s="60"/>
      <c r="D839" s="60"/>
      <c r="E839" s="60"/>
    </row>
    <row r="840" ht="15.75" customHeight="1">
      <c r="B840" s="60"/>
      <c r="C840" s="60"/>
      <c r="D840" s="60"/>
      <c r="E840" s="60"/>
    </row>
    <row r="841" ht="15.75" customHeight="1">
      <c r="B841" s="60"/>
      <c r="C841" s="60"/>
      <c r="D841" s="60"/>
      <c r="E841" s="60"/>
    </row>
    <row r="842" ht="15.75" customHeight="1">
      <c r="B842" s="60"/>
      <c r="C842" s="60"/>
      <c r="D842" s="60"/>
      <c r="E842" s="60"/>
    </row>
    <row r="843" ht="15.75" customHeight="1">
      <c r="B843" s="60"/>
      <c r="C843" s="60"/>
      <c r="D843" s="60"/>
      <c r="E843" s="60"/>
    </row>
    <row r="844" ht="15.75" customHeight="1">
      <c r="B844" s="60"/>
      <c r="C844" s="60"/>
      <c r="D844" s="60"/>
      <c r="E844" s="60"/>
    </row>
    <row r="845" ht="15.75" customHeight="1">
      <c r="B845" s="60"/>
      <c r="C845" s="60"/>
      <c r="D845" s="60"/>
      <c r="E845" s="60"/>
    </row>
    <row r="846" ht="15.75" customHeight="1">
      <c r="B846" s="60"/>
      <c r="C846" s="60"/>
      <c r="D846" s="60"/>
      <c r="E846" s="60"/>
    </row>
    <row r="847" ht="15.75" customHeight="1">
      <c r="B847" s="60"/>
      <c r="C847" s="60"/>
      <c r="D847" s="60"/>
      <c r="E847" s="60"/>
    </row>
    <row r="848" ht="15.75" customHeight="1">
      <c r="B848" s="60"/>
      <c r="C848" s="60"/>
      <c r="D848" s="60"/>
      <c r="E848" s="60"/>
    </row>
    <row r="849" ht="15.75" customHeight="1">
      <c r="B849" s="60"/>
      <c r="C849" s="60"/>
      <c r="D849" s="60"/>
      <c r="E849" s="60"/>
    </row>
    <row r="850" ht="15.75" customHeight="1">
      <c r="B850" s="60"/>
      <c r="C850" s="60"/>
      <c r="D850" s="60"/>
      <c r="E850" s="60"/>
    </row>
    <row r="851" ht="15.75" customHeight="1">
      <c r="B851" s="60"/>
      <c r="C851" s="60"/>
      <c r="D851" s="60"/>
      <c r="E851" s="60"/>
    </row>
    <row r="852" ht="15.75" customHeight="1">
      <c r="B852" s="60"/>
      <c r="C852" s="60"/>
      <c r="D852" s="60"/>
      <c r="E852" s="60"/>
    </row>
    <row r="853" ht="15.75" customHeight="1">
      <c r="B853" s="60"/>
      <c r="C853" s="60"/>
      <c r="D853" s="60"/>
      <c r="E853" s="60"/>
    </row>
    <row r="854" ht="15.75" customHeight="1">
      <c r="B854" s="60"/>
      <c r="C854" s="60"/>
      <c r="D854" s="60"/>
      <c r="E854" s="60"/>
    </row>
    <row r="855" ht="15.75" customHeight="1">
      <c r="B855" s="60"/>
      <c r="C855" s="60"/>
      <c r="D855" s="60"/>
      <c r="E855" s="60"/>
    </row>
    <row r="856" ht="15.75" customHeight="1">
      <c r="B856" s="60"/>
      <c r="C856" s="60"/>
      <c r="D856" s="60"/>
      <c r="E856" s="60"/>
    </row>
    <row r="857" ht="15.75" customHeight="1">
      <c r="B857" s="60"/>
      <c r="C857" s="60"/>
      <c r="D857" s="60"/>
      <c r="E857" s="60"/>
    </row>
    <row r="858" ht="15.75" customHeight="1">
      <c r="B858" s="60"/>
      <c r="C858" s="60"/>
      <c r="D858" s="60"/>
      <c r="E858" s="60"/>
    </row>
    <row r="859" ht="15.75" customHeight="1">
      <c r="B859" s="60"/>
      <c r="C859" s="60"/>
      <c r="D859" s="60"/>
      <c r="E859" s="60"/>
    </row>
    <row r="860" ht="15.75" customHeight="1">
      <c r="B860" s="60"/>
      <c r="C860" s="60"/>
      <c r="D860" s="60"/>
      <c r="E860" s="60"/>
    </row>
    <row r="861" ht="15.75" customHeight="1">
      <c r="B861" s="60"/>
      <c r="C861" s="60"/>
      <c r="D861" s="60"/>
      <c r="E861" s="60"/>
    </row>
    <row r="862" ht="15.75" customHeight="1">
      <c r="B862" s="60"/>
      <c r="C862" s="60"/>
      <c r="D862" s="60"/>
      <c r="E862" s="60"/>
    </row>
    <row r="863" ht="15.75" customHeight="1">
      <c r="B863" s="60"/>
      <c r="C863" s="60"/>
      <c r="D863" s="60"/>
      <c r="E863" s="60"/>
    </row>
    <row r="864" ht="15.75" customHeight="1">
      <c r="B864" s="60"/>
      <c r="C864" s="60"/>
      <c r="D864" s="60"/>
      <c r="E864" s="60"/>
    </row>
    <row r="865" ht="15.75" customHeight="1">
      <c r="B865" s="60"/>
      <c r="C865" s="60"/>
      <c r="D865" s="60"/>
      <c r="E865" s="60"/>
    </row>
    <row r="866" ht="15.75" customHeight="1">
      <c r="B866" s="60"/>
      <c r="C866" s="60"/>
      <c r="D866" s="60"/>
      <c r="E866" s="60"/>
    </row>
    <row r="867" ht="15.75" customHeight="1">
      <c r="B867" s="60"/>
      <c r="C867" s="60"/>
      <c r="D867" s="60"/>
      <c r="E867" s="60"/>
    </row>
    <row r="868" ht="15.75" customHeight="1">
      <c r="B868" s="60"/>
      <c r="C868" s="60"/>
      <c r="D868" s="60"/>
      <c r="E868" s="60"/>
    </row>
    <row r="869" ht="15.75" customHeight="1">
      <c r="B869" s="60"/>
      <c r="C869" s="60"/>
      <c r="D869" s="60"/>
      <c r="E869" s="60"/>
    </row>
    <row r="870" ht="15.75" customHeight="1">
      <c r="B870" s="60"/>
      <c r="C870" s="60"/>
      <c r="D870" s="60"/>
      <c r="E870" s="60"/>
    </row>
    <row r="871" ht="15.75" customHeight="1">
      <c r="B871" s="60"/>
      <c r="C871" s="60"/>
      <c r="D871" s="60"/>
      <c r="E871" s="60"/>
    </row>
    <row r="872" ht="15.75" customHeight="1">
      <c r="B872" s="60"/>
      <c r="C872" s="60"/>
      <c r="D872" s="60"/>
      <c r="E872" s="60"/>
    </row>
    <row r="873" ht="15.75" customHeight="1">
      <c r="B873" s="60"/>
      <c r="C873" s="60"/>
      <c r="D873" s="60"/>
      <c r="E873" s="60"/>
    </row>
    <row r="874" ht="15.75" customHeight="1">
      <c r="B874" s="60"/>
      <c r="C874" s="60"/>
      <c r="D874" s="60"/>
      <c r="E874" s="60"/>
    </row>
    <row r="875" ht="15.75" customHeight="1">
      <c r="B875" s="60"/>
      <c r="C875" s="60"/>
      <c r="D875" s="60"/>
      <c r="E875" s="60"/>
    </row>
    <row r="876" ht="15.75" customHeight="1">
      <c r="B876" s="60"/>
      <c r="C876" s="60"/>
      <c r="D876" s="60"/>
      <c r="E876" s="60"/>
    </row>
    <row r="877" ht="15.75" customHeight="1">
      <c r="B877" s="60"/>
      <c r="C877" s="60"/>
      <c r="D877" s="60"/>
      <c r="E877" s="60"/>
    </row>
    <row r="878" ht="15.75" customHeight="1">
      <c r="B878" s="60"/>
      <c r="C878" s="60"/>
      <c r="D878" s="60"/>
      <c r="E878" s="60"/>
    </row>
    <row r="879" ht="15.75" customHeight="1">
      <c r="B879" s="60"/>
      <c r="C879" s="60"/>
      <c r="D879" s="60"/>
      <c r="E879" s="60"/>
    </row>
    <row r="880" ht="15.75" customHeight="1">
      <c r="B880" s="60"/>
      <c r="C880" s="60"/>
      <c r="D880" s="60"/>
      <c r="E880" s="60"/>
    </row>
    <row r="881" ht="15.75" customHeight="1">
      <c r="B881" s="60"/>
      <c r="C881" s="60"/>
      <c r="D881" s="60"/>
      <c r="E881" s="60"/>
    </row>
    <row r="882" ht="15.75" customHeight="1">
      <c r="B882" s="60"/>
      <c r="C882" s="60"/>
      <c r="D882" s="60"/>
      <c r="E882" s="60"/>
    </row>
    <row r="883" ht="15.75" customHeight="1">
      <c r="B883" s="60"/>
      <c r="C883" s="60"/>
      <c r="D883" s="60"/>
      <c r="E883" s="60"/>
    </row>
    <row r="884" ht="15.75" customHeight="1">
      <c r="B884" s="60"/>
      <c r="C884" s="60"/>
      <c r="D884" s="60"/>
      <c r="E884" s="60"/>
    </row>
    <row r="885" ht="15.75" customHeight="1">
      <c r="B885" s="60"/>
      <c r="C885" s="60"/>
      <c r="D885" s="60"/>
      <c r="E885" s="60"/>
    </row>
    <row r="886" ht="15.75" customHeight="1">
      <c r="B886" s="60"/>
      <c r="C886" s="60"/>
      <c r="D886" s="60"/>
      <c r="E886" s="60"/>
    </row>
    <row r="887" ht="15.75" customHeight="1">
      <c r="B887" s="60"/>
      <c r="C887" s="60"/>
      <c r="D887" s="60"/>
      <c r="E887" s="60"/>
    </row>
    <row r="888" ht="15.75" customHeight="1">
      <c r="B888" s="60"/>
      <c r="C888" s="60"/>
      <c r="D888" s="60"/>
      <c r="E888" s="60"/>
    </row>
    <row r="889" ht="15.75" customHeight="1">
      <c r="B889" s="60"/>
      <c r="C889" s="60"/>
      <c r="D889" s="60"/>
      <c r="E889" s="60"/>
    </row>
    <row r="890" ht="15.75" customHeight="1">
      <c r="B890" s="60"/>
      <c r="C890" s="60"/>
      <c r="D890" s="60"/>
      <c r="E890" s="60"/>
    </row>
    <row r="891" ht="15.75" customHeight="1">
      <c r="B891" s="60"/>
      <c r="C891" s="60"/>
      <c r="D891" s="60"/>
      <c r="E891" s="60"/>
    </row>
    <row r="892" ht="15.75" customHeight="1">
      <c r="B892" s="60"/>
      <c r="C892" s="60"/>
      <c r="D892" s="60"/>
      <c r="E892" s="60"/>
    </row>
    <row r="893" ht="15.75" customHeight="1">
      <c r="B893" s="60"/>
      <c r="C893" s="60"/>
      <c r="D893" s="60"/>
      <c r="E893" s="60"/>
    </row>
    <row r="894" ht="15.75" customHeight="1">
      <c r="B894" s="60"/>
      <c r="C894" s="60"/>
      <c r="D894" s="60"/>
      <c r="E894" s="60"/>
    </row>
    <row r="895" ht="15.75" customHeight="1">
      <c r="B895" s="60"/>
      <c r="C895" s="60"/>
      <c r="D895" s="60"/>
      <c r="E895" s="60"/>
    </row>
    <row r="896" ht="15.75" customHeight="1">
      <c r="B896" s="60"/>
      <c r="C896" s="60"/>
      <c r="D896" s="60"/>
      <c r="E896" s="60"/>
    </row>
    <row r="897" ht="15.75" customHeight="1">
      <c r="B897" s="60"/>
      <c r="C897" s="60"/>
      <c r="D897" s="60"/>
      <c r="E897" s="60"/>
    </row>
    <row r="898" ht="15.75" customHeight="1">
      <c r="B898" s="60"/>
      <c r="C898" s="60"/>
      <c r="D898" s="60"/>
      <c r="E898" s="60"/>
    </row>
    <row r="899" ht="15.75" customHeight="1">
      <c r="B899" s="60"/>
      <c r="C899" s="60"/>
      <c r="D899" s="60"/>
      <c r="E899" s="60"/>
    </row>
    <row r="900" ht="15.75" customHeight="1">
      <c r="B900" s="60"/>
      <c r="C900" s="60"/>
      <c r="D900" s="60"/>
      <c r="E900" s="60"/>
    </row>
    <row r="901" ht="15.75" customHeight="1">
      <c r="B901" s="60"/>
      <c r="C901" s="60"/>
      <c r="D901" s="60"/>
      <c r="E901" s="60"/>
    </row>
    <row r="902" ht="15.75" customHeight="1">
      <c r="B902" s="60"/>
      <c r="C902" s="60"/>
      <c r="D902" s="60"/>
      <c r="E902" s="60"/>
    </row>
    <row r="903" ht="15.75" customHeight="1">
      <c r="B903" s="60"/>
      <c r="C903" s="60"/>
      <c r="D903" s="60"/>
      <c r="E903" s="60"/>
    </row>
    <row r="904" ht="15.75" customHeight="1">
      <c r="B904" s="60"/>
      <c r="C904" s="60"/>
      <c r="D904" s="60"/>
      <c r="E904" s="60"/>
    </row>
    <row r="905" ht="15.75" customHeight="1">
      <c r="B905" s="60"/>
      <c r="C905" s="60"/>
      <c r="D905" s="60"/>
      <c r="E905" s="60"/>
    </row>
    <row r="906" ht="15.75" customHeight="1">
      <c r="B906" s="60"/>
      <c r="C906" s="60"/>
      <c r="D906" s="60"/>
      <c r="E906" s="60"/>
    </row>
    <row r="907" ht="15.75" customHeight="1">
      <c r="B907" s="60"/>
      <c r="C907" s="60"/>
      <c r="D907" s="60"/>
      <c r="E907" s="60"/>
    </row>
    <row r="908" ht="15.75" customHeight="1">
      <c r="B908" s="60"/>
      <c r="C908" s="60"/>
      <c r="D908" s="60"/>
      <c r="E908" s="60"/>
    </row>
    <row r="909" ht="15.75" customHeight="1">
      <c r="B909" s="60"/>
      <c r="C909" s="60"/>
      <c r="D909" s="60"/>
      <c r="E909" s="60"/>
    </row>
    <row r="910" ht="15.75" customHeight="1">
      <c r="B910" s="60"/>
      <c r="C910" s="60"/>
      <c r="D910" s="60"/>
      <c r="E910" s="60"/>
    </row>
    <row r="911" ht="15.75" customHeight="1">
      <c r="B911" s="60"/>
      <c r="C911" s="60"/>
      <c r="D911" s="60"/>
      <c r="E911" s="60"/>
    </row>
    <row r="912" ht="15.75" customHeight="1">
      <c r="B912" s="60"/>
      <c r="C912" s="60"/>
      <c r="D912" s="60"/>
      <c r="E912" s="60"/>
    </row>
    <row r="913" ht="15.75" customHeight="1">
      <c r="B913" s="60"/>
      <c r="C913" s="60"/>
      <c r="D913" s="60"/>
      <c r="E913" s="60"/>
    </row>
    <row r="914" ht="15.75" customHeight="1">
      <c r="B914" s="60"/>
      <c r="C914" s="60"/>
      <c r="D914" s="60"/>
      <c r="E914" s="60"/>
    </row>
    <row r="915" ht="15.75" customHeight="1">
      <c r="B915" s="60"/>
      <c r="C915" s="60"/>
      <c r="D915" s="60"/>
      <c r="E915" s="60"/>
    </row>
    <row r="916" ht="15.75" customHeight="1">
      <c r="B916" s="60"/>
      <c r="C916" s="60"/>
      <c r="D916" s="60"/>
      <c r="E916" s="60"/>
    </row>
    <row r="917" ht="15.75" customHeight="1">
      <c r="B917" s="60"/>
      <c r="C917" s="60"/>
      <c r="D917" s="60"/>
      <c r="E917" s="60"/>
    </row>
    <row r="918" ht="15.75" customHeight="1">
      <c r="B918" s="60"/>
      <c r="C918" s="60"/>
      <c r="D918" s="60"/>
      <c r="E918" s="60"/>
    </row>
    <row r="919" ht="15.75" customHeight="1">
      <c r="B919" s="60"/>
      <c r="C919" s="60"/>
      <c r="D919" s="60"/>
      <c r="E919" s="60"/>
    </row>
    <row r="920" ht="15.75" customHeight="1">
      <c r="B920" s="60"/>
      <c r="C920" s="60"/>
      <c r="D920" s="60"/>
      <c r="E920" s="60"/>
    </row>
    <row r="921" ht="15.75" customHeight="1">
      <c r="B921" s="60"/>
      <c r="C921" s="60"/>
      <c r="D921" s="60"/>
      <c r="E921" s="60"/>
    </row>
    <row r="922" ht="15.75" customHeight="1">
      <c r="B922" s="60"/>
      <c r="C922" s="60"/>
      <c r="D922" s="60"/>
      <c r="E922" s="60"/>
    </row>
    <row r="923" ht="15.75" customHeight="1">
      <c r="B923" s="60"/>
      <c r="C923" s="60"/>
      <c r="D923" s="60"/>
      <c r="E923" s="60"/>
    </row>
    <row r="924" ht="15.75" customHeight="1">
      <c r="B924" s="60"/>
      <c r="C924" s="60"/>
      <c r="D924" s="60"/>
      <c r="E924" s="60"/>
    </row>
    <row r="925" ht="15.75" customHeight="1">
      <c r="B925" s="60"/>
      <c r="C925" s="60"/>
      <c r="D925" s="60"/>
      <c r="E925" s="60"/>
    </row>
    <row r="926" ht="15.75" customHeight="1">
      <c r="B926" s="60"/>
      <c r="C926" s="60"/>
      <c r="D926" s="60"/>
      <c r="E926" s="60"/>
    </row>
    <row r="927" ht="15.75" customHeight="1">
      <c r="B927" s="60"/>
      <c r="C927" s="60"/>
      <c r="D927" s="60"/>
      <c r="E927" s="60"/>
    </row>
    <row r="928" ht="15.75" customHeight="1">
      <c r="B928" s="60"/>
      <c r="C928" s="60"/>
      <c r="D928" s="60"/>
      <c r="E928" s="60"/>
    </row>
    <row r="929" ht="15.75" customHeight="1">
      <c r="B929" s="60"/>
      <c r="C929" s="60"/>
      <c r="D929" s="60"/>
      <c r="E929" s="60"/>
    </row>
    <row r="930" ht="15.75" customHeight="1">
      <c r="B930" s="60"/>
      <c r="C930" s="60"/>
      <c r="D930" s="60"/>
      <c r="E930" s="60"/>
    </row>
    <row r="931" ht="15.75" customHeight="1">
      <c r="B931" s="60"/>
      <c r="C931" s="60"/>
      <c r="D931" s="60"/>
      <c r="E931" s="60"/>
    </row>
    <row r="932" ht="15.75" customHeight="1">
      <c r="B932" s="60"/>
      <c r="C932" s="60"/>
      <c r="D932" s="60"/>
      <c r="E932" s="60"/>
    </row>
    <row r="933" ht="15.75" customHeight="1">
      <c r="B933" s="60"/>
      <c r="C933" s="60"/>
      <c r="D933" s="60"/>
      <c r="E933" s="60"/>
    </row>
    <row r="934" ht="15.75" customHeight="1">
      <c r="B934" s="60"/>
      <c r="C934" s="60"/>
      <c r="D934" s="60"/>
      <c r="E934" s="60"/>
    </row>
    <row r="935" ht="15.75" customHeight="1">
      <c r="B935" s="60"/>
      <c r="C935" s="60"/>
      <c r="D935" s="60"/>
      <c r="E935" s="60"/>
    </row>
    <row r="936" ht="15.75" customHeight="1">
      <c r="B936" s="60"/>
      <c r="C936" s="60"/>
      <c r="D936" s="60"/>
      <c r="E936" s="60"/>
    </row>
    <row r="937" ht="15.75" customHeight="1">
      <c r="B937" s="60"/>
      <c r="C937" s="60"/>
      <c r="D937" s="60"/>
      <c r="E937" s="60"/>
    </row>
    <row r="938" ht="15.75" customHeight="1">
      <c r="B938" s="60"/>
      <c r="C938" s="60"/>
      <c r="D938" s="60"/>
      <c r="E938" s="60"/>
    </row>
    <row r="939" ht="15.75" customHeight="1">
      <c r="B939" s="60"/>
      <c r="C939" s="60"/>
      <c r="D939" s="60"/>
      <c r="E939" s="60"/>
    </row>
    <row r="940" ht="15.75" customHeight="1">
      <c r="B940" s="60"/>
      <c r="C940" s="60"/>
      <c r="D940" s="60"/>
      <c r="E940" s="60"/>
    </row>
    <row r="941" ht="15.75" customHeight="1">
      <c r="B941" s="60"/>
      <c r="C941" s="60"/>
      <c r="D941" s="60"/>
      <c r="E941" s="60"/>
    </row>
    <row r="942" ht="15.75" customHeight="1">
      <c r="B942" s="60"/>
      <c r="C942" s="60"/>
      <c r="D942" s="60"/>
      <c r="E942" s="60"/>
    </row>
    <row r="943" ht="15.75" customHeight="1">
      <c r="B943" s="60"/>
      <c r="C943" s="60"/>
      <c r="D943" s="60"/>
      <c r="E943" s="60"/>
    </row>
    <row r="944" ht="15.75" customHeight="1">
      <c r="B944" s="60"/>
      <c r="C944" s="60"/>
      <c r="D944" s="60"/>
      <c r="E944" s="60"/>
    </row>
    <row r="945" ht="15.75" customHeight="1">
      <c r="B945" s="60"/>
      <c r="C945" s="60"/>
      <c r="D945" s="60"/>
      <c r="E945" s="60"/>
    </row>
    <row r="946" ht="15.75" customHeight="1">
      <c r="B946" s="60"/>
      <c r="C946" s="60"/>
      <c r="D946" s="60"/>
      <c r="E946" s="60"/>
    </row>
    <row r="947" ht="15.75" customHeight="1">
      <c r="B947" s="60"/>
      <c r="C947" s="60"/>
      <c r="D947" s="60"/>
      <c r="E947" s="60"/>
    </row>
    <row r="948" ht="15.75" customHeight="1">
      <c r="B948" s="60"/>
      <c r="C948" s="60"/>
      <c r="D948" s="60"/>
      <c r="E948" s="60"/>
    </row>
    <row r="949" ht="15.75" customHeight="1">
      <c r="B949" s="60"/>
      <c r="C949" s="60"/>
      <c r="D949" s="60"/>
      <c r="E949" s="60"/>
    </row>
    <row r="950" ht="15.75" customHeight="1">
      <c r="B950" s="60"/>
      <c r="C950" s="60"/>
      <c r="D950" s="60"/>
      <c r="E950" s="60"/>
    </row>
    <row r="951" ht="15.75" customHeight="1">
      <c r="B951" s="60"/>
      <c r="C951" s="60"/>
      <c r="D951" s="60"/>
      <c r="E951" s="60"/>
    </row>
    <row r="952" ht="15.75" customHeight="1">
      <c r="B952" s="60"/>
      <c r="C952" s="60"/>
      <c r="D952" s="60"/>
      <c r="E952" s="60"/>
    </row>
    <row r="953" ht="15.75" customHeight="1">
      <c r="B953" s="60"/>
      <c r="C953" s="60"/>
      <c r="D953" s="60"/>
      <c r="E953" s="60"/>
    </row>
    <row r="954" ht="15.75" customHeight="1">
      <c r="B954" s="60"/>
      <c r="C954" s="60"/>
      <c r="D954" s="60"/>
      <c r="E954" s="60"/>
    </row>
    <row r="955" ht="15.75" customHeight="1">
      <c r="B955" s="60"/>
      <c r="C955" s="60"/>
      <c r="D955" s="60"/>
      <c r="E955" s="60"/>
    </row>
    <row r="956" ht="15.75" customHeight="1">
      <c r="B956" s="60"/>
      <c r="C956" s="60"/>
      <c r="D956" s="60"/>
      <c r="E956" s="60"/>
    </row>
    <row r="957" ht="15.75" customHeight="1">
      <c r="B957" s="60"/>
      <c r="C957" s="60"/>
      <c r="D957" s="60"/>
      <c r="E957" s="60"/>
    </row>
    <row r="958" ht="15.75" customHeight="1">
      <c r="B958" s="60"/>
      <c r="C958" s="60"/>
      <c r="D958" s="60"/>
      <c r="E958" s="60"/>
    </row>
    <row r="959" ht="15.75" customHeight="1">
      <c r="B959" s="60"/>
      <c r="C959" s="60"/>
      <c r="D959" s="60"/>
      <c r="E959" s="60"/>
    </row>
    <row r="960" ht="15.75" customHeight="1">
      <c r="B960" s="60"/>
      <c r="C960" s="60"/>
      <c r="D960" s="60"/>
      <c r="E960" s="60"/>
    </row>
    <row r="961" ht="15.75" customHeight="1">
      <c r="B961" s="60"/>
      <c r="C961" s="60"/>
      <c r="D961" s="60"/>
      <c r="E961" s="60"/>
    </row>
    <row r="962" ht="15.75" customHeight="1">
      <c r="B962" s="60"/>
      <c r="C962" s="60"/>
      <c r="D962" s="60"/>
      <c r="E962" s="60"/>
    </row>
    <row r="963" ht="15.75" customHeight="1">
      <c r="B963" s="60"/>
      <c r="C963" s="60"/>
      <c r="D963" s="60"/>
      <c r="E963" s="60"/>
    </row>
    <row r="964" ht="15.75" customHeight="1">
      <c r="B964" s="60"/>
      <c r="C964" s="60"/>
      <c r="D964" s="60"/>
      <c r="E964" s="60"/>
    </row>
    <row r="965" ht="15.75" customHeight="1">
      <c r="B965" s="60"/>
      <c r="C965" s="60"/>
      <c r="D965" s="60"/>
      <c r="E965" s="60"/>
    </row>
    <row r="966" ht="15.75" customHeight="1">
      <c r="B966" s="60"/>
      <c r="C966" s="60"/>
      <c r="D966" s="60"/>
      <c r="E966" s="60"/>
    </row>
    <row r="967" ht="15.75" customHeight="1">
      <c r="B967" s="60"/>
      <c r="C967" s="60"/>
      <c r="D967" s="60"/>
      <c r="E967" s="60"/>
    </row>
    <row r="968" ht="15.75" customHeight="1">
      <c r="B968" s="60"/>
      <c r="C968" s="60"/>
      <c r="D968" s="60"/>
      <c r="E968" s="60"/>
    </row>
    <row r="969" ht="15.75" customHeight="1">
      <c r="B969" s="60"/>
      <c r="C969" s="60"/>
      <c r="D969" s="60"/>
      <c r="E969" s="60"/>
    </row>
    <row r="970" ht="15.75" customHeight="1">
      <c r="B970" s="60"/>
      <c r="C970" s="60"/>
      <c r="D970" s="60"/>
      <c r="E970" s="60"/>
    </row>
    <row r="971" ht="15.75" customHeight="1">
      <c r="B971" s="60"/>
      <c r="C971" s="60"/>
      <c r="D971" s="60"/>
      <c r="E971" s="60"/>
    </row>
    <row r="972" ht="15.75" customHeight="1">
      <c r="B972" s="60"/>
      <c r="C972" s="60"/>
      <c r="D972" s="60"/>
      <c r="E972" s="60"/>
    </row>
    <row r="973" ht="15.75" customHeight="1">
      <c r="B973" s="60"/>
      <c r="C973" s="60"/>
      <c r="D973" s="60"/>
      <c r="E973" s="60"/>
    </row>
    <row r="974" ht="15.75" customHeight="1">
      <c r="B974" s="60"/>
      <c r="C974" s="60"/>
      <c r="D974" s="60"/>
      <c r="E974" s="60"/>
    </row>
    <row r="975" ht="15.75" customHeight="1">
      <c r="B975" s="60"/>
      <c r="C975" s="60"/>
      <c r="D975" s="60"/>
      <c r="E975" s="60"/>
    </row>
    <row r="976" ht="15.75" customHeight="1">
      <c r="B976" s="60"/>
      <c r="C976" s="60"/>
      <c r="D976" s="60"/>
      <c r="E976" s="60"/>
    </row>
    <row r="977" ht="15.75" customHeight="1">
      <c r="B977" s="60"/>
      <c r="C977" s="60"/>
      <c r="D977" s="60"/>
      <c r="E977" s="60"/>
    </row>
    <row r="978" ht="15.75" customHeight="1">
      <c r="B978" s="60"/>
      <c r="C978" s="60"/>
      <c r="D978" s="60"/>
      <c r="E978" s="60"/>
    </row>
    <row r="979" ht="15.75" customHeight="1">
      <c r="B979" s="60"/>
      <c r="C979" s="60"/>
      <c r="D979" s="60"/>
      <c r="E979" s="60"/>
    </row>
    <row r="980" ht="15.75" customHeight="1">
      <c r="B980" s="60"/>
      <c r="C980" s="60"/>
      <c r="D980" s="60"/>
      <c r="E980" s="60"/>
    </row>
    <row r="981" ht="15.75" customHeight="1">
      <c r="B981" s="60"/>
      <c r="C981" s="60"/>
      <c r="D981" s="60"/>
      <c r="E981" s="60"/>
    </row>
    <row r="982" ht="15.75" customHeight="1">
      <c r="B982" s="60"/>
      <c r="C982" s="60"/>
      <c r="D982" s="60"/>
      <c r="E982" s="60"/>
    </row>
    <row r="983" ht="15.75" customHeight="1">
      <c r="B983" s="60"/>
      <c r="C983" s="60"/>
      <c r="D983" s="60"/>
      <c r="E983" s="60"/>
    </row>
    <row r="984" ht="15.75" customHeight="1">
      <c r="B984" s="60"/>
      <c r="C984" s="60"/>
      <c r="D984" s="60"/>
      <c r="E984" s="60"/>
    </row>
    <row r="985" ht="15.75" customHeight="1">
      <c r="B985" s="60"/>
      <c r="C985" s="60"/>
      <c r="D985" s="60"/>
      <c r="E985" s="60"/>
    </row>
    <row r="986" ht="15.75" customHeight="1">
      <c r="B986" s="60"/>
      <c r="C986" s="60"/>
      <c r="D986" s="60"/>
      <c r="E986" s="60"/>
    </row>
    <row r="987" ht="15.75" customHeight="1">
      <c r="B987" s="60"/>
      <c r="C987" s="60"/>
      <c r="D987" s="60"/>
      <c r="E987" s="60"/>
    </row>
    <row r="988" ht="15.75" customHeight="1">
      <c r="B988" s="60"/>
      <c r="C988" s="60"/>
      <c r="D988" s="60"/>
      <c r="E988" s="60"/>
    </row>
    <row r="989" ht="15.75" customHeight="1">
      <c r="B989" s="60"/>
      <c r="C989" s="60"/>
      <c r="D989" s="60"/>
      <c r="E989" s="60"/>
    </row>
    <row r="990" ht="15.75" customHeight="1">
      <c r="B990" s="60"/>
      <c r="C990" s="60"/>
      <c r="D990" s="60"/>
      <c r="E990" s="60"/>
    </row>
    <row r="991" ht="15.75" customHeight="1">
      <c r="B991" s="60"/>
      <c r="C991" s="60"/>
      <c r="D991" s="60"/>
      <c r="E991" s="60"/>
    </row>
    <row r="992" ht="15.75" customHeight="1">
      <c r="B992" s="60"/>
      <c r="C992" s="60"/>
      <c r="D992" s="60"/>
      <c r="E992" s="60"/>
    </row>
    <row r="993" ht="15.75" customHeight="1">
      <c r="B993" s="60"/>
      <c r="C993" s="60"/>
      <c r="D993" s="60"/>
      <c r="E993" s="60"/>
    </row>
    <row r="994" ht="15.75" customHeight="1">
      <c r="B994" s="60"/>
      <c r="C994" s="60"/>
      <c r="D994" s="60"/>
      <c r="E994" s="60"/>
    </row>
    <row r="995" ht="15.75" customHeight="1">
      <c r="B995" s="60"/>
      <c r="C995" s="60"/>
      <c r="D995" s="60"/>
      <c r="E995" s="60"/>
    </row>
    <row r="996" ht="15.75" customHeight="1">
      <c r="B996" s="60"/>
      <c r="C996" s="60"/>
      <c r="D996" s="60"/>
      <c r="E996" s="60"/>
    </row>
    <row r="997" ht="15.75" customHeight="1">
      <c r="B997" s="60"/>
      <c r="C997" s="60"/>
      <c r="D997" s="60"/>
      <c r="E997" s="60"/>
    </row>
    <row r="998" ht="15.75" customHeight="1">
      <c r="B998" s="60"/>
      <c r="C998" s="60"/>
      <c r="D998" s="60"/>
      <c r="E998" s="60"/>
    </row>
    <row r="999" ht="15.75" customHeight="1">
      <c r="B999" s="60"/>
      <c r="C999" s="60"/>
      <c r="D999" s="60"/>
      <c r="E999" s="60"/>
    </row>
    <row r="1000" ht="15.75" customHeight="1">
      <c r="B1000" s="60"/>
      <c r="C1000" s="60"/>
      <c r="D1000" s="60"/>
      <c r="E1000" s="60"/>
    </row>
  </sheetData>
  <mergeCells count="5">
    <mergeCell ref="B1:G1"/>
    <mergeCell ref="C3:G3"/>
    <mergeCell ref="C4:G4"/>
    <mergeCell ref="C5:G5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27.5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42"/>
      <c r="B1" s="64" t="s">
        <v>59</v>
      </c>
    </row>
    <row r="2" ht="15.75" customHeight="1">
      <c r="C2" s="60"/>
    </row>
    <row r="3" ht="15.75" customHeight="1">
      <c r="A3" s="65"/>
      <c r="B3" s="43" t="s">
        <v>1</v>
      </c>
      <c r="C3" s="66" t="s">
        <v>60</v>
      </c>
      <c r="G3" s="67"/>
    </row>
    <row r="4" ht="15.75" customHeight="1">
      <c r="A4" s="65"/>
      <c r="B4" s="43" t="s">
        <v>20</v>
      </c>
      <c r="C4" s="68">
        <f t="array" ref="C4">IFERROR(XLOOKUP(TRIM(C3), Competencias_actuales!D15:D1000, Competencias_actuales!C15:C1000), "Código no encontrado")</f>
        <v>770</v>
      </c>
      <c r="E4" s="69"/>
      <c r="F4" s="69"/>
      <c r="G4" s="69"/>
      <c r="H4" s="3" t="str">
        <f>C4&amp;" - "&amp;C3</f>
        <v>770 - Introducción a ala programación y computación 1</v>
      </c>
    </row>
    <row r="5" ht="15.75" customHeight="1">
      <c r="C5" s="60"/>
    </row>
    <row r="6" ht="15.75" customHeight="1">
      <c r="B6" s="70" t="s">
        <v>56</v>
      </c>
      <c r="C6" s="71" t="s">
        <v>17</v>
      </c>
      <c r="D6" s="70" t="s">
        <v>52</v>
      </c>
      <c r="E6" s="70" t="s">
        <v>53</v>
      </c>
      <c r="F6" s="72" t="s">
        <v>61</v>
      </c>
      <c r="G6" s="72" t="s">
        <v>62</v>
      </c>
      <c r="H6" s="72" t="s">
        <v>63</v>
      </c>
    </row>
    <row r="7" ht="15.75" customHeight="1">
      <c r="B7" s="41">
        <f>IFERROR(__xludf.DUMMYFUNCTION("QUERY(IMPORTRANGE(VLOOKUP(H4,METADA!A:B,2,FALSE), ""Diseño Curricular!A4:G500""), )"),1.0)</f>
        <v>1</v>
      </c>
      <c r="C7" s="60" t="str">
        <f>IFERROR(__xludf.DUMMYFUNCTION("""COMPUTED_VALUE"""),"Diseña algoritmos  aplicando diagramas de flujo y pseudocódigo para resolver problemas básicos de lógica computacional ")</f>
        <v>Diseña algoritmos  aplicando diagramas de flujo y pseudocódigo para resolver problemas básicos de lógica computacional </v>
      </c>
      <c r="D7" s="41" t="str">
        <f>IFERROR(__xludf.DUMMYFUNCTION("""COMPUTED_VALUE"""),"1. Introducción a la Programación")</f>
        <v>1. Introducción a la Programación</v>
      </c>
      <c r="E7" s="41" t="str">
        <f>IFERROR(__xludf.DUMMYFUNCTION("""COMPUTED_VALUE"""),"Introducción a los fundamentos de Programación")</f>
        <v>Introducción a los fundamentos de Programación</v>
      </c>
      <c r="F7" s="41" t="str">
        <f>IFERROR(__xludf.DUMMYFUNCTION("""COMPUTED_VALUE"""),"Algoritmos")</f>
        <v>Algoritmos</v>
      </c>
      <c r="G7" s="41" t="str">
        <f>IFERROR(__xludf.DUMMYFUNCTION("""COMPUTED_VALUE"""),"Julio")</f>
        <v>Julio</v>
      </c>
      <c r="H7" s="41">
        <f>IFERROR(__xludf.DUMMYFUNCTION("""COMPUTED_VALUE"""),1.0)</f>
        <v>1</v>
      </c>
    </row>
    <row r="8" ht="15.75" customHeight="1">
      <c r="B8" s="41">
        <f>IFERROR(__xludf.DUMMYFUNCTION("""COMPUTED_VALUE"""),2.0)</f>
        <v>2</v>
      </c>
      <c r="C8" s="60" t="str">
        <f>IFERROR(__xludf.DUMMYFUNCTION("""COMPUTED_VALUE"""),"Diseña algoritmos  aplicando diagramas de flujo y pseudocódigo para resolver problemas básicos de lógica computacional ")</f>
        <v>Diseña algoritmos  aplicando diagramas de flujo y pseudocódigo para resolver problemas básicos de lógica computacional </v>
      </c>
      <c r="D8" s="41" t="str">
        <f>IFERROR(__xludf.DUMMYFUNCTION("""COMPUTED_VALUE"""),"1. Introducción a la Programación")</f>
        <v>1. Introducción a la Programación</v>
      </c>
      <c r="E8" s="41" t="str">
        <f>IFERROR(__xludf.DUMMYFUNCTION("""COMPUTED_VALUE"""),"Introducción a los fundamentos de Programación")</f>
        <v>Introducción a los fundamentos de Programación</v>
      </c>
      <c r="F8" s="41" t="str">
        <f>IFERROR(__xludf.DUMMYFUNCTION("""COMPUTED_VALUE"""),"Diagramas de Flujo")</f>
        <v>Diagramas de Flujo</v>
      </c>
      <c r="G8" s="41" t="str">
        <f>IFERROR(__xludf.DUMMYFUNCTION("""COMPUTED_VALUE"""),"Julio")</f>
        <v>Julio</v>
      </c>
      <c r="H8" s="41">
        <f>IFERROR(__xludf.DUMMYFUNCTION("""COMPUTED_VALUE"""),1.0)</f>
        <v>1</v>
      </c>
    </row>
    <row r="9" ht="15.75" customHeight="1">
      <c r="B9" s="41">
        <f>IFERROR(__xludf.DUMMYFUNCTION("""COMPUTED_VALUE"""),3.0)</f>
        <v>3</v>
      </c>
      <c r="C9" s="60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D9" s="41" t="str">
        <f>IFERROR(__xludf.DUMMYFUNCTION("""COMPUTED_VALUE"""),"1. Introducción a la Programación")</f>
        <v>1. Introducción a la Programación</v>
      </c>
      <c r="E9" s="41" t="str">
        <f>IFERROR(__xludf.DUMMYFUNCTION("""COMPUTED_VALUE"""),"Introducción a los fundamentos de Programación")</f>
        <v>Introducción a los fundamentos de Programación</v>
      </c>
      <c r="F9" s="41" t="str">
        <f>IFERROR(__xludf.DUMMYFUNCTION("""COMPUTED_VALUE"""),"Pseudocódigo")</f>
        <v>Pseudocódigo</v>
      </c>
      <c r="G9" s="41" t="str">
        <f>IFERROR(__xludf.DUMMYFUNCTION("""COMPUTED_VALUE"""),"Julio")</f>
        <v>Julio</v>
      </c>
      <c r="H9" s="41">
        <f>IFERROR(__xludf.DUMMYFUNCTION("""COMPUTED_VALUE"""),2.0)</f>
        <v>2</v>
      </c>
    </row>
    <row r="10" ht="15.75" customHeight="1">
      <c r="B10" s="41">
        <f>IFERROR(__xludf.DUMMYFUNCTION("""COMPUTED_VALUE"""),4.0)</f>
        <v>4</v>
      </c>
      <c r="C10" s="60" t="str">
        <f>IFERROR(__xludf.DUMMYFUNCTION("""COMPUTED_VALUE"""),"Colaborar en proyectos de programación utilizando plataformas de control de versiones básicas  promoviendo el trabajo en equipo y la responsabilidad ")</f>
        <v>Colaborar en proyectos de programación utilizando plataformas de control de versiones básicas  promoviendo el trabajo en equipo y la responsabilidad </v>
      </c>
      <c r="D10" s="41" t="str">
        <f>IFERROR(__xludf.DUMMYFUNCTION("""COMPUTED_VALUE"""),"2. Introducción al versionamiento")</f>
        <v>2. Introducción al versionamiento</v>
      </c>
      <c r="E10" s="41" t="str">
        <f>IFERROR(__xludf.DUMMYFUNCTION("""COMPUTED_VALUE"""),"Introducción al manejo de control de versiones")</f>
        <v>Introducción al manejo de control de versiones</v>
      </c>
      <c r="F10" s="41" t="str">
        <f>IFERROR(__xludf.DUMMYFUNCTION("""COMPUTED_VALUE"""),"Introducción a versionamiento")</f>
        <v>Introducción a versionamiento</v>
      </c>
      <c r="G10" s="41" t="str">
        <f>IFERROR(__xludf.DUMMYFUNCTION("""COMPUTED_VALUE"""),"Agosto")</f>
        <v>Agosto</v>
      </c>
      <c r="H10" s="41">
        <f>IFERROR(__xludf.DUMMYFUNCTION("""COMPUTED_VALUE"""),3.0)</f>
        <v>3</v>
      </c>
    </row>
    <row r="11" ht="15.75" customHeight="1">
      <c r="B11" s="41">
        <f>IFERROR(__xludf.DUMMYFUNCTION("""COMPUTED_VALUE"""),5.0)</f>
        <v>5</v>
      </c>
      <c r="C11" s="60" t="str">
        <f>IFERROR(__xludf.DUMMYFUNCTION("""COMPUTED_VALUE"""),"Colaborar en proyectos de programación utilizando plataformas de control de versiones básicas  promoviendo el trabajo en equipo y la responsabilidad ")</f>
        <v>Colaborar en proyectos de programación utilizando plataformas de control de versiones básicas  promoviendo el trabajo en equipo y la responsabilidad </v>
      </c>
      <c r="D11" s="41" t="str">
        <f>IFERROR(__xludf.DUMMYFUNCTION("""COMPUTED_VALUE"""),"2. Introducción al versionamiento")</f>
        <v>2. Introducción al versionamiento</v>
      </c>
      <c r="E11" s="41" t="str">
        <f>IFERROR(__xludf.DUMMYFUNCTION("""COMPUTED_VALUE"""),"Introducción al manejo de control de versiones")</f>
        <v>Introducción al manejo de control de versiones</v>
      </c>
      <c r="F11" s="41" t="str">
        <f>IFERROR(__xludf.DUMMYFUNCTION("""COMPUTED_VALUE"""),"Herramientas de control de versiones")</f>
        <v>Herramientas de control de versiones</v>
      </c>
      <c r="G11" s="41" t="str">
        <f>IFERROR(__xludf.DUMMYFUNCTION("""COMPUTED_VALUE"""),"Agosto")</f>
        <v>Agosto</v>
      </c>
      <c r="H11" s="41">
        <f>IFERROR(__xludf.DUMMYFUNCTION("""COMPUTED_VALUE"""),3.0)</f>
        <v>3</v>
      </c>
    </row>
    <row r="12" ht="15.75" customHeight="1">
      <c r="B12" s="41">
        <f>IFERROR(__xludf.DUMMYFUNCTION("""COMPUTED_VALUE"""),6.0)</f>
        <v>6</v>
      </c>
      <c r="C12" s="60" t="str">
        <f>IFERROR(__xludf.DUMMYFUNCTION("""COMPUTED_VALUE"""),"Colaborar en proyectos de programación utilizando plataformas de control de versiones básicas  promoviendo el trabajo en equipo y la responsabilidad ")</f>
        <v>Colaborar en proyectos de programación utilizando plataformas de control de versiones básicas  promoviendo el trabajo en equipo y la responsabilidad </v>
      </c>
      <c r="D12" s="41" t="str">
        <f>IFERROR(__xludf.DUMMYFUNCTION("""COMPUTED_VALUE"""),"2. Introducción al versionamiento")</f>
        <v>2. Introducción al versionamiento</v>
      </c>
      <c r="E12" s="41" t="str">
        <f>IFERROR(__xludf.DUMMYFUNCTION("""COMPUTED_VALUE"""),"Introducción al manejo de control de versiones")</f>
        <v>Introducción al manejo de control de versiones</v>
      </c>
      <c r="F12" s="41" t="str">
        <f>IFERROR(__xludf.DUMMYFUNCTION("""COMPUTED_VALUE"""),"Tareas básicas de Git")</f>
        <v>Tareas básicas de Git</v>
      </c>
      <c r="G12" s="41" t="str">
        <f>IFERROR(__xludf.DUMMYFUNCTION("""COMPUTED_VALUE"""),"Agosto")</f>
        <v>Agosto</v>
      </c>
      <c r="H12" s="41">
        <f>IFERROR(__xludf.DUMMYFUNCTION("""COMPUTED_VALUE"""),3.0)</f>
        <v>3</v>
      </c>
    </row>
    <row r="13" ht="15.75" customHeight="1">
      <c r="B13" s="41">
        <f>IFERROR(__xludf.DUMMYFUNCTION("""COMPUTED_VALUE"""),7.0)</f>
        <v>7</v>
      </c>
      <c r="C13" s="60" t="str">
        <f>IFERROR(__xludf.DUMMYFUNCTION("""COMPUTED_VALUE"""),"Colaborar en proyectos de programación utilizando plataformas de control de versiones básicas  promoviendo el trabajo en equipo y la responsabilidad ")</f>
        <v>Colaborar en proyectos de programación utilizando plataformas de control de versiones básicas  promoviendo el trabajo en equipo y la responsabilidad </v>
      </c>
      <c r="D13" s="41" t="str">
        <f>IFERROR(__xludf.DUMMYFUNCTION("""COMPUTED_VALUE"""),"2. Introducción al versionamiento")</f>
        <v>2. Introducción al versionamiento</v>
      </c>
      <c r="E13" s="41" t="str">
        <f>IFERROR(__xludf.DUMMYFUNCTION("""COMPUTED_VALUE"""),"Introducción al manejo de control de versiones")</f>
        <v>Introducción al manejo de control de versiones</v>
      </c>
      <c r="F13" s="41" t="str">
        <f>IFERROR(__xludf.DUMMYFUNCTION("""COMPUTED_VALUE"""),"Colaboración en repositorios remotos")</f>
        <v>Colaboración en repositorios remotos</v>
      </c>
      <c r="G13" s="41" t="str">
        <f>IFERROR(__xludf.DUMMYFUNCTION("""COMPUTED_VALUE"""),"Agosto")</f>
        <v>Agosto</v>
      </c>
      <c r="H13" s="41">
        <f>IFERROR(__xludf.DUMMYFUNCTION("""COMPUTED_VALUE"""),3.0)</f>
        <v>3</v>
      </c>
    </row>
    <row r="14" ht="15.75" customHeight="1">
      <c r="B14" s="41">
        <f>IFERROR(__xludf.DUMMYFUNCTION("""COMPUTED_VALUE"""),8.0)</f>
        <v>8</v>
      </c>
      <c r="C14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14" s="41" t="str">
        <f>IFERROR(__xludf.DUMMYFUNCTION("""COMPUTED_VALUE"""),"3. Introducción a Java")</f>
        <v>3. Introducción a Java</v>
      </c>
      <c r="E14" s="41" t="str">
        <f>IFERROR(__xludf.DUMMYFUNCTION("""COMPUTED_VALUE"""),"Introducción a Java - Parte 1")</f>
        <v>Introducción a Java - Parte 1</v>
      </c>
      <c r="F14" s="41" t="str">
        <f>IFERROR(__xludf.DUMMYFUNCTION("""COMPUTED_VALUE"""),"¿Qué es Java?")</f>
        <v>¿Qué es Java?</v>
      </c>
      <c r="G14" s="41" t="str">
        <f>IFERROR(__xludf.DUMMYFUNCTION("""COMPUTED_VALUE"""),"Agosto")</f>
        <v>Agosto</v>
      </c>
      <c r="H14" s="41">
        <f>IFERROR(__xludf.DUMMYFUNCTION("""COMPUTED_VALUE"""),4.0)</f>
        <v>4</v>
      </c>
    </row>
    <row r="15" ht="15.75" customHeight="1">
      <c r="B15" s="41">
        <f>IFERROR(__xludf.DUMMYFUNCTION("""COMPUTED_VALUE"""),9.0)</f>
        <v>9</v>
      </c>
      <c r="C15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15" s="41" t="str">
        <f>IFERROR(__xludf.DUMMYFUNCTION("""COMPUTED_VALUE"""),"3. Introducción a Java")</f>
        <v>3. Introducción a Java</v>
      </c>
      <c r="E15" s="41" t="str">
        <f>IFERROR(__xludf.DUMMYFUNCTION("""COMPUTED_VALUE"""),"Introducción a Java - Parte 2")</f>
        <v>Introducción a Java - Parte 2</v>
      </c>
      <c r="F15" s="41" t="str">
        <f>IFERROR(__xludf.DUMMYFUNCTION("""COMPUTED_VALUE"""),"Versiones y ambientes de java (JDK, JRE, JVM)")</f>
        <v>Versiones y ambientes de java (JDK, JRE, JVM)</v>
      </c>
      <c r="G15" s="41" t="str">
        <f>IFERROR(__xludf.DUMMYFUNCTION("""COMPUTED_VALUE"""),"Agosto")</f>
        <v>Agosto</v>
      </c>
      <c r="H15" s="41">
        <f>IFERROR(__xludf.DUMMYFUNCTION("""COMPUTED_VALUE"""),4.0)</f>
        <v>4</v>
      </c>
    </row>
    <row r="16" ht="15.75" customHeight="1">
      <c r="B16" s="41">
        <f>IFERROR(__xludf.DUMMYFUNCTION("""COMPUTED_VALUE"""),10.0)</f>
        <v>10</v>
      </c>
      <c r="C16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16" s="41" t="str">
        <f>IFERROR(__xludf.DUMMYFUNCTION("""COMPUTED_VALUE"""),"3. Introducción a Java")</f>
        <v>3. Introducción a Java</v>
      </c>
      <c r="E16" s="41" t="str">
        <f>IFERROR(__xludf.DUMMYFUNCTION("""COMPUTED_VALUE"""),"Introducción a Java - Parte 3")</f>
        <v>Introducción a Java - Parte 3</v>
      </c>
      <c r="F16" s="41" t="str">
        <f>IFERROR(__xludf.DUMMYFUNCTION("""COMPUTED_VALUE"""),"Características de Java")</f>
        <v>Características de Java</v>
      </c>
      <c r="G16" s="41" t="str">
        <f>IFERROR(__xludf.DUMMYFUNCTION("""COMPUTED_VALUE"""),"Agosto")</f>
        <v>Agosto</v>
      </c>
      <c r="H16" s="41">
        <f>IFERROR(__xludf.DUMMYFUNCTION("""COMPUTED_VALUE"""),4.0)</f>
        <v>4</v>
      </c>
    </row>
    <row r="17" ht="15.75" customHeight="1">
      <c r="B17" s="41">
        <f>IFERROR(__xludf.DUMMYFUNCTION("""COMPUTED_VALUE"""),11.0)</f>
        <v>11</v>
      </c>
      <c r="C17" s="60" t="str">
        <f>IFERROR(__xludf.DUMMYFUNCTION("""COMPUTED_VALUE"""),"Documentar programas desarrollados usando convenciones de codificación y comentarios estructurados para facilitar su comprensión y mantenimiento ")</f>
        <v>Documentar programas desarrollados usando convenciones de codificación y comentarios estructurados para facilitar su comprensión y mantenimiento </v>
      </c>
      <c r="D17" s="41" t="str">
        <f>IFERROR(__xludf.DUMMYFUNCTION("""COMPUTED_VALUE"""),"3. Introducción a Java")</f>
        <v>3. Introducción a Java</v>
      </c>
      <c r="E17" s="41" t="str">
        <f>IFERROR(__xludf.DUMMYFUNCTION("""COMPUTED_VALUE"""),"Introducción a Java - Parte 4")</f>
        <v>Introducción a Java - Parte 4</v>
      </c>
      <c r="F17" s="41" t="str">
        <f>IFERROR(__xludf.DUMMYFUNCTION("""COMPUTED_VALUE"""),"Comentarios de una línea y multilínea")</f>
        <v>Comentarios de una línea y multilínea</v>
      </c>
      <c r="G17" s="41" t="str">
        <f>IFERROR(__xludf.DUMMYFUNCTION("""COMPUTED_VALUE"""),"Agosto")</f>
        <v>Agosto</v>
      </c>
      <c r="H17" s="41">
        <f>IFERROR(__xludf.DUMMYFUNCTION("""COMPUTED_VALUE"""),4.0)</f>
        <v>4</v>
      </c>
    </row>
    <row r="18" ht="15.75" customHeight="1">
      <c r="B18" s="41">
        <f>IFERROR(__xludf.DUMMYFUNCTION("""COMPUTED_VALUE"""),12.0)</f>
        <v>12</v>
      </c>
      <c r="C18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18" s="41" t="str">
        <f>IFERROR(__xludf.DUMMYFUNCTION("""COMPUTED_VALUE"""),"3. Introducción a Java")</f>
        <v>3. Introducción a Java</v>
      </c>
      <c r="E18" s="41" t="str">
        <f>IFERROR(__xludf.DUMMYFUNCTION("""COMPUTED_VALUE"""),"Introducción a Java - Parte 5")</f>
        <v>Introducción a Java - Parte 5</v>
      </c>
      <c r="F18" s="41" t="str">
        <f>IFERROR(__xludf.DUMMYFUNCTION("""COMPUTED_VALUE"""),"Variables")</f>
        <v>Variables</v>
      </c>
      <c r="G18" s="41" t="str">
        <f>IFERROR(__xludf.DUMMYFUNCTION("""COMPUTED_VALUE"""),"Agosto")</f>
        <v>Agosto</v>
      </c>
      <c r="H18" s="41">
        <f>IFERROR(__xludf.DUMMYFUNCTION("""COMPUTED_VALUE"""),4.0)</f>
        <v>4</v>
      </c>
    </row>
    <row r="19" ht="15.75" customHeight="1">
      <c r="B19" s="41">
        <f>IFERROR(__xludf.DUMMYFUNCTION("""COMPUTED_VALUE"""),13.0)</f>
        <v>13</v>
      </c>
      <c r="C19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19" s="41" t="str">
        <f>IFERROR(__xludf.DUMMYFUNCTION("""COMPUTED_VALUE"""),"3. Introducción a Java")</f>
        <v>3. Introducción a Java</v>
      </c>
      <c r="E19" s="41" t="str">
        <f>IFERROR(__xludf.DUMMYFUNCTION("""COMPUTED_VALUE"""),"Introducción a Java - Parte 6")</f>
        <v>Introducción a Java - Parte 6</v>
      </c>
      <c r="F19" s="41" t="str">
        <f>IFERROR(__xludf.DUMMYFUNCTION("""COMPUTED_VALUE"""),"Tipos primitivos y no primitivos")</f>
        <v>Tipos primitivos y no primitivos</v>
      </c>
      <c r="G19" s="41" t="str">
        <f>IFERROR(__xludf.DUMMYFUNCTION("""COMPUTED_VALUE"""),"Agosto")</f>
        <v>Agosto</v>
      </c>
      <c r="H19" s="41">
        <f>IFERROR(__xludf.DUMMYFUNCTION("""COMPUTED_VALUE"""),4.0)</f>
        <v>4</v>
      </c>
    </row>
    <row r="20" ht="15.75" customHeight="1">
      <c r="B20" s="41">
        <f>IFERROR(__xludf.DUMMYFUNCTION("""COMPUTED_VALUE"""),14.0)</f>
        <v>14</v>
      </c>
      <c r="C20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20" s="41" t="str">
        <f>IFERROR(__xludf.DUMMYFUNCTION("""COMPUTED_VALUE"""),"3. Introducción a Java")</f>
        <v>3. Introducción a Java</v>
      </c>
      <c r="E20" s="41" t="str">
        <f>IFERROR(__xludf.DUMMYFUNCTION("""COMPUTED_VALUE"""),"Introducción a Java - Parte 7")</f>
        <v>Introducción a Java - Parte 7</v>
      </c>
      <c r="F20" s="41" t="str">
        <f>IFERROR(__xludf.DUMMYFUNCTION("""COMPUTED_VALUE"""),"Casteos implícitos y explícitos")</f>
        <v>Casteos implícitos y explícitos</v>
      </c>
      <c r="G20" s="41" t="str">
        <f>IFERROR(__xludf.DUMMYFUNCTION("""COMPUTED_VALUE"""),"Agosto")</f>
        <v>Agosto</v>
      </c>
      <c r="H20" s="41">
        <f>IFERROR(__xludf.DUMMYFUNCTION("""COMPUTED_VALUE"""),4.0)</f>
        <v>4</v>
      </c>
    </row>
    <row r="21" ht="15.75" customHeight="1">
      <c r="B21" s="41">
        <f>IFERROR(__xludf.DUMMYFUNCTION("""COMPUTED_VALUE"""),15.0)</f>
        <v>15</v>
      </c>
      <c r="C21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21" s="41" t="str">
        <f>IFERROR(__xludf.DUMMYFUNCTION("""COMPUTED_VALUE"""),"3. Introducción a Java")</f>
        <v>3. Introducción a Java</v>
      </c>
      <c r="E21" s="41" t="str">
        <f>IFERROR(__xludf.DUMMYFUNCTION("""COMPUTED_VALUE"""),"Introducción a Java - Parte 2")</f>
        <v>Introducción a Java - Parte 2</v>
      </c>
      <c r="F21" s="41" t="str">
        <f>IFERROR(__xludf.DUMMYFUNCTION("""COMPUTED_VALUE"""),"Operadores aritméticos, relacionales y lógicos")</f>
        <v>Operadores aritméticos, relacionales y lógicos</v>
      </c>
      <c r="G21" s="41" t="str">
        <f>IFERROR(__xludf.DUMMYFUNCTION("""COMPUTED_VALUE"""),"Agosto")</f>
        <v>Agosto</v>
      </c>
      <c r="H21" s="41">
        <f>IFERROR(__xludf.DUMMYFUNCTION("""COMPUTED_VALUE"""),4.0)</f>
        <v>4</v>
      </c>
    </row>
    <row r="22" ht="15.75" customHeight="1">
      <c r="B22" s="41">
        <f>IFERROR(__xludf.DUMMYFUNCTION("""COMPUTED_VALUE"""),16.0)</f>
        <v>16</v>
      </c>
      <c r="C22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22" s="41" t="str">
        <f>IFERROR(__xludf.DUMMYFUNCTION("""COMPUTED_VALUE"""),"3. Introducción a Java")</f>
        <v>3. Introducción a Java</v>
      </c>
      <c r="E22" s="41" t="str">
        <f>IFERROR(__xludf.DUMMYFUNCTION("""COMPUTED_VALUE"""),"Introducción a Java - Parte 3")</f>
        <v>Introducción a Java - Parte 3</v>
      </c>
      <c r="F22" s="41" t="str">
        <f>IFERROR(__xludf.DUMMYFUNCTION("""COMPUTED_VALUE"""),"Input y output")</f>
        <v>Input y output</v>
      </c>
      <c r="G22" s="41" t="str">
        <f>IFERROR(__xludf.DUMMYFUNCTION("""COMPUTED_VALUE"""),"Agosto")</f>
        <v>Agosto</v>
      </c>
      <c r="H22" s="41">
        <f>IFERROR(__xludf.DUMMYFUNCTION("""COMPUTED_VALUE"""),4.0)</f>
        <v>4</v>
      </c>
    </row>
    <row r="23" ht="15.75" customHeight="1">
      <c r="B23" s="41">
        <f>IFERROR(__xludf.DUMMYFUNCTION("""COMPUTED_VALUE"""),17.0)</f>
        <v>17</v>
      </c>
      <c r="C23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23" s="41" t="str">
        <f>IFERROR(__xludf.DUMMYFUNCTION("""COMPUTED_VALUE"""),"3. Introducción a Java")</f>
        <v>3. Introducción a Java</v>
      </c>
      <c r="E23" s="41" t="str">
        <f>IFERROR(__xludf.DUMMYFUNCTION("""COMPUTED_VALUE"""),"Introducción a Java - Parte 4")</f>
        <v>Introducción a Java - Parte 4</v>
      </c>
      <c r="F23" s="41" t="str">
        <f>IFERROR(__xludf.DUMMYFUNCTION("""COMPUTED_VALUE"""),"Estructuras de control (if, else if, else y switch)")</f>
        <v>Estructuras de control (if, else if, else y switch)</v>
      </c>
      <c r="G23" s="41" t="str">
        <f>IFERROR(__xludf.DUMMYFUNCTION("""COMPUTED_VALUE"""),"Agosto")</f>
        <v>Agosto</v>
      </c>
      <c r="H23" s="41">
        <f>IFERROR(__xludf.DUMMYFUNCTION("""COMPUTED_VALUE"""),5.0)</f>
        <v>5</v>
      </c>
    </row>
    <row r="24" ht="15.75" customHeight="1">
      <c r="B24" s="41">
        <f>IFERROR(__xludf.DUMMYFUNCTION("""COMPUTED_VALUE"""),18.0)</f>
        <v>18</v>
      </c>
      <c r="C24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24" s="41" t="str">
        <f>IFERROR(__xludf.DUMMYFUNCTION("""COMPUTED_VALUE"""),"3. Introducción a Java")</f>
        <v>3. Introducción a Java</v>
      </c>
      <c r="E24" s="41" t="str">
        <f>IFERROR(__xludf.DUMMYFUNCTION("""COMPUTED_VALUE"""),"Introducción a Java - Parte 5")</f>
        <v>Introducción a Java - Parte 5</v>
      </c>
      <c r="F24" s="41" t="str">
        <f>IFERROR(__xludf.DUMMYFUNCTION("""COMPUTED_VALUE"""),"Ciclos (for, while, do-while)")</f>
        <v>Ciclos (for, while, do-while)</v>
      </c>
      <c r="G24" s="41" t="str">
        <f>IFERROR(__xludf.DUMMYFUNCTION("""COMPUTED_VALUE"""),"Agosto")</f>
        <v>Agosto</v>
      </c>
      <c r="H24" s="41">
        <f>IFERROR(__xludf.DUMMYFUNCTION("""COMPUTED_VALUE"""),5.0)</f>
        <v>5</v>
      </c>
    </row>
    <row r="25" ht="15.75" customHeight="1">
      <c r="B25" s="41">
        <f>IFERROR(__xludf.DUMMYFUNCTION("""COMPUTED_VALUE"""),19.0)</f>
        <v>19</v>
      </c>
      <c r="C25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25" s="41" t="str">
        <f>IFERROR(__xludf.DUMMYFUNCTION("""COMPUTED_VALUE"""),"3. Introducción a Java")</f>
        <v>3. Introducción a Java</v>
      </c>
      <c r="E25" s="41" t="str">
        <f>IFERROR(__xludf.DUMMYFUNCTION("""COMPUTED_VALUE"""),"Introducción a Java - Parte 6")</f>
        <v>Introducción a Java - Parte 6</v>
      </c>
      <c r="F25" s="41" t="str">
        <f>IFERROR(__xludf.DUMMYFUNCTION("""COMPUTED_VALUE"""),"Try-catch-finally")</f>
        <v>Try-catch-finally</v>
      </c>
      <c r="G25" s="41" t="str">
        <f>IFERROR(__xludf.DUMMYFUNCTION("""COMPUTED_VALUE"""),"Agosto")</f>
        <v>Agosto</v>
      </c>
      <c r="H25" s="41">
        <f>IFERROR(__xludf.DUMMYFUNCTION("""COMPUTED_VALUE"""),5.0)</f>
        <v>5</v>
      </c>
    </row>
    <row r="26" ht="15.75" customHeight="1">
      <c r="B26" s="41">
        <f>IFERROR(__xludf.DUMMYFUNCTION("""COMPUTED_VALUE"""),20.0)</f>
        <v>20</v>
      </c>
      <c r="C26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26" s="41" t="str">
        <f>IFERROR(__xludf.DUMMYFUNCTION("""COMPUTED_VALUE"""),"3. Introducción a Java")</f>
        <v>3. Introducción a Java</v>
      </c>
      <c r="E26" s="41" t="str">
        <f>IFERROR(__xludf.DUMMYFUNCTION("""COMPUTED_VALUE"""),"Introducción a Java - Parte 7")</f>
        <v>Introducción a Java - Parte 7</v>
      </c>
      <c r="F26" s="41" t="str">
        <f>IFERROR(__xludf.DUMMYFUNCTION("""COMPUTED_VALUE"""),"Procedimientos y funciones")</f>
        <v>Procedimientos y funciones</v>
      </c>
      <c r="G26" s="41" t="str">
        <f>IFERROR(__xludf.DUMMYFUNCTION("""COMPUTED_VALUE"""),"Agosto")</f>
        <v>Agosto</v>
      </c>
      <c r="H26" s="41">
        <f>IFERROR(__xludf.DUMMYFUNCTION("""COMPUTED_VALUE"""),5.0)</f>
        <v>5</v>
      </c>
    </row>
    <row r="27" ht="15.75" customHeight="1">
      <c r="B27" s="41">
        <f>IFERROR(__xludf.DUMMYFUNCTION("""COMPUTED_VALUE"""),21.0)</f>
        <v>21</v>
      </c>
      <c r="C27" s="60" t="str">
        <f>IFERROR(__xludf.DUMMYFUNCTION("""COMPUTED_VALUE"""),"Interpretar código fuente apoyándose en diagramas de flujo y pseudocódigo para detectar errores lógicos y de sintaxis ")</f>
        <v>Interpretar código fuente apoyándose en diagramas de flujo y pseudocódigo para detectar errores lógicos y de sintaxis </v>
      </c>
      <c r="D27" s="41" t="str">
        <f>IFERROR(__xludf.DUMMYFUNCTION("""COMPUTED_VALUE"""),"3. Introducción a Java")</f>
        <v>3. Introducción a Java</v>
      </c>
      <c r="E27" s="41" t="str">
        <f>IFERROR(__xludf.DUMMYFUNCTION("""COMPUTED_VALUE"""),"Introducción a Java - Parte 8")</f>
        <v>Introducción a Java - Parte 8</v>
      </c>
      <c r="F27" s="41" t="str">
        <f>IFERROR(__xludf.DUMMYFUNCTION("""COMPUTED_VALUE"""),"Debugging (Breakpoint [Inline, function], start, pause, continue, stop)")</f>
        <v>Debugging (Breakpoint [Inline, function], start, pause, continue, stop)</v>
      </c>
      <c r="G27" s="41" t="str">
        <f>IFERROR(__xludf.DUMMYFUNCTION("""COMPUTED_VALUE"""),"Agosto")</f>
        <v>Agosto</v>
      </c>
      <c r="H27" s="41">
        <f>IFERROR(__xludf.DUMMYFUNCTION("""COMPUTED_VALUE"""),5.0)</f>
        <v>5</v>
      </c>
    </row>
    <row r="28" ht="15.75" customHeight="1">
      <c r="B28" s="41">
        <f>IFERROR(__xludf.DUMMYFUNCTION("""COMPUTED_VALUE"""),22.0)</f>
        <v>22</v>
      </c>
      <c r="C28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28" s="41" t="str">
        <f>IFERROR(__xludf.DUMMYFUNCTION("""COMPUTED_VALUE"""),"4. Manejo de Memoria")</f>
        <v>4. Manejo de Memoria</v>
      </c>
      <c r="E28" s="41" t="str">
        <f>IFERROR(__xludf.DUMMYFUNCTION("""COMPUTED_VALUE"""),"Manejo de memoria")</f>
        <v>Manejo de memoria</v>
      </c>
      <c r="F28" s="41" t="str">
        <f>IFERROR(__xludf.DUMMYFUNCTION("""COMPUTED_VALUE"""),"Arreglos y Matrices")</f>
        <v>Arreglos y Matrices</v>
      </c>
      <c r="G28" s="41" t="str">
        <f>IFERROR(__xludf.DUMMYFUNCTION("""COMPUTED_VALUE"""),"Agosto")</f>
        <v>Agosto</v>
      </c>
      <c r="H28" s="41">
        <f>IFERROR(__xludf.DUMMYFUNCTION("""COMPUTED_VALUE"""),5.0)</f>
        <v>5</v>
      </c>
    </row>
    <row r="29" ht="15.75" customHeight="1">
      <c r="B29" s="41">
        <f>IFERROR(__xludf.DUMMYFUNCTION("""COMPUTED_VALUE"""),23.0)</f>
        <v>23</v>
      </c>
      <c r="C29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29" s="41" t="str">
        <f>IFERROR(__xludf.DUMMYFUNCTION("""COMPUTED_VALUE"""),"4. Manejo de Memoria")</f>
        <v>4. Manejo de Memoria</v>
      </c>
      <c r="E29" s="41" t="str">
        <f>IFERROR(__xludf.DUMMYFUNCTION("""COMPUTED_VALUE"""),"Manejo de memoria")</f>
        <v>Manejo de memoria</v>
      </c>
      <c r="F29" s="41" t="str">
        <f>IFERROR(__xludf.DUMMYFUNCTION("""COMPUTED_VALUE"""),"Listas Dinámicas")</f>
        <v>Listas Dinámicas</v>
      </c>
      <c r="G29" s="41" t="str">
        <f>IFERROR(__xludf.DUMMYFUNCTION("""COMPUTED_VALUE"""),"Agosto")</f>
        <v>Agosto</v>
      </c>
      <c r="H29" s="41">
        <f>IFERROR(__xludf.DUMMYFUNCTION("""COMPUTED_VALUE"""),5.0)</f>
        <v>5</v>
      </c>
    </row>
    <row r="30" ht="15.75" customHeight="1">
      <c r="B30" s="41">
        <f>IFERROR(__xludf.DUMMYFUNCTION("""COMPUTED_VALUE"""),24.0)</f>
        <v>24</v>
      </c>
      <c r="C30" s="60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D30" s="41" t="str">
        <f>IFERROR(__xludf.DUMMYFUNCTION("""COMPUTED_VALUE"""),"4. Manejo de Memoria")</f>
        <v>4. Manejo de Memoria</v>
      </c>
      <c r="E30" s="41" t="str">
        <f>IFERROR(__xludf.DUMMYFUNCTION("""COMPUTED_VALUE"""),"Manejo de memoria")</f>
        <v>Manejo de memoria</v>
      </c>
      <c r="F30" s="41" t="str">
        <f>IFERROR(__xludf.DUMMYFUNCTION("""COMPUTED_VALUE"""),"Métodos de Ordenamiento")</f>
        <v>Métodos de Ordenamiento</v>
      </c>
      <c r="G30" s="41" t="str">
        <f>IFERROR(__xludf.DUMMYFUNCTION("""COMPUTED_VALUE"""),"Agosto")</f>
        <v>Agosto</v>
      </c>
      <c r="H30" s="41">
        <f>IFERROR(__xludf.DUMMYFUNCTION("""COMPUTED_VALUE"""),6.0)</f>
        <v>6</v>
      </c>
    </row>
    <row r="31" ht="15.75" customHeight="1">
      <c r="B31" s="41">
        <f>IFERROR(__xludf.DUMMYFUNCTION("""COMPUTED_VALUE"""),25.0)</f>
        <v>25</v>
      </c>
      <c r="C31" s="60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D31" s="41" t="str">
        <f>IFERROR(__xludf.DUMMYFUNCTION("""COMPUTED_VALUE"""),"5. Recursividad y Archivos")</f>
        <v>5. Recursividad y Archivos</v>
      </c>
      <c r="E31" s="41" t="str">
        <f>IFERROR(__xludf.DUMMYFUNCTION("""COMPUTED_VALUE"""),"Recursividad y Archivos de texto plano")</f>
        <v>Recursividad y Archivos de texto plano</v>
      </c>
      <c r="F31" s="41" t="str">
        <f>IFERROR(__xludf.DUMMYFUNCTION("""COMPUTED_VALUE"""),"Pila de ejecución (Call Stack)")</f>
        <v>Pila de ejecución (Call Stack)</v>
      </c>
      <c r="G31" s="41" t="str">
        <f>IFERROR(__xludf.DUMMYFUNCTION("""COMPUTED_VALUE"""),"Agosto")</f>
        <v>Agosto</v>
      </c>
      <c r="H31" s="41">
        <f>IFERROR(__xludf.DUMMYFUNCTION("""COMPUTED_VALUE"""),6.0)</f>
        <v>6</v>
      </c>
    </row>
    <row r="32" ht="15.75" customHeight="1">
      <c r="B32" s="41">
        <f>IFERROR(__xludf.DUMMYFUNCTION("""COMPUTED_VALUE"""),26.0)</f>
        <v>26</v>
      </c>
      <c r="C32" s="60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D32" s="41" t="str">
        <f>IFERROR(__xludf.DUMMYFUNCTION("""COMPUTED_VALUE"""),"5. Recursividad y Archivos")</f>
        <v>5. Recursividad y Archivos</v>
      </c>
      <c r="E32" s="41" t="str">
        <f>IFERROR(__xludf.DUMMYFUNCTION("""COMPUTED_VALUE"""),"Recursividad y Archivos de texto plano")</f>
        <v>Recursividad y Archivos de texto plano</v>
      </c>
      <c r="F32" s="41" t="str">
        <f>IFERROR(__xludf.DUMMYFUNCTION("""COMPUTED_VALUE"""),"Recursividad")</f>
        <v>Recursividad</v>
      </c>
      <c r="G32" s="41" t="str">
        <f>IFERROR(__xludf.DUMMYFUNCTION("""COMPUTED_VALUE"""),"Agosto")</f>
        <v>Agosto</v>
      </c>
      <c r="H32" s="41">
        <f>IFERROR(__xludf.DUMMYFUNCTION("""COMPUTED_VALUE"""),6.0)</f>
        <v>6</v>
      </c>
    </row>
    <row r="33" ht="15.75" customHeight="1">
      <c r="B33" s="41">
        <f>IFERROR(__xludf.DUMMYFUNCTION("""COMPUTED_VALUE"""),27.0)</f>
        <v>27</v>
      </c>
      <c r="C33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33" s="41" t="str">
        <f>IFERROR(__xludf.DUMMYFUNCTION("""COMPUTED_VALUE"""),"5. Recursividad y Archivos")</f>
        <v>5. Recursividad y Archivos</v>
      </c>
      <c r="E33" s="41" t="str">
        <f>IFERROR(__xludf.DUMMYFUNCTION("""COMPUTED_VALUE"""),"Recursividad y Archivos de texto plano")</f>
        <v>Recursividad y Archivos de texto plano</v>
      </c>
      <c r="F33" s="41" t="str">
        <f>IFERROR(__xludf.DUMMYFUNCTION("""COMPUTED_VALUE"""),"Manejo de archivos de texto plano")</f>
        <v>Manejo de archivos de texto plano</v>
      </c>
      <c r="G33" s="41" t="str">
        <f>IFERROR(__xludf.DUMMYFUNCTION("""COMPUTED_VALUE"""),"Agosto")</f>
        <v>Agosto</v>
      </c>
      <c r="H33" s="41">
        <f>IFERROR(__xludf.DUMMYFUNCTION("""COMPUTED_VALUE"""),6.0)</f>
        <v>6</v>
      </c>
    </row>
    <row r="34" ht="15.75" customHeight="1">
      <c r="B34" s="41">
        <f>IFERROR(__xludf.DUMMYFUNCTION("""COMPUTED_VALUE"""),28.0)</f>
        <v>28</v>
      </c>
      <c r="C34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34" s="41" t="str">
        <f>IFERROR(__xludf.DUMMYFUNCTION("""COMPUTED_VALUE"""),"6. Introducción a POO")</f>
        <v>6. Introducción a POO</v>
      </c>
      <c r="E34" s="41" t="str">
        <f>IFERROR(__xludf.DUMMYFUNCTION("""COMPUTED_VALUE"""),"Conceptos y Pilares de POO")</f>
        <v>Conceptos y Pilares de POO</v>
      </c>
      <c r="F34" s="41" t="str">
        <f>IFERROR(__xludf.DUMMYFUNCTION("""COMPUTED_VALUE"""),"Concepto de abstracción y clasificación")</f>
        <v>Concepto de abstracción y clasificación</v>
      </c>
      <c r="G34" s="41" t="str">
        <f>IFERROR(__xludf.DUMMYFUNCTION("""COMPUTED_VALUE"""),"Septiembre")</f>
        <v>Septiembre</v>
      </c>
      <c r="H34" s="41">
        <f>IFERROR(__xludf.DUMMYFUNCTION("""COMPUTED_VALUE"""),7.0)</f>
        <v>7</v>
      </c>
    </row>
    <row r="35" ht="15.75" customHeight="1">
      <c r="B35" s="41">
        <f>IFERROR(__xludf.DUMMYFUNCTION("""COMPUTED_VALUE"""),29.0)</f>
        <v>29</v>
      </c>
      <c r="C35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35" s="41" t="str">
        <f>IFERROR(__xludf.DUMMYFUNCTION("""COMPUTED_VALUE"""),"6. Introducción a POO")</f>
        <v>6. Introducción a POO</v>
      </c>
      <c r="E35" s="41" t="str">
        <f>IFERROR(__xludf.DUMMYFUNCTION("""COMPUTED_VALUE"""),"Conceptos y Pilares de POO")</f>
        <v>Conceptos y Pilares de POO</v>
      </c>
      <c r="F35" s="41" t="str">
        <f>IFERROR(__xludf.DUMMYFUNCTION("""COMPUTED_VALUE"""),"Clases y objetos")</f>
        <v>Clases y objetos</v>
      </c>
      <c r="G35" s="41" t="str">
        <f>IFERROR(__xludf.DUMMYFUNCTION("""COMPUTED_VALUE"""),"Septiembre")</f>
        <v>Septiembre</v>
      </c>
      <c r="H35" s="41">
        <f>IFERROR(__xludf.DUMMYFUNCTION("""COMPUTED_VALUE"""),7.0)</f>
        <v>7</v>
      </c>
    </row>
    <row r="36" ht="15.75" customHeight="1">
      <c r="B36" s="41">
        <f>IFERROR(__xludf.DUMMYFUNCTION("""COMPUTED_VALUE"""),30.0)</f>
        <v>30</v>
      </c>
      <c r="C36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36" s="41" t="str">
        <f>IFERROR(__xludf.DUMMYFUNCTION("""COMPUTED_VALUE"""),"6. Introducción a POO")</f>
        <v>6. Introducción a POO</v>
      </c>
      <c r="E36" s="41" t="str">
        <f>IFERROR(__xludf.DUMMYFUNCTION("""COMPUTED_VALUE"""),"Conceptos y Pilares de POO")</f>
        <v>Conceptos y Pilares de POO</v>
      </c>
      <c r="F36" s="41" t="str">
        <f>IFERROR(__xludf.DUMMYFUNCTION("""COMPUTED_VALUE"""),"Mensajes y métodos")</f>
        <v>Mensajes y métodos</v>
      </c>
      <c r="G36" s="41" t="str">
        <f>IFERROR(__xludf.DUMMYFUNCTION("""COMPUTED_VALUE"""),"Septiembre")</f>
        <v>Septiembre</v>
      </c>
      <c r="H36" s="41">
        <f>IFERROR(__xludf.DUMMYFUNCTION("""COMPUTED_VALUE"""),7.0)</f>
        <v>7</v>
      </c>
    </row>
    <row r="37" ht="15.75" customHeight="1">
      <c r="B37" s="41">
        <f>IFERROR(__xludf.DUMMYFUNCTION("""COMPUTED_VALUE"""),31.0)</f>
        <v>31</v>
      </c>
      <c r="C37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37" s="41" t="str">
        <f>IFERROR(__xludf.DUMMYFUNCTION("""COMPUTED_VALUE"""),"6. Introducción a POO")</f>
        <v>6. Introducción a POO</v>
      </c>
      <c r="E37" s="41" t="str">
        <f>IFERROR(__xludf.DUMMYFUNCTION("""COMPUTED_VALUE"""),"Conceptos y Pilares de POO")</f>
        <v>Conceptos y Pilares de POO</v>
      </c>
      <c r="F37" s="41" t="str">
        <f>IFERROR(__xludf.DUMMYFUNCTION("""COMPUTED_VALUE"""),"Pilares de POO: Abstracción, Encapsulamiento, Polimorfismo, Herencia")</f>
        <v>Pilares de POO: Abstracción, Encapsulamiento, Polimorfismo, Herencia</v>
      </c>
      <c r="G37" s="41" t="str">
        <f>IFERROR(__xludf.DUMMYFUNCTION("""COMPUTED_VALUE"""),"Septiembre")</f>
        <v>Septiembre</v>
      </c>
      <c r="H37" s="41">
        <f>IFERROR(__xludf.DUMMYFUNCTION("""COMPUTED_VALUE"""),7.0)</f>
        <v>7</v>
      </c>
    </row>
    <row r="38" ht="15.75" customHeight="1">
      <c r="B38" s="41">
        <f>IFERROR(__xludf.DUMMYFUNCTION("""COMPUTED_VALUE"""),32.0)</f>
        <v>32</v>
      </c>
      <c r="C38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38" s="41" t="str">
        <f>IFERROR(__xludf.DUMMYFUNCTION("""COMPUTED_VALUE"""),"6. Introducción a POO")</f>
        <v>6. Introducción a POO</v>
      </c>
      <c r="E38" s="41" t="str">
        <f>IFERROR(__xludf.DUMMYFUNCTION("""COMPUTED_VALUE"""),"Conceptos y Pilares de POO")</f>
        <v>Conceptos y Pilares de POO</v>
      </c>
      <c r="F38" s="41" t="str">
        <f>IFERROR(__xludf.DUMMYFUNCTION("""COMPUTED_VALUE"""),"Los miembros de una clase")</f>
        <v>Los miembros de una clase</v>
      </c>
      <c r="G38" s="41" t="str">
        <f>IFERROR(__xludf.DUMMYFUNCTION("""COMPUTED_VALUE"""),"Septiembre")</f>
        <v>Septiembre</v>
      </c>
      <c r="H38" s="41">
        <f>IFERROR(__xludf.DUMMYFUNCTION("""COMPUTED_VALUE"""),7.0)</f>
        <v>7</v>
      </c>
    </row>
    <row r="39" ht="15.75" customHeight="1">
      <c r="B39" s="41">
        <f>IFERROR(__xludf.DUMMYFUNCTION("""COMPUTED_VALUE"""),33.0)</f>
        <v>33</v>
      </c>
      <c r="C39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39" s="41" t="str">
        <f>IFERROR(__xludf.DUMMYFUNCTION("""COMPUTED_VALUE"""),"6. Introducción a POO")</f>
        <v>6. Introducción a POO</v>
      </c>
      <c r="E39" s="41" t="str">
        <f>IFERROR(__xludf.DUMMYFUNCTION("""COMPUTED_VALUE"""),"Conceptos y Pilares de POO")</f>
        <v>Conceptos y Pilares de POO</v>
      </c>
      <c r="F39" s="41" t="str">
        <f>IFERROR(__xludf.DUMMYFUNCTION("""COMPUTED_VALUE"""),"Atributos y métodos (operaciones)")</f>
        <v>Atributos y métodos (operaciones)</v>
      </c>
      <c r="G39" s="41" t="str">
        <f>IFERROR(__xludf.DUMMYFUNCTION("""COMPUTED_VALUE"""),"Septiembre")</f>
        <v>Septiembre</v>
      </c>
      <c r="H39" s="41">
        <f>IFERROR(__xludf.DUMMYFUNCTION("""COMPUTED_VALUE"""),7.0)</f>
        <v>7</v>
      </c>
    </row>
    <row r="40" ht="15.75" customHeight="1">
      <c r="B40" s="41">
        <f>IFERROR(__xludf.DUMMYFUNCTION("""COMPUTED_VALUE"""),34.0)</f>
        <v>34</v>
      </c>
      <c r="C40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40" s="41" t="str">
        <f>IFERROR(__xludf.DUMMYFUNCTION("""COMPUTED_VALUE"""),"6. Introducción a POO")</f>
        <v>6. Introducción a POO</v>
      </c>
      <c r="E40" s="41" t="str">
        <f>IFERROR(__xludf.DUMMYFUNCTION("""COMPUTED_VALUE"""),"Conceptos y Pilares de POO")</f>
        <v>Conceptos y Pilares de POO</v>
      </c>
      <c r="F40" s="41" t="str">
        <f>IFERROR(__xludf.DUMMYFUNCTION("""COMPUTED_VALUE"""),"Constructores y Destructores")</f>
        <v>Constructores y Destructores</v>
      </c>
      <c r="G40" s="41" t="str">
        <f>IFERROR(__xludf.DUMMYFUNCTION("""COMPUTED_VALUE"""),"Septiembre")</f>
        <v>Septiembre</v>
      </c>
      <c r="H40" s="41">
        <f>IFERROR(__xludf.DUMMYFUNCTION("""COMPUTED_VALUE"""),7.0)</f>
        <v>7</v>
      </c>
    </row>
    <row r="41" ht="15.75" customHeight="1">
      <c r="B41" s="41">
        <f>IFERROR(__xludf.DUMMYFUNCTION("""COMPUTED_VALUE"""),35.0)</f>
        <v>35</v>
      </c>
      <c r="C41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41" s="41" t="str">
        <f>IFERROR(__xludf.DUMMYFUNCTION("""COMPUTED_VALUE"""),"6. Introducción a POO")</f>
        <v>6. Introducción a POO</v>
      </c>
      <c r="E41" s="41" t="str">
        <f>IFERROR(__xludf.DUMMYFUNCTION("""COMPUTED_VALUE"""),"Conceptos y Pilares de POO")</f>
        <v>Conceptos y Pilares de POO</v>
      </c>
      <c r="F41" s="41" t="str">
        <f>IFERROR(__xludf.DUMMYFUNCTION("""COMPUTED_VALUE"""),"Modificadores de visibilidad: Privado, Público, Protegido")</f>
        <v>Modificadores de visibilidad: Privado, Público, Protegido</v>
      </c>
      <c r="G41" s="41" t="str">
        <f>IFERROR(__xludf.DUMMYFUNCTION("""COMPUTED_VALUE"""),"Septiembre")</f>
        <v>Septiembre</v>
      </c>
      <c r="H41" s="41">
        <f>IFERROR(__xludf.DUMMYFUNCTION("""COMPUTED_VALUE"""),7.0)</f>
        <v>7</v>
      </c>
    </row>
    <row r="42" ht="15.75" customHeight="1">
      <c r="B42" s="41">
        <f>IFERROR(__xludf.DUMMYFUNCTION("""COMPUTED_VALUE"""),36.0)</f>
        <v>36</v>
      </c>
      <c r="C42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42" s="41" t="str">
        <f>IFERROR(__xludf.DUMMYFUNCTION("""COMPUTED_VALUE"""),"7. Introducción a Interfaces Graficas")</f>
        <v>7. Introducción a Interfaces Graficas</v>
      </c>
      <c r="E42" s="41" t="str">
        <f>IFERROR(__xludf.DUMMYFUNCTION("""COMPUTED_VALUE"""),"Introducción a Swing y Awt")</f>
        <v>Introducción a Swing y Awt</v>
      </c>
      <c r="F42" s="41" t="str">
        <f>IFERROR(__xludf.DUMMYFUNCTION("""COMPUTED_VALUE"""),"Elementos basicos de swing ")</f>
        <v>Elementos basicos de swing </v>
      </c>
      <c r="G42" s="41" t="str">
        <f>IFERROR(__xludf.DUMMYFUNCTION("""COMPUTED_VALUE"""),"Septiembre")</f>
        <v>Septiembre</v>
      </c>
      <c r="H42" s="41">
        <f>IFERROR(__xludf.DUMMYFUNCTION("""COMPUTED_VALUE"""),8.0)</f>
        <v>8</v>
      </c>
    </row>
    <row r="43" ht="15.75" customHeight="1">
      <c r="B43" s="41">
        <f>IFERROR(__xludf.DUMMYFUNCTION("""COMPUTED_VALUE"""),37.0)</f>
        <v>37</v>
      </c>
      <c r="C43" s="60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D43" s="41" t="str">
        <f>IFERROR(__xludf.DUMMYFUNCTION("""COMPUTED_VALUE"""),"8. Patrones de diseño")</f>
        <v>8. Patrones de diseño</v>
      </c>
      <c r="E43" s="41" t="str">
        <f>IFERROR(__xludf.DUMMYFUNCTION("""COMPUTED_VALUE"""),"Patron de diseño: MVC")</f>
        <v>Patron de diseño: MVC</v>
      </c>
      <c r="F43" s="41" t="str">
        <f>IFERROR(__xludf.DUMMYFUNCTION("""COMPUTED_VALUE"""),"Definición y sus componentes")</f>
        <v>Definición y sus componentes</v>
      </c>
      <c r="G43" s="41" t="str">
        <f>IFERROR(__xludf.DUMMYFUNCTION("""COMPUTED_VALUE"""),"Septiembre")</f>
        <v>Septiembre</v>
      </c>
      <c r="H43" s="41">
        <f>IFERROR(__xludf.DUMMYFUNCTION("""COMPUTED_VALUE"""),8.0)</f>
        <v>8</v>
      </c>
    </row>
    <row r="44" ht="15.75" customHeight="1">
      <c r="B44" s="41">
        <f>IFERROR(__xludf.DUMMYFUNCTION("""COMPUTED_VALUE"""),38.0)</f>
        <v>38</v>
      </c>
      <c r="C44" s="60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D44" s="41" t="str">
        <f>IFERROR(__xludf.DUMMYFUNCTION("""COMPUTED_VALUE"""),"8. Patrones de diseño")</f>
        <v>8. Patrones de diseño</v>
      </c>
      <c r="E44" s="41" t="str">
        <f>IFERROR(__xludf.DUMMYFUNCTION("""COMPUTED_VALUE"""),"Patron de diseño: MVC")</f>
        <v>Patron de diseño: MVC</v>
      </c>
      <c r="F44" s="41" t="str">
        <f>IFERROR(__xludf.DUMMYFUNCTION("""COMPUTED_VALUE"""),"Modelo")</f>
        <v>Modelo</v>
      </c>
      <c r="G44" s="41" t="str">
        <f>IFERROR(__xludf.DUMMYFUNCTION("""COMPUTED_VALUE"""),"Septiembre")</f>
        <v>Septiembre</v>
      </c>
      <c r="H44" s="41">
        <f>IFERROR(__xludf.DUMMYFUNCTION("""COMPUTED_VALUE"""),8.0)</f>
        <v>8</v>
      </c>
    </row>
    <row r="45" ht="15.75" customHeight="1">
      <c r="B45" s="41">
        <f>IFERROR(__xludf.DUMMYFUNCTION("""COMPUTED_VALUE"""),39.0)</f>
        <v>39</v>
      </c>
      <c r="C45" s="60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D45" s="41" t="str">
        <f>IFERROR(__xludf.DUMMYFUNCTION("""COMPUTED_VALUE"""),"8. Patrones de diseño")</f>
        <v>8. Patrones de diseño</v>
      </c>
      <c r="E45" s="41" t="str">
        <f>IFERROR(__xludf.DUMMYFUNCTION("""COMPUTED_VALUE"""),"Patron de diseño: MVC")</f>
        <v>Patron de diseño: MVC</v>
      </c>
      <c r="F45" s="41" t="str">
        <f>IFERROR(__xludf.DUMMYFUNCTION("""COMPUTED_VALUE"""),"Vista")</f>
        <v>Vista</v>
      </c>
      <c r="G45" s="41" t="str">
        <f>IFERROR(__xludf.DUMMYFUNCTION("""COMPUTED_VALUE"""),"Septiembre")</f>
        <v>Septiembre</v>
      </c>
      <c r="H45" s="41">
        <f>IFERROR(__xludf.DUMMYFUNCTION("""COMPUTED_VALUE"""),8.0)</f>
        <v>8</v>
      </c>
    </row>
    <row r="46" ht="15.75" customHeight="1">
      <c r="B46" s="41">
        <f>IFERROR(__xludf.DUMMYFUNCTION("""COMPUTED_VALUE"""),40.0)</f>
        <v>40</v>
      </c>
      <c r="C46" s="60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D46" s="41" t="str">
        <f>IFERROR(__xludf.DUMMYFUNCTION("""COMPUTED_VALUE"""),"8. Patrones de diseño")</f>
        <v>8. Patrones de diseño</v>
      </c>
      <c r="E46" s="41" t="str">
        <f>IFERROR(__xludf.DUMMYFUNCTION("""COMPUTED_VALUE"""),"Patron de diseño: MVC")</f>
        <v>Patron de diseño: MVC</v>
      </c>
      <c r="F46" s="41" t="str">
        <f>IFERROR(__xludf.DUMMYFUNCTION("""COMPUTED_VALUE"""),"Controlador")</f>
        <v>Controlador</v>
      </c>
      <c r="G46" s="41" t="str">
        <f>IFERROR(__xludf.DUMMYFUNCTION("""COMPUTED_VALUE"""),"Septiembre")</f>
        <v>Septiembre</v>
      </c>
      <c r="H46" s="41">
        <f>IFERROR(__xludf.DUMMYFUNCTION("""COMPUTED_VALUE"""),8.0)</f>
        <v>8</v>
      </c>
    </row>
    <row r="47" ht="15.75" customHeight="1">
      <c r="B47" s="41">
        <f>IFERROR(__xludf.DUMMYFUNCTION("""COMPUTED_VALUE"""),41.0)</f>
        <v>41</v>
      </c>
      <c r="C47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47" s="41" t="str">
        <f>IFERROR(__xludf.DUMMYFUNCTION("""COMPUTED_VALUE"""),"7. POO Avanzado")</f>
        <v>7. POO Avanzado</v>
      </c>
      <c r="E47" s="41" t="str">
        <f>IFERROR(__xludf.DUMMYFUNCTION("""COMPUTED_VALUE"""),"Conceptos Avanzados de POO")</f>
        <v>Conceptos Avanzados de POO</v>
      </c>
      <c r="F47" s="41" t="str">
        <f>IFERROR(__xludf.DUMMYFUNCTION("""COMPUTED_VALUE"""),"Construcciones abstractas: Clase abstracta y Interface")</f>
        <v>Construcciones abstractas: Clase abstracta y Interface</v>
      </c>
      <c r="G47" s="41" t="str">
        <f>IFERROR(__xludf.DUMMYFUNCTION("""COMPUTED_VALUE"""),"Septiembre")</f>
        <v>Septiembre</v>
      </c>
      <c r="H47" s="41">
        <f>IFERROR(__xludf.DUMMYFUNCTION("""COMPUTED_VALUE"""),9.0)</f>
        <v>9</v>
      </c>
    </row>
    <row r="48" ht="15.75" customHeight="1">
      <c r="B48" s="41">
        <f>IFERROR(__xludf.DUMMYFUNCTION("""COMPUTED_VALUE"""),42.0)</f>
        <v>42</v>
      </c>
      <c r="C48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48" s="41" t="str">
        <f>IFERROR(__xludf.DUMMYFUNCTION("""COMPUTED_VALUE"""),"7. POO Avanzado")</f>
        <v>7. POO Avanzado</v>
      </c>
      <c r="E48" s="41" t="str">
        <f>IFERROR(__xludf.DUMMYFUNCTION("""COMPUTED_VALUE"""),"Conceptos Avanzados de POO")</f>
        <v>Conceptos Avanzados de POO</v>
      </c>
      <c r="F48" s="41" t="str">
        <f>IFERROR(__xludf.DUMMYFUNCTION("""COMPUTED_VALUE"""),"Miembros estáticos (static) vs. miembros de instancia")</f>
        <v>Miembros estáticos (static) vs. miembros de instancia</v>
      </c>
      <c r="G48" s="41" t="str">
        <f>IFERROR(__xludf.DUMMYFUNCTION("""COMPUTED_VALUE"""),"Septiembre")</f>
        <v>Septiembre</v>
      </c>
      <c r="H48" s="41">
        <f>IFERROR(__xludf.DUMMYFUNCTION("""COMPUTED_VALUE"""),9.0)</f>
        <v>9</v>
      </c>
    </row>
    <row r="49" ht="15.75" customHeight="1">
      <c r="B49" s="41">
        <f>IFERROR(__xludf.DUMMYFUNCTION("""COMPUTED_VALUE"""),43.0)</f>
        <v>43</v>
      </c>
      <c r="C49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49" s="41" t="str">
        <f>IFERROR(__xludf.DUMMYFUNCTION("""COMPUTED_VALUE"""),"7. POO Avanzado")</f>
        <v>7. POO Avanzado</v>
      </c>
      <c r="E49" s="41" t="str">
        <f>IFERROR(__xludf.DUMMYFUNCTION("""COMPUTED_VALUE"""),"Conceptos Avanzados de POO")</f>
        <v>Conceptos Avanzados de POO</v>
      </c>
      <c r="F49" s="41" t="str">
        <f>IFERROR(__xludf.DUMMYFUNCTION("""COMPUTED_VALUE"""),"Referencia ""this""")</f>
        <v>Referencia "this"</v>
      </c>
      <c r="G49" s="41" t="str">
        <f>IFERROR(__xludf.DUMMYFUNCTION("""COMPUTED_VALUE"""),"Septiembre")</f>
        <v>Septiembre</v>
      </c>
      <c r="H49" s="41">
        <f>IFERROR(__xludf.DUMMYFUNCTION("""COMPUTED_VALUE"""),9.0)</f>
        <v>9</v>
      </c>
    </row>
    <row r="50" ht="15.75" customHeight="1">
      <c r="B50" s="41">
        <f>IFERROR(__xludf.DUMMYFUNCTION("""COMPUTED_VALUE"""),44.0)</f>
        <v>44</v>
      </c>
      <c r="C50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50" s="41" t="str">
        <f>IFERROR(__xludf.DUMMYFUNCTION("""COMPUTED_VALUE"""),"7. POO Avanzado")</f>
        <v>7. POO Avanzado</v>
      </c>
      <c r="E50" s="41" t="str">
        <f>IFERROR(__xludf.DUMMYFUNCTION("""COMPUTED_VALUE"""),"Conceptos Avanzados de POO")</f>
        <v>Conceptos Avanzados de POO</v>
      </c>
      <c r="F50" s="41" t="str">
        <f>IFERROR(__xludf.DUMMYFUNCTION("""COMPUTED_VALUE"""),"Serialización de objetos en archivos")</f>
        <v>Serialización de objetos en archivos</v>
      </c>
      <c r="G50" s="41" t="str">
        <f>IFERROR(__xludf.DUMMYFUNCTION("""COMPUTED_VALUE"""),"Septiembre")</f>
        <v>Septiembre</v>
      </c>
      <c r="H50" s="41">
        <f>IFERROR(__xludf.DUMMYFUNCTION("""COMPUTED_VALUE"""),9.0)</f>
        <v>9</v>
      </c>
    </row>
    <row r="51" ht="15.75" customHeight="1">
      <c r="B51" s="41">
        <f>IFERROR(__xludf.DUMMYFUNCTION("""COMPUTED_VALUE"""),45.0)</f>
        <v>45</v>
      </c>
      <c r="C51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51" s="41" t="str">
        <f>IFERROR(__xludf.DUMMYFUNCTION("""COMPUTED_VALUE"""),"9. Hilos")</f>
        <v>9. Hilos</v>
      </c>
      <c r="E51" s="41" t="str">
        <f>IFERROR(__xludf.DUMMYFUNCTION("""COMPUTED_VALUE"""),"Manejo de Hilos en Java")</f>
        <v>Manejo de Hilos en Java</v>
      </c>
      <c r="F51" s="41" t="str">
        <f>IFERROR(__xludf.DUMMYFUNCTION("""COMPUTED_VALUE"""),"Definición de Hilos")</f>
        <v>Definición de Hilos</v>
      </c>
      <c r="G51" s="41" t="str">
        <f>IFERROR(__xludf.DUMMYFUNCTION("""COMPUTED_VALUE"""),"Septiembre")</f>
        <v>Septiembre</v>
      </c>
      <c r="H51" s="41">
        <f>IFERROR(__xludf.DUMMYFUNCTION("""COMPUTED_VALUE"""),9.0)</f>
        <v>9</v>
      </c>
    </row>
    <row r="52" ht="15.75" customHeight="1">
      <c r="B52" s="41">
        <f>IFERROR(__xludf.DUMMYFUNCTION("""COMPUTED_VALUE"""),46.0)</f>
        <v>46</v>
      </c>
      <c r="C52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52" s="41" t="str">
        <f>IFERROR(__xludf.DUMMYFUNCTION("""COMPUTED_VALUE"""),"9. Hilos")</f>
        <v>9. Hilos</v>
      </c>
      <c r="E52" s="41" t="str">
        <f>IFERROR(__xludf.DUMMYFUNCTION("""COMPUTED_VALUE"""),"Manejo de Hilos en Java")</f>
        <v>Manejo de Hilos en Java</v>
      </c>
      <c r="F52" s="41" t="str">
        <f>IFERROR(__xludf.DUMMYFUNCTION("""COMPUTED_VALUE"""),"Ciclo de vida de un hilo")</f>
        <v>Ciclo de vida de un hilo</v>
      </c>
      <c r="G52" s="41" t="str">
        <f>IFERROR(__xludf.DUMMYFUNCTION("""COMPUTED_VALUE"""),"Septiembre")</f>
        <v>Septiembre</v>
      </c>
      <c r="H52" s="41">
        <f>IFERROR(__xludf.DUMMYFUNCTION("""COMPUTED_VALUE"""),9.0)</f>
        <v>9</v>
      </c>
    </row>
    <row r="53" ht="15.75" customHeight="1">
      <c r="B53" s="41">
        <f>IFERROR(__xludf.DUMMYFUNCTION("""COMPUTED_VALUE"""),47.0)</f>
        <v>47</v>
      </c>
      <c r="C53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53" s="41" t="str">
        <f>IFERROR(__xludf.DUMMYFUNCTION("""COMPUTED_VALUE"""),"9. Hilos")</f>
        <v>9. Hilos</v>
      </c>
      <c r="E53" s="41" t="str">
        <f>IFERROR(__xludf.DUMMYFUNCTION("""COMPUTED_VALUE"""),"Manejo de Hilos en Java")</f>
        <v>Manejo de Hilos en Java</v>
      </c>
      <c r="F53" s="41" t="str">
        <f>IFERROR(__xludf.DUMMYFUNCTION("""COMPUTED_VALUE"""),"Creación de hilos")</f>
        <v>Creación de hilos</v>
      </c>
      <c r="G53" s="41" t="str">
        <f>IFERROR(__xludf.DUMMYFUNCTION("""COMPUTED_VALUE"""),"Septiembre")</f>
        <v>Septiembre</v>
      </c>
      <c r="H53" s="41">
        <f>IFERROR(__xludf.DUMMYFUNCTION("""COMPUTED_VALUE"""),9.0)</f>
        <v>9</v>
      </c>
    </row>
    <row r="54" ht="15.75" customHeight="1">
      <c r="B54" s="41">
        <f>IFERROR(__xludf.DUMMYFUNCTION("""COMPUTED_VALUE"""),48.0)</f>
        <v>48</v>
      </c>
      <c r="C54" s="60" t="str">
        <f>IFERROR(__xludf.DUMMYFUNCTION("""COMPUTED_VALUE"""),"Aplicar conceptos de programación mediante ejercicios prácticos y laboratorios respetando estándares básicos de calidad de software ")</f>
        <v>Aplicar conceptos de programación mediante ejercicios prácticos y laboratorios respetando estándares básicos de calidad de software </v>
      </c>
      <c r="D54" s="41" t="str">
        <f>IFERROR(__xludf.DUMMYFUNCTION("""COMPUTED_VALUE"""),"9. Hilos")</f>
        <v>9. Hilos</v>
      </c>
      <c r="E54" s="41" t="str">
        <f>IFERROR(__xludf.DUMMYFUNCTION("""COMPUTED_VALUE"""),"Manejo de Hilos en Java")</f>
        <v>Manejo de Hilos en Java</v>
      </c>
      <c r="F54" s="41" t="str">
        <f>IFERROR(__xludf.DUMMYFUNCTION("""COMPUTED_VALUE"""),"Multihilos")</f>
        <v>Multihilos</v>
      </c>
      <c r="G54" s="41" t="str">
        <f>IFERROR(__xludf.DUMMYFUNCTION("""COMPUTED_VALUE"""),"Septiembre")</f>
        <v>Septiembre</v>
      </c>
      <c r="H54" s="41">
        <f>IFERROR(__xludf.DUMMYFUNCTION("""COMPUTED_VALUE"""),9.0)</f>
        <v>9</v>
      </c>
    </row>
    <row r="55" ht="15.75" customHeight="1">
      <c r="B55" s="41">
        <f>IFERROR(__xludf.DUMMYFUNCTION("""COMPUTED_VALUE"""),49.0)</f>
        <v>49</v>
      </c>
      <c r="C55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55" s="41" t="str">
        <f>IFERROR(__xludf.DUMMYFUNCTION("""COMPUTED_VALUE"""),"10. Fundamentos de GUI")</f>
        <v>10. Fundamentos de GUI</v>
      </c>
      <c r="E55" s="41" t="str">
        <f>IFERROR(__xludf.DUMMYFUNCTION("""COMPUTED_VALUE"""),"Fundamentos de GUI, AWT y SWING")</f>
        <v>Fundamentos de GUI, AWT y SWING</v>
      </c>
      <c r="F55" s="41" t="str">
        <f>IFERROR(__xludf.DUMMYFUNCTION("""COMPUTED_VALUE"""),"Concepto de GUI (Interfaz gráfica de usuario).")</f>
        <v>Concepto de GUI (Interfaz gráfica de usuario).</v>
      </c>
      <c r="G55" s="41" t="str">
        <f>IFERROR(__xludf.DUMMYFUNCTION("""COMPUTED_VALUE"""),"Septiembre")</f>
        <v>Septiembre</v>
      </c>
      <c r="H55" s="41">
        <f>IFERROR(__xludf.DUMMYFUNCTION("""COMPUTED_VALUE"""),10.0)</f>
        <v>10</v>
      </c>
    </row>
    <row r="56" ht="15.75" customHeight="1">
      <c r="B56" s="41">
        <f>IFERROR(__xludf.DUMMYFUNCTION("""COMPUTED_VALUE"""),50.0)</f>
        <v>50</v>
      </c>
      <c r="C56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56" s="41" t="str">
        <f>IFERROR(__xludf.DUMMYFUNCTION("""COMPUTED_VALUE"""),"10. Fundamentos de GUI")</f>
        <v>10. Fundamentos de GUI</v>
      </c>
      <c r="E56" s="41" t="str">
        <f>IFERROR(__xludf.DUMMYFUNCTION("""COMPUTED_VALUE"""),"Fundamentos de GUI, AWT y SWING")</f>
        <v>Fundamentos de GUI, AWT y SWING</v>
      </c>
      <c r="F56" s="41" t="str">
        <f>IFERROR(__xludf.DUMMYFUNCTION("""COMPUTED_VALUE"""),"¿Que es AWT?")</f>
        <v>¿Que es AWT?</v>
      </c>
      <c r="G56" s="41" t="str">
        <f>IFERROR(__xludf.DUMMYFUNCTION("""COMPUTED_VALUE"""),"Septiembre")</f>
        <v>Septiembre</v>
      </c>
      <c r="H56" s="41">
        <f>IFERROR(__xludf.DUMMYFUNCTION("""COMPUTED_VALUE"""),10.0)</f>
        <v>10</v>
      </c>
    </row>
    <row r="57" ht="15.75" customHeight="1">
      <c r="B57" s="41">
        <f>IFERROR(__xludf.DUMMYFUNCTION("""COMPUTED_VALUE"""),51.0)</f>
        <v>51</v>
      </c>
      <c r="C57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57" s="41" t="str">
        <f>IFERROR(__xludf.DUMMYFUNCTION("""COMPUTED_VALUE"""),"10. Fundamentos de GUI")</f>
        <v>10. Fundamentos de GUI</v>
      </c>
      <c r="E57" s="41" t="str">
        <f>IFERROR(__xludf.DUMMYFUNCTION("""COMPUTED_VALUE"""),"Fundamentos de GUI, AWT y SWING")</f>
        <v>Fundamentos de GUI, AWT y SWING</v>
      </c>
      <c r="F57" s="41" t="str">
        <f>IFERROR(__xludf.DUMMYFUNCTION("""COMPUTED_VALUE"""),"Componentes basicos de AWT")</f>
        <v>Componentes basicos de AWT</v>
      </c>
      <c r="G57" s="41" t="str">
        <f>IFERROR(__xludf.DUMMYFUNCTION("""COMPUTED_VALUE"""),"Septiembre")</f>
        <v>Septiembre</v>
      </c>
      <c r="H57" s="41">
        <f>IFERROR(__xludf.DUMMYFUNCTION("""COMPUTED_VALUE"""),10.0)</f>
        <v>10</v>
      </c>
    </row>
    <row r="58" ht="15.75" customHeight="1">
      <c r="B58" s="41">
        <f>IFERROR(__xludf.DUMMYFUNCTION("""COMPUTED_VALUE"""),52.0)</f>
        <v>52</v>
      </c>
      <c r="C58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58" s="41" t="str">
        <f>IFERROR(__xludf.DUMMYFUNCTION("""COMPUTED_VALUE"""),"10. Fundamentos de GUI")</f>
        <v>10. Fundamentos de GUI</v>
      </c>
      <c r="E58" s="41" t="str">
        <f>IFERROR(__xludf.DUMMYFUNCTION("""COMPUTED_VALUE"""),"Fundamentos de GUI, AWT y SWING")</f>
        <v>Fundamentos de GUI, AWT y SWING</v>
      </c>
      <c r="F58" s="41" t="str">
        <f>IFERROR(__xludf.DUMMYFUNCTION("""COMPUTED_VALUE"""),"Gestores de diseño (Layout Managers) en AWT")</f>
        <v>Gestores de diseño (Layout Managers) en AWT</v>
      </c>
      <c r="G58" s="41" t="str">
        <f>IFERROR(__xludf.DUMMYFUNCTION("""COMPUTED_VALUE"""),"Septiembre")</f>
        <v>Septiembre</v>
      </c>
      <c r="H58" s="41">
        <f>IFERROR(__xludf.DUMMYFUNCTION("""COMPUTED_VALUE"""),10.0)</f>
        <v>10</v>
      </c>
    </row>
    <row r="59" ht="15.75" customHeight="1">
      <c r="B59" s="41">
        <f>IFERROR(__xludf.DUMMYFUNCTION("""COMPUTED_VALUE"""),53.0)</f>
        <v>53</v>
      </c>
      <c r="C59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59" s="41" t="str">
        <f>IFERROR(__xludf.DUMMYFUNCTION("""COMPUTED_VALUE"""),"10. Fundamentos de GUI")</f>
        <v>10. Fundamentos de GUI</v>
      </c>
      <c r="E59" s="41" t="str">
        <f>IFERROR(__xludf.DUMMYFUNCTION("""COMPUTED_VALUE"""),"Fundamentos de GUI, AWT y SWING")</f>
        <v>Fundamentos de GUI, AWT y SWING</v>
      </c>
      <c r="F59" s="41" t="str">
        <f>IFERROR(__xludf.DUMMYFUNCTION("""COMPUTED_VALUE"""),"Manejo de eventos en AWT")</f>
        <v>Manejo de eventos en AWT</v>
      </c>
      <c r="G59" s="41" t="str">
        <f>IFERROR(__xludf.DUMMYFUNCTION("""COMPUTED_VALUE"""),"Septiembre")</f>
        <v>Septiembre</v>
      </c>
      <c r="H59" s="41">
        <f>IFERROR(__xludf.DUMMYFUNCTION("""COMPUTED_VALUE"""),10.0)</f>
        <v>10</v>
      </c>
    </row>
    <row r="60" ht="15.75" customHeight="1">
      <c r="B60" s="41">
        <f>IFERROR(__xludf.DUMMYFUNCTION("""COMPUTED_VALUE"""),54.0)</f>
        <v>54</v>
      </c>
      <c r="C60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60" s="41" t="str">
        <f>IFERROR(__xludf.DUMMYFUNCTION("""COMPUTED_VALUE"""),"10. Fundamentos de GUI")</f>
        <v>10. Fundamentos de GUI</v>
      </c>
      <c r="E60" s="41" t="str">
        <f>IFERROR(__xludf.DUMMYFUNCTION("""COMPUTED_VALUE"""),"Fundamentos de GUI, AWT y SWING")</f>
        <v>Fundamentos de GUI, AWT y SWING</v>
      </c>
      <c r="F60" s="41" t="str">
        <f>IFERROR(__xludf.DUMMYFUNCTION("""COMPUTED_VALUE"""),"¿Que es SWING?")</f>
        <v>¿Que es SWING?</v>
      </c>
      <c r="G60" s="41" t="str">
        <f>IFERROR(__xludf.DUMMYFUNCTION("""COMPUTED_VALUE"""),"Septiembre")</f>
        <v>Septiembre</v>
      </c>
      <c r="H60" s="41">
        <f>IFERROR(__xludf.DUMMYFUNCTION("""COMPUTED_VALUE"""),10.0)</f>
        <v>10</v>
      </c>
    </row>
    <row r="61" ht="15.75" customHeight="1">
      <c r="B61" s="41">
        <f>IFERROR(__xludf.DUMMYFUNCTION("""COMPUTED_VALUE"""),55.0)</f>
        <v>55</v>
      </c>
      <c r="C61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61" s="41" t="str">
        <f>IFERROR(__xludf.DUMMYFUNCTION("""COMPUTED_VALUE"""),"10. Fundamentos de GUI")</f>
        <v>10. Fundamentos de GUI</v>
      </c>
      <c r="E61" s="41" t="str">
        <f>IFERROR(__xludf.DUMMYFUNCTION("""COMPUTED_VALUE"""),"Fundamentos de GUI, AWT y SWING")</f>
        <v>Fundamentos de GUI, AWT y SWING</v>
      </c>
      <c r="F61" s="41" t="str">
        <f>IFERROR(__xludf.DUMMYFUNCTION("""COMPUTED_VALUE"""),"Componentes basicos de SWING")</f>
        <v>Componentes basicos de SWING</v>
      </c>
      <c r="G61" s="41" t="str">
        <f>IFERROR(__xludf.DUMMYFUNCTION("""COMPUTED_VALUE"""),"Septiembre")</f>
        <v>Septiembre</v>
      </c>
      <c r="H61" s="41">
        <f>IFERROR(__xludf.DUMMYFUNCTION("""COMPUTED_VALUE"""),10.0)</f>
        <v>10</v>
      </c>
    </row>
    <row r="62" ht="15.75" customHeight="1">
      <c r="B62" s="41">
        <f>IFERROR(__xludf.DUMMYFUNCTION("""COMPUTED_VALUE"""),56.0)</f>
        <v>56</v>
      </c>
      <c r="C62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62" s="41" t="str">
        <f>IFERROR(__xludf.DUMMYFUNCTION("""COMPUTED_VALUE"""),"11. Swing Avanzado y UML")</f>
        <v>11. Swing Avanzado y UML</v>
      </c>
      <c r="E62" s="41" t="str">
        <f>IFERROR(__xludf.DUMMYFUNCTION("""COMPUTED_VALUE"""),"SWING avanzado, UML y diagramas de clases")</f>
        <v>SWING avanzado, UML y diagramas de clases</v>
      </c>
      <c r="F62" s="41" t="str">
        <f>IFERROR(__xludf.DUMMYFUNCTION("""COMPUTED_VALUE"""),"Gestores de diseño (Layout Managers) en SWING")</f>
        <v>Gestores de diseño (Layout Managers) en SWING</v>
      </c>
      <c r="G62" s="41" t="str">
        <f>IFERROR(__xludf.DUMMYFUNCTION("""COMPUTED_VALUE"""),"Septiembre")</f>
        <v>Septiembre</v>
      </c>
      <c r="H62" s="41">
        <f>IFERROR(__xludf.DUMMYFUNCTION("""COMPUTED_VALUE"""),10.0)</f>
        <v>10</v>
      </c>
    </row>
    <row r="63" ht="15.75" customHeight="1">
      <c r="B63" s="41">
        <f>IFERROR(__xludf.DUMMYFUNCTION("""COMPUTED_VALUE"""),57.0)</f>
        <v>57</v>
      </c>
      <c r="C63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63" s="41" t="str">
        <f>IFERROR(__xludf.DUMMYFUNCTION("""COMPUTED_VALUE"""),"11. Swing Avanzado y UML")</f>
        <v>11. Swing Avanzado y UML</v>
      </c>
      <c r="E63" s="41" t="str">
        <f>IFERROR(__xludf.DUMMYFUNCTION("""COMPUTED_VALUE"""),"SWING avanzado, UML y diagramas de clases")</f>
        <v>SWING avanzado, UML y diagramas de clases</v>
      </c>
      <c r="F63" s="41" t="str">
        <f>IFERROR(__xludf.DUMMYFUNCTION("""COMPUTED_VALUE"""),"Manejo de eventos en SWING")</f>
        <v>Manejo de eventos en SWING</v>
      </c>
      <c r="G63" s="41" t="str">
        <f>IFERROR(__xludf.DUMMYFUNCTION("""COMPUTED_VALUE"""),"Septiembre")</f>
        <v>Septiembre</v>
      </c>
      <c r="H63" s="41">
        <f>IFERROR(__xludf.DUMMYFUNCTION("""COMPUTED_VALUE"""),10.0)</f>
        <v>10</v>
      </c>
    </row>
    <row r="64" ht="15.75" customHeight="1">
      <c r="B64" s="41">
        <f>IFERROR(__xludf.DUMMYFUNCTION("""COMPUTED_VALUE"""),58.0)</f>
        <v>58</v>
      </c>
      <c r="C64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64" s="41" t="str">
        <f>IFERROR(__xludf.DUMMYFUNCTION("""COMPUTED_VALUE"""),"11. Swing Avanzado y UML")</f>
        <v>11. Swing Avanzado y UML</v>
      </c>
      <c r="E64" s="41" t="str">
        <f>IFERROR(__xludf.DUMMYFUNCTION("""COMPUTED_VALUE"""),"SWING avanzado, UML y diagramas de clases")</f>
        <v>SWING avanzado, UML y diagramas de clases</v>
      </c>
      <c r="F64" s="41" t="str">
        <f>IFERROR(__xludf.DUMMYFUNCTION("""COMPUTED_VALUE"""),"Diferencias entre AWT y SWING")</f>
        <v>Diferencias entre AWT y SWING</v>
      </c>
      <c r="G64" s="41" t="str">
        <f>IFERROR(__xludf.DUMMYFUNCTION("""COMPUTED_VALUE"""),"Septiembre")</f>
        <v>Septiembre</v>
      </c>
      <c r="H64" s="41">
        <f>IFERROR(__xludf.DUMMYFUNCTION("""COMPUTED_VALUE"""),10.0)</f>
        <v>10</v>
      </c>
    </row>
    <row r="65" ht="15.75" customHeight="1">
      <c r="B65" s="41">
        <f>IFERROR(__xludf.DUMMYFUNCTION("""COMPUTED_VALUE"""),59.0)</f>
        <v>59</v>
      </c>
      <c r="C65" s="60" t="str">
        <f>IFERROR(__xludf.DUMMYFUNCTION("""COMPUTED_VALUE"""),"Implementar programas simples utilizando lenguaje de programación estructurado (JAVA) conforme a especificaciones dadas ")</f>
        <v>Implementar programas simples utilizando lenguaje de programación estructurado (JAVA) conforme a especificaciones dadas </v>
      </c>
      <c r="D65" s="41" t="str">
        <f>IFERROR(__xludf.DUMMYFUNCTION("""COMPUTED_VALUE"""),"11. Swing Avanzado y UML")</f>
        <v>11. Swing Avanzado y UML</v>
      </c>
      <c r="E65" s="41" t="str">
        <f>IFERROR(__xludf.DUMMYFUNCTION("""COMPUTED_VALUE"""),"SWING avanzado, UML y diagramas de clases")</f>
        <v>SWING avanzado, UML y diagramas de clases</v>
      </c>
      <c r="F65" s="41" t="str">
        <f>IFERROR(__xludf.DUMMYFUNCTION("""COMPUTED_VALUE"""),"Drag and Drop")</f>
        <v>Drag and Drop</v>
      </c>
      <c r="G65" s="41" t="str">
        <f>IFERROR(__xludf.DUMMYFUNCTION("""COMPUTED_VALUE"""),"Septiembre")</f>
        <v>Septiembre</v>
      </c>
      <c r="H65" s="41">
        <f>IFERROR(__xludf.DUMMYFUNCTION("""COMPUTED_VALUE"""),10.0)</f>
        <v>10</v>
      </c>
    </row>
    <row r="66" ht="15.75" customHeight="1">
      <c r="B66" s="41">
        <f>IFERROR(__xludf.DUMMYFUNCTION("""COMPUTED_VALUE"""),60.0)</f>
        <v>60</v>
      </c>
      <c r="C66" s="60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D66" s="41" t="str">
        <f>IFERROR(__xludf.DUMMYFUNCTION("""COMPUTED_VALUE"""),"11. Swing Avanzado y UML")</f>
        <v>11. Swing Avanzado y UML</v>
      </c>
      <c r="E66" s="41" t="str">
        <f>IFERROR(__xludf.DUMMYFUNCTION("""COMPUTED_VALUE"""),"SWING avanzado, UML y diagramas de clases")</f>
        <v>SWING avanzado, UML y diagramas de clases</v>
      </c>
      <c r="F66" s="41" t="str">
        <f>IFERROR(__xludf.DUMMYFUNCTION("""COMPUTED_VALUE"""),"¿Que es UML?")</f>
        <v>¿Que es UML?</v>
      </c>
      <c r="G66" s="41" t="str">
        <f>IFERROR(__xludf.DUMMYFUNCTION("""COMPUTED_VALUE"""),"Octubre")</f>
        <v>Octubre</v>
      </c>
      <c r="H66" s="41">
        <f>IFERROR(__xludf.DUMMYFUNCTION("""COMPUTED_VALUE"""),11.0)</f>
        <v>11</v>
      </c>
    </row>
    <row r="67" ht="15.75" customHeight="1">
      <c r="B67" s="41">
        <f>IFERROR(__xludf.DUMMYFUNCTION("""COMPUTED_VALUE"""),61.0)</f>
        <v>61</v>
      </c>
      <c r="C67" s="60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D67" s="41" t="str">
        <f>IFERROR(__xludf.DUMMYFUNCTION("""COMPUTED_VALUE"""),"11. Swing Avanzado y UML")</f>
        <v>11. Swing Avanzado y UML</v>
      </c>
      <c r="E67" s="41" t="str">
        <f>IFERROR(__xludf.DUMMYFUNCTION("""COMPUTED_VALUE"""),"SWING avanzado, UML y diagramas de clases")</f>
        <v>SWING avanzado, UML y diagramas de clases</v>
      </c>
      <c r="F67" s="41" t="str">
        <f>IFERROR(__xludf.DUMMYFUNCTION("""COMPUTED_VALUE"""),"Diagrama de clases")</f>
        <v>Diagrama de clases</v>
      </c>
      <c r="G67" s="41" t="str">
        <f>IFERROR(__xludf.DUMMYFUNCTION("""COMPUTED_VALUE"""),"Octubre")</f>
        <v>Octubre</v>
      </c>
      <c r="H67" s="41">
        <f>IFERROR(__xludf.DUMMYFUNCTION("""COMPUTED_VALUE"""),11.0)</f>
        <v>11</v>
      </c>
    </row>
    <row r="68" ht="15.75" customHeight="1">
      <c r="B68" s="41">
        <f>IFERROR(__xludf.DUMMYFUNCTION("""COMPUTED_VALUE"""),62.0)</f>
        <v>62</v>
      </c>
      <c r="C68" s="60" t="str">
        <f>IFERROR(__xludf.DUMMYFUNCTION("""COMPUTED_VALUE"""),"Diseñar  algoritmos  aplicando diagramas de flujo y pseudocódigo para resolver problemas básicos de lógica computacional ")</f>
        <v>Diseñar  algoritmos  aplicando diagramas de flujo y pseudocódigo para resolver problemas básicos de lógica computacional </v>
      </c>
      <c r="D68" s="41" t="str">
        <f>IFERROR(__xludf.DUMMYFUNCTION("""COMPUTED_VALUE"""),"11. Swing Avanzado y UML")</f>
        <v>11. Swing Avanzado y UML</v>
      </c>
      <c r="E68" s="41" t="str">
        <f>IFERROR(__xludf.DUMMYFUNCTION("""COMPUTED_VALUE"""),"SWING avanzado, UML y diagramas de clases")</f>
        <v>SWING avanzado, UML y diagramas de clases</v>
      </c>
      <c r="F68" s="41" t="str">
        <f>IFERROR(__xludf.DUMMYFUNCTION("""COMPUTED_VALUE"""),"Notaciones del diagrama de clases (clases, visibilidad, relaciones)")</f>
        <v>Notaciones del diagrama de clases (clases, visibilidad, relaciones)</v>
      </c>
      <c r="G68" s="41" t="str">
        <f>IFERROR(__xludf.DUMMYFUNCTION("""COMPUTED_VALUE"""),"Octubre")</f>
        <v>Octubre</v>
      </c>
      <c r="H68" s="41">
        <f>IFERROR(__xludf.DUMMYFUNCTION("""COMPUTED_VALUE"""),11.0)</f>
        <v>11</v>
      </c>
    </row>
    <row r="69" ht="15.75" customHeight="1">
      <c r="B69" s="41">
        <f>IFERROR(__xludf.DUMMYFUNCTION("""COMPUTED_VALUE"""),63.0)</f>
        <v>63</v>
      </c>
      <c r="C69" s="60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D69" s="41" t="str">
        <f>IFERROR(__xludf.DUMMYFUNCTION("""COMPUTED_VALUE"""),"12. Cloud computing")</f>
        <v>12. Cloud computing</v>
      </c>
      <c r="E69" s="41" t="str">
        <f>IFERROR(__xludf.DUMMYFUNCTION("""COMPUTED_VALUE"""),"Cloud Computing")</f>
        <v>Cloud Computing</v>
      </c>
      <c r="F69" s="41" t="str">
        <f>IFERROR(__xludf.DUMMYFUNCTION("""COMPUTED_VALUE"""),"Ventajas y Desventajas")</f>
        <v>Ventajas y Desventajas</v>
      </c>
      <c r="G69" s="41" t="str">
        <f>IFERROR(__xludf.DUMMYFUNCTION("""COMPUTED_VALUE"""),"Octubre")</f>
        <v>Octubre</v>
      </c>
      <c r="H69" s="41">
        <f>IFERROR(__xludf.DUMMYFUNCTION("""COMPUTED_VALUE"""),11.0)</f>
        <v>11</v>
      </c>
    </row>
    <row r="70" ht="15.75" customHeight="1">
      <c r="B70" s="41">
        <f>IFERROR(__xludf.DUMMYFUNCTION("""COMPUTED_VALUE"""),64.0)</f>
        <v>64</v>
      </c>
      <c r="C70" s="60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D70" s="41" t="str">
        <f>IFERROR(__xludf.DUMMYFUNCTION("""COMPUTED_VALUE"""),"12. Cloud computing")</f>
        <v>12. Cloud computing</v>
      </c>
      <c r="E70" s="41" t="str">
        <f>IFERROR(__xludf.DUMMYFUNCTION("""COMPUTED_VALUE"""),"Cloud Computing")</f>
        <v>Cloud Computing</v>
      </c>
      <c r="F70" s="41" t="str">
        <f>IFERROR(__xludf.DUMMYFUNCTION("""COMPUTED_VALUE"""),"Tipos de Nube")</f>
        <v>Tipos de Nube</v>
      </c>
      <c r="G70" s="41" t="str">
        <f>IFERROR(__xludf.DUMMYFUNCTION("""COMPUTED_VALUE"""),"Octubre")</f>
        <v>Octubre</v>
      </c>
      <c r="H70" s="41">
        <f>IFERROR(__xludf.DUMMYFUNCTION("""COMPUTED_VALUE"""),11.0)</f>
        <v>11</v>
      </c>
    </row>
    <row r="71" ht="15.75" customHeight="1">
      <c r="B71" s="41">
        <f>IFERROR(__xludf.DUMMYFUNCTION("""COMPUTED_VALUE"""),65.0)</f>
        <v>65</v>
      </c>
      <c r="C71" s="60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D71" s="41" t="str">
        <f>IFERROR(__xludf.DUMMYFUNCTION("""COMPUTED_VALUE"""),"12. Cloud computing")</f>
        <v>12. Cloud computing</v>
      </c>
      <c r="E71" s="41" t="str">
        <f>IFERROR(__xludf.DUMMYFUNCTION("""COMPUTED_VALUE"""),"Cloud Computing")</f>
        <v>Cloud Computing</v>
      </c>
      <c r="F71" s="41" t="str">
        <f>IFERROR(__xludf.DUMMYFUNCTION("""COMPUTED_VALUE"""),"Publica, privada, hibrida")</f>
        <v>Publica, privada, hibrida</v>
      </c>
      <c r="G71" s="41" t="str">
        <f>IFERROR(__xludf.DUMMYFUNCTION("""COMPUTED_VALUE"""),"Octubre")</f>
        <v>Octubre</v>
      </c>
      <c r="H71" s="41">
        <f>IFERROR(__xludf.DUMMYFUNCTION("""COMPUTED_VALUE"""),11.0)</f>
        <v>11</v>
      </c>
    </row>
    <row r="72" ht="15.75" customHeight="1">
      <c r="B72" s="41">
        <f>IFERROR(__xludf.DUMMYFUNCTION("""COMPUTED_VALUE"""),66.0)</f>
        <v>66</v>
      </c>
      <c r="C72" s="60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D72" s="41" t="str">
        <f>IFERROR(__xludf.DUMMYFUNCTION("""COMPUTED_VALUE"""),"12. Cloud computing")</f>
        <v>12. Cloud computing</v>
      </c>
      <c r="E72" s="41" t="str">
        <f>IFERROR(__xludf.DUMMYFUNCTION("""COMPUTED_VALUE"""),"Cloud Computing")</f>
        <v>Cloud Computing</v>
      </c>
      <c r="F72" s="41" t="str">
        <f>IFERROR(__xludf.DUMMYFUNCTION("""COMPUTED_VALUE"""),"Modelos en la Nube")</f>
        <v>Modelos en la Nube</v>
      </c>
      <c r="G72" s="41" t="str">
        <f>IFERROR(__xludf.DUMMYFUNCTION("""COMPUTED_VALUE"""),"Octubre")</f>
        <v>Octubre</v>
      </c>
      <c r="H72" s="41">
        <f>IFERROR(__xludf.DUMMYFUNCTION("""COMPUTED_VALUE"""),11.0)</f>
        <v>11</v>
      </c>
    </row>
    <row r="73" ht="15.75" customHeight="1">
      <c r="B73" s="41">
        <f>IFERROR(__xludf.DUMMYFUNCTION("""COMPUTED_VALUE"""),67.0)</f>
        <v>67</v>
      </c>
      <c r="C73" s="60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D73" s="41" t="str">
        <f>IFERROR(__xludf.DUMMYFUNCTION("""COMPUTED_VALUE"""),"12. Cloud computing")</f>
        <v>12. Cloud computing</v>
      </c>
      <c r="E73" s="41" t="str">
        <f>IFERROR(__xludf.DUMMYFUNCTION("""COMPUTED_VALUE"""),"Cloud Computing")</f>
        <v>Cloud Computing</v>
      </c>
      <c r="F73" s="41" t="str">
        <f>IFERROR(__xludf.DUMMYFUNCTION("""COMPUTED_VALUE"""),"SaaS, PaaS, IaaS")</f>
        <v>SaaS, PaaS, IaaS</v>
      </c>
      <c r="G73" s="41" t="str">
        <f>IFERROR(__xludf.DUMMYFUNCTION("""COMPUTED_VALUE"""),"Octubre")</f>
        <v>Octubre</v>
      </c>
      <c r="H73" s="41">
        <f>IFERROR(__xludf.DUMMYFUNCTION("""COMPUTED_VALUE"""),11.0)</f>
        <v>11</v>
      </c>
    </row>
    <row r="74" ht="15.75" customHeight="1">
      <c r="B74" s="41">
        <f>IFERROR(__xludf.DUMMYFUNCTION("""COMPUTED_VALUE"""),68.0)</f>
        <v>68</v>
      </c>
      <c r="C74" s="60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D74" s="41" t="str">
        <f>IFERROR(__xludf.DUMMYFUNCTION("""COMPUTED_VALUE"""),"12. Cloud computing")</f>
        <v>12. Cloud computing</v>
      </c>
      <c r="E74" s="41" t="str">
        <f>IFERROR(__xludf.DUMMYFUNCTION("""COMPUTED_VALUE"""),"Cloud Computing")</f>
        <v>Cloud Computing</v>
      </c>
      <c r="F74" s="41" t="str">
        <f>IFERROR(__xludf.DUMMYFUNCTION("""COMPUTED_VALUE"""),"Servicios en la nube")</f>
        <v>Servicios en la nube</v>
      </c>
      <c r="G74" s="41" t="str">
        <f>IFERROR(__xludf.DUMMYFUNCTION("""COMPUTED_VALUE"""),"Octubre")</f>
        <v>Octubre</v>
      </c>
      <c r="H74" s="41">
        <f>IFERROR(__xludf.DUMMYFUNCTION("""COMPUTED_VALUE"""),11.0)</f>
        <v>11</v>
      </c>
    </row>
    <row r="75" ht="15.75" customHeight="1">
      <c r="B75" s="41">
        <f>IFERROR(__xludf.DUMMYFUNCTION("""COMPUTED_VALUE"""),69.0)</f>
        <v>69</v>
      </c>
      <c r="C75" s="60" t="str">
        <f>IFERROR(__xludf.DUMMYFUNCTION("""COMPUTED_VALUE"""),"Analizar problemas computacionales empleando estrategias de resolución de problemas para optimizar soluciones algorítmicas ")</f>
        <v>Analizar problemas computacionales empleando estrategias de resolución de problemas para optimizar soluciones algorítmicas </v>
      </c>
      <c r="D75" s="41" t="str">
        <f>IFERROR(__xludf.DUMMYFUNCTION("""COMPUTED_VALUE"""),"12. Cloud computing")</f>
        <v>12. Cloud computing</v>
      </c>
      <c r="E75" s="41" t="str">
        <f>IFERROR(__xludf.DUMMYFUNCTION("""COMPUTED_VALUE"""),"Cloud Computing")</f>
        <v>Cloud Computing</v>
      </c>
      <c r="F75" s="41" t="str">
        <f>IFERROR(__xludf.DUMMYFUNCTION("""COMPUTED_VALUE"""),"Proveedores de Nube")</f>
        <v>Proveedores de Nube</v>
      </c>
      <c r="G75" s="41" t="str">
        <f>IFERROR(__xludf.DUMMYFUNCTION("""COMPUTED_VALUE"""),"Octubre")</f>
        <v>Octubre</v>
      </c>
      <c r="H75" s="41">
        <f>IFERROR(__xludf.DUMMYFUNCTION("""COMPUTED_VALUE"""),11.0)</f>
        <v>11</v>
      </c>
    </row>
    <row r="76" ht="15.75" customHeight="1">
      <c r="B76" s="41"/>
      <c r="C76" s="60"/>
      <c r="D76" s="41"/>
      <c r="E76" s="41"/>
      <c r="F76" s="41"/>
      <c r="G76" s="41"/>
      <c r="H76" s="41"/>
    </row>
    <row r="77" ht="15.75" customHeight="1">
      <c r="B77" s="41"/>
      <c r="C77" s="60"/>
      <c r="D77" s="41"/>
      <c r="E77" s="41"/>
      <c r="F77" s="41"/>
      <c r="G77" s="41"/>
      <c r="H77" s="41"/>
    </row>
    <row r="78" ht="15.75" customHeight="1">
      <c r="B78" s="41"/>
      <c r="C78" s="60"/>
      <c r="D78" s="41"/>
      <c r="E78" s="41"/>
      <c r="F78" s="41"/>
      <c r="G78" s="41"/>
      <c r="H78" s="41"/>
    </row>
    <row r="79" ht="15.75" customHeight="1">
      <c r="B79" s="41"/>
      <c r="C79" s="60"/>
      <c r="D79" s="41"/>
      <c r="E79" s="41"/>
      <c r="F79" s="41"/>
      <c r="G79" s="41"/>
      <c r="H79" s="41"/>
    </row>
    <row r="80" ht="15.75" customHeight="1">
      <c r="B80" s="41"/>
      <c r="C80" s="60"/>
      <c r="D80" s="41"/>
      <c r="E80" s="41"/>
      <c r="F80" s="41"/>
      <c r="G80" s="41"/>
      <c r="H80" s="41"/>
    </row>
    <row r="81" ht="15.75" customHeight="1">
      <c r="B81" s="41"/>
      <c r="C81" s="60"/>
      <c r="D81" s="41"/>
      <c r="E81" s="41"/>
      <c r="F81" s="41"/>
      <c r="G81" s="41"/>
      <c r="H81" s="41"/>
    </row>
    <row r="82" ht="15.75" customHeight="1">
      <c r="B82" s="41"/>
      <c r="C82" s="60"/>
      <c r="D82" s="41"/>
      <c r="E82" s="41"/>
      <c r="F82" s="41"/>
      <c r="G82" s="41"/>
      <c r="H82" s="41"/>
    </row>
    <row r="83" ht="15.75" customHeight="1">
      <c r="B83" s="41"/>
      <c r="C83" s="60"/>
      <c r="D83" s="41"/>
      <c r="E83" s="41"/>
      <c r="F83" s="41"/>
      <c r="G83" s="41"/>
      <c r="H83" s="41"/>
    </row>
    <row r="84" ht="15.75" customHeight="1">
      <c r="B84" s="41"/>
      <c r="C84" s="60"/>
      <c r="D84" s="41"/>
      <c r="E84" s="41"/>
      <c r="F84" s="41"/>
      <c r="G84" s="41"/>
      <c r="H84" s="41"/>
    </row>
    <row r="85" ht="15.75" customHeight="1">
      <c r="B85" s="41"/>
      <c r="C85" s="60"/>
      <c r="D85" s="41"/>
      <c r="E85" s="41"/>
      <c r="F85" s="41"/>
      <c r="G85" s="41"/>
      <c r="H85" s="41"/>
    </row>
    <row r="86" ht="15.75" customHeight="1">
      <c r="B86" s="41"/>
      <c r="C86" s="60"/>
      <c r="D86" s="41"/>
      <c r="E86" s="41"/>
      <c r="F86" s="41"/>
      <c r="G86" s="41"/>
      <c r="H86" s="41"/>
    </row>
    <row r="87" ht="15.75" customHeight="1">
      <c r="B87" s="41"/>
      <c r="C87" s="60"/>
      <c r="D87" s="41"/>
      <c r="E87" s="41"/>
      <c r="F87" s="41"/>
      <c r="G87" s="41"/>
      <c r="H87" s="41"/>
    </row>
    <row r="88" ht="15.75" customHeight="1">
      <c r="B88" s="41"/>
      <c r="C88" s="60"/>
      <c r="D88" s="41"/>
      <c r="E88" s="41"/>
      <c r="F88" s="41"/>
      <c r="G88" s="41"/>
      <c r="H88" s="41"/>
    </row>
    <row r="89" ht="15.75" customHeight="1">
      <c r="B89" s="41"/>
      <c r="C89" s="60"/>
      <c r="D89" s="41"/>
      <c r="E89" s="41"/>
      <c r="F89" s="41"/>
      <c r="G89" s="41"/>
      <c r="H89" s="41"/>
    </row>
    <row r="90" ht="15.75" customHeight="1">
      <c r="B90" s="41"/>
      <c r="C90" s="60"/>
      <c r="D90" s="41"/>
      <c r="E90" s="41"/>
      <c r="F90" s="41"/>
      <c r="G90" s="41"/>
      <c r="H90" s="41"/>
    </row>
    <row r="91" ht="15.75" customHeight="1">
      <c r="B91" s="41"/>
      <c r="C91" s="60"/>
      <c r="D91" s="41"/>
      <c r="E91" s="41"/>
      <c r="F91" s="41"/>
      <c r="G91" s="41"/>
      <c r="H91" s="41"/>
    </row>
    <row r="92" ht="15.75" customHeight="1">
      <c r="B92" s="41"/>
      <c r="C92" s="60"/>
      <c r="D92" s="41"/>
      <c r="E92" s="41"/>
      <c r="F92" s="41"/>
      <c r="G92" s="41"/>
      <c r="H92" s="41"/>
    </row>
    <row r="93" ht="15.75" customHeight="1">
      <c r="B93" s="41"/>
      <c r="C93" s="60"/>
      <c r="D93" s="41"/>
      <c r="E93" s="41"/>
      <c r="F93" s="41"/>
      <c r="G93" s="41"/>
      <c r="H93" s="41"/>
    </row>
    <row r="94" ht="15.75" customHeight="1">
      <c r="B94" s="41"/>
      <c r="C94" s="60"/>
      <c r="D94" s="41"/>
      <c r="E94" s="41"/>
      <c r="F94" s="41"/>
      <c r="G94" s="41"/>
      <c r="H94" s="41"/>
    </row>
    <row r="95" ht="15.75" customHeight="1">
      <c r="B95" s="41"/>
      <c r="C95" s="60"/>
      <c r="D95" s="41"/>
      <c r="E95" s="41"/>
      <c r="F95" s="41"/>
      <c r="G95" s="41"/>
      <c r="H95" s="41"/>
    </row>
    <row r="96" ht="15.75" customHeight="1">
      <c r="B96" s="41"/>
      <c r="C96" s="60"/>
      <c r="D96" s="41"/>
      <c r="E96" s="41"/>
      <c r="F96" s="41"/>
      <c r="G96" s="41"/>
      <c r="H96" s="41"/>
    </row>
    <row r="97" ht="15.75" customHeight="1">
      <c r="B97" s="41"/>
      <c r="C97" s="60"/>
      <c r="D97" s="41"/>
      <c r="E97" s="41"/>
      <c r="F97" s="41"/>
      <c r="G97" s="41"/>
      <c r="H97" s="41"/>
    </row>
    <row r="98" ht="15.75" customHeight="1">
      <c r="B98" s="41"/>
      <c r="C98" s="60"/>
      <c r="D98" s="41"/>
      <c r="E98" s="41"/>
      <c r="F98" s="41"/>
      <c r="G98" s="41"/>
      <c r="H98" s="41"/>
    </row>
    <row r="99" ht="15.75" customHeight="1">
      <c r="B99" s="41"/>
      <c r="C99" s="60"/>
      <c r="D99" s="41"/>
      <c r="E99" s="41"/>
      <c r="F99" s="41"/>
      <c r="G99" s="41"/>
      <c r="H99" s="41"/>
    </row>
    <row r="100" ht="15.75" customHeight="1">
      <c r="B100" s="41"/>
      <c r="C100" s="60"/>
      <c r="D100" s="41"/>
      <c r="E100" s="41"/>
      <c r="F100" s="41"/>
      <c r="G100" s="41"/>
      <c r="H100" s="41"/>
    </row>
    <row r="101" ht="15.75" customHeight="1">
      <c r="B101" s="41"/>
      <c r="C101" s="60"/>
      <c r="D101" s="41"/>
      <c r="E101" s="41"/>
      <c r="F101" s="41"/>
      <c r="G101" s="41"/>
      <c r="H101" s="41"/>
    </row>
    <row r="102" ht="15.75" customHeight="1">
      <c r="B102" s="41"/>
      <c r="C102" s="60"/>
      <c r="D102" s="41"/>
      <c r="E102" s="41"/>
      <c r="F102" s="41"/>
      <c r="G102" s="41"/>
      <c r="H102" s="41"/>
    </row>
    <row r="103" ht="15.75" customHeight="1">
      <c r="B103" s="41"/>
      <c r="C103" s="60"/>
      <c r="D103" s="41"/>
      <c r="E103" s="41"/>
      <c r="F103" s="41"/>
      <c r="G103" s="41"/>
      <c r="H103" s="41"/>
    </row>
    <row r="104" ht="15.75" customHeight="1">
      <c r="B104" s="41"/>
      <c r="C104" s="60"/>
      <c r="D104" s="41"/>
      <c r="E104" s="41"/>
      <c r="F104" s="41"/>
      <c r="G104" s="41"/>
      <c r="H104" s="41"/>
    </row>
    <row r="105" ht="15.75" customHeight="1">
      <c r="B105" s="41"/>
      <c r="C105" s="60"/>
      <c r="D105" s="41"/>
      <c r="E105" s="41"/>
      <c r="F105" s="41"/>
      <c r="G105" s="41"/>
      <c r="H105" s="41"/>
    </row>
    <row r="106" ht="15.75" customHeight="1">
      <c r="B106" s="41"/>
      <c r="C106" s="60"/>
      <c r="D106" s="41"/>
      <c r="E106" s="41"/>
      <c r="F106" s="41"/>
      <c r="G106" s="41"/>
      <c r="H106" s="41"/>
    </row>
    <row r="107" ht="15.75" customHeight="1">
      <c r="B107" s="41"/>
      <c r="C107" s="60"/>
      <c r="D107" s="41"/>
      <c r="E107" s="41"/>
      <c r="F107" s="41"/>
      <c r="G107" s="41"/>
      <c r="H107" s="41"/>
    </row>
    <row r="108" ht="15.75" customHeight="1">
      <c r="B108" s="41"/>
      <c r="C108" s="60"/>
      <c r="D108" s="41"/>
      <c r="E108" s="41"/>
      <c r="F108" s="41"/>
      <c r="G108" s="41"/>
      <c r="H108" s="41"/>
    </row>
    <row r="109" ht="15.75" customHeight="1">
      <c r="B109" s="41"/>
      <c r="C109" s="60"/>
      <c r="D109" s="41"/>
      <c r="E109" s="41"/>
      <c r="F109" s="41"/>
      <c r="G109" s="41"/>
      <c r="H109" s="41"/>
    </row>
    <row r="110" ht="15.75" customHeight="1">
      <c r="B110" s="41"/>
      <c r="C110" s="60"/>
      <c r="D110" s="41"/>
      <c r="E110" s="41"/>
      <c r="F110" s="41"/>
      <c r="G110" s="41"/>
      <c r="H110" s="41"/>
    </row>
    <row r="111" ht="15.75" customHeight="1">
      <c r="B111" s="41"/>
      <c r="C111" s="60"/>
      <c r="D111" s="41"/>
      <c r="E111" s="41"/>
      <c r="F111" s="41"/>
      <c r="G111" s="41"/>
      <c r="H111" s="41"/>
    </row>
    <row r="112" ht="15.75" customHeight="1">
      <c r="B112" s="41"/>
      <c r="C112" s="60"/>
      <c r="D112" s="41"/>
      <c r="E112" s="41"/>
      <c r="F112" s="41"/>
      <c r="G112" s="41"/>
      <c r="H112" s="41"/>
    </row>
    <row r="113" ht="15.75" customHeight="1">
      <c r="B113" s="41"/>
      <c r="C113" s="60"/>
      <c r="D113" s="41"/>
      <c r="E113" s="41"/>
      <c r="F113" s="41"/>
      <c r="G113" s="41"/>
      <c r="H113" s="41"/>
    </row>
    <row r="114" ht="15.75" customHeight="1">
      <c r="B114" s="41"/>
      <c r="C114" s="60"/>
      <c r="D114" s="41"/>
      <c r="E114" s="41"/>
      <c r="F114" s="41"/>
      <c r="G114" s="41"/>
      <c r="H114" s="41"/>
    </row>
    <row r="115" ht="15.75" customHeight="1">
      <c r="B115" s="41"/>
      <c r="C115" s="60"/>
      <c r="D115" s="41"/>
      <c r="E115" s="41"/>
      <c r="F115" s="41"/>
      <c r="G115" s="41"/>
      <c r="H115" s="41"/>
    </row>
    <row r="116" ht="15.75" customHeight="1">
      <c r="B116" s="41"/>
      <c r="C116" s="60"/>
      <c r="D116" s="41"/>
      <c r="E116" s="41"/>
      <c r="F116" s="41"/>
      <c r="G116" s="41"/>
      <c r="H116" s="41"/>
    </row>
    <row r="117" ht="15.75" customHeight="1">
      <c r="B117" s="41"/>
      <c r="C117" s="60"/>
      <c r="D117" s="41"/>
      <c r="E117" s="41"/>
      <c r="F117" s="41"/>
      <c r="G117" s="41"/>
      <c r="H117" s="41"/>
    </row>
    <row r="118" ht="15.75" customHeight="1">
      <c r="B118" s="41"/>
      <c r="C118" s="60"/>
      <c r="D118" s="41"/>
      <c r="E118" s="41"/>
      <c r="F118" s="41"/>
      <c r="G118" s="41"/>
      <c r="H118" s="41"/>
    </row>
    <row r="119" ht="15.75" customHeight="1">
      <c r="B119" s="41"/>
      <c r="C119" s="60"/>
      <c r="D119" s="41"/>
      <c r="E119" s="41"/>
      <c r="F119" s="41"/>
      <c r="G119" s="41"/>
      <c r="H119" s="41"/>
    </row>
    <row r="120" ht="15.75" customHeight="1">
      <c r="B120" s="41"/>
      <c r="C120" s="60"/>
      <c r="D120" s="41"/>
      <c r="E120" s="41"/>
      <c r="F120" s="41"/>
      <c r="G120" s="41"/>
      <c r="H120" s="41"/>
    </row>
    <row r="121" ht="15.75" customHeight="1">
      <c r="B121" s="41"/>
      <c r="C121" s="60"/>
      <c r="D121" s="41"/>
      <c r="E121" s="41"/>
      <c r="F121" s="41"/>
      <c r="G121" s="41"/>
      <c r="H121" s="41"/>
    </row>
    <row r="122" ht="15.75" customHeight="1">
      <c r="B122" s="41"/>
      <c r="C122" s="60"/>
      <c r="D122" s="41"/>
      <c r="E122" s="41"/>
      <c r="F122" s="41"/>
      <c r="G122" s="41"/>
      <c r="H122" s="41"/>
    </row>
    <row r="123" ht="15.75" customHeight="1">
      <c r="B123" s="41"/>
      <c r="C123" s="60"/>
      <c r="D123" s="41"/>
      <c r="E123" s="41"/>
      <c r="F123" s="41"/>
      <c r="G123" s="41"/>
      <c r="H123" s="41"/>
    </row>
    <row r="124" ht="15.75" customHeight="1">
      <c r="B124" s="41"/>
      <c r="C124" s="60"/>
      <c r="D124" s="41"/>
      <c r="E124" s="41"/>
      <c r="F124" s="41"/>
      <c r="G124" s="41"/>
      <c r="H124" s="41"/>
    </row>
    <row r="125" ht="15.75" customHeight="1">
      <c r="B125" s="41"/>
      <c r="C125" s="60"/>
      <c r="D125" s="41"/>
      <c r="E125" s="41"/>
      <c r="F125" s="41"/>
      <c r="G125" s="41"/>
      <c r="H125" s="41"/>
    </row>
    <row r="126" ht="15.75" customHeight="1">
      <c r="B126" s="41"/>
      <c r="C126" s="60"/>
      <c r="D126" s="41"/>
      <c r="E126" s="41"/>
      <c r="F126" s="41"/>
      <c r="G126" s="41"/>
      <c r="H126" s="41"/>
    </row>
    <row r="127" ht="15.75" customHeight="1">
      <c r="B127" s="41"/>
      <c r="C127" s="60"/>
      <c r="D127" s="41"/>
      <c r="E127" s="41"/>
      <c r="F127" s="41"/>
      <c r="G127" s="41"/>
      <c r="H127" s="41"/>
    </row>
    <row r="128" ht="15.75" customHeight="1">
      <c r="B128" s="41"/>
      <c r="C128" s="60"/>
      <c r="D128" s="41"/>
      <c r="E128" s="41"/>
      <c r="F128" s="41"/>
      <c r="G128" s="41"/>
      <c r="H128" s="41"/>
    </row>
    <row r="129" ht="15.75" customHeight="1">
      <c r="B129" s="41"/>
      <c r="C129" s="60"/>
      <c r="D129" s="41"/>
      <c r="E129" s="41"/>
      <c r="F129" s="41"/>
      <c r="G129" s="41"/>
      <c r="H129" s="41"/>
    </row>
    <row r="130" ht="15.75" customHeight="1">
      <c r="B130" s="41"/>
      <c r="C130" s="60"/>
      <c r="D130" s="41"/>
      <c r="E130" s="41"/>
      <c r="F130" s="41"/>
      <c r="G130" s="41"/>
      <c r="H130" s="41"/>
    </row>
    <row r="131" ht="15.75" customHeight="1">
      <c r="B131" s="41"/>
      <c r="C131" s="60"/>
      <c r="D131" s="41"/>
      <c r="E131" s="41"/>
      <c r="F131" s="41"/>
      <c r="G131" s="41"/>
      <c r="H131" s="41"/>
    </row>
    <row r="132" ht="15.75" customHeight="1">
      <c r="B132" s="41"/>
      <c r="C132" s="60"/>
      <c r="D132" s="41"/>
      <c r="E132" s="41"/>
      <c r="F132" s="41"/>
      <c r="G132" s="41"/>
      <c r="H132" s="41"/>
    </row>
    <row r="133" ht="15.75" customHeight="1">
      <c r="B133" s="41"/>
      <c r="C133" s="60"/>
      <c r="D133" s="41"/>
      <c r="E133" s="41"/>
      <c r="F133" s="41"/>
      <c r="G133" s="41"/>
      <c r="H133" s="41"/>
    </row>
    <row r="134" ht="15.75" customHeight="1">
      <c r="B134" s="41"/>
      <c r="C134" s="60"/>
      <c r="D134" s="41"/>
      <c r="E134" s="41"/>
      <c r="F134" s="41"/>
      <c r="G134" s="41"/>
      <c r="H134" s="41"/>
    </row>
    <row r="135" ht="15.75" customHeight="1">
      <c r="B135" s="41"/>
      <c r="C135" s="60"/>
      <c r="D135" s="41"/>
      <c r="E135" s="41"/>
      <c r="F135" s="41"/>
      <c r="G135" s="41"/>
      <c r="H135" s="41"/>
    </row>
    <row r="136" ht="15.75" customHeight="1">
      <c r="B136" s="41"/>
      <c r="C136" s="60"/>
      <c r="D136" s="41"/>
      <c r="E136" s="41"/>
      <c r="F136" s="41"/>
      <c r="G136" s="41"/>
      <c r="H136" s="41"/>
    </row>
    <row r="137" ht="15.75" customHeight="1">
      <c r="B137" s="41"/>
      <c r="C137" s="60"/>
      <c r="D137" s="41"/>
      <c r="E137" s="41"/>
      <c r="F137" s="41"/>
      <c r="G137" s="41"/>
      <c r="H137" s="41"/>
    </row>
    <row r="138" ht="15.75" customHeight="1">
      <c r="B138" s="41"/>
      <c r="C138" s="60"/>
      <c r="D138" s="41"/>
      <c r="E138" s="41"/>
      <c r="F138" s="41"/>
      <c r="G138" s="41"/>
      <c r="H138" s="41"/>
    </row>
    <row r="139" ht="15.75" customHeight="1">
      <c r="B139" s="41"/>
      <c r="C139" s="60"/>
      <c r="D139" s="41"/>
      <c r="E139" s="41"/>
      <c r="F139" s="41"/>
      <c r="G139" s="41"/>
      <c r="H139" s="41"/>
    </row>
    <row r="140" ht="15.75" customHeight="1">
      <c r="B140" s="41"/>
      <c r="C140" s="60"/>
      <c r="D140" s="41"/>
      <c r="E140" s="41"/>
      <c r="F140" s="41"/>
      <c r="G140" s="41"/>
      <c r="H140" s="41"/>
    </row>
    <row r="141" ht="15.75" customHeight="1">
      <c r="B141" s="41"/>
      <c r="C141" s="60"/>
      <c r="D141" s="41"/>
      <c r="E141" s="41"/>
      <c r="F141" s="41"/>
      <c r="G141" s="41"/>
      <c r="H141" s="41"/>
    </row>
    <row r="142" ht="15.75" customHeight="1">
      <c r="B142" s="41"/>
      <c r="C142" s="60"/>
      <c r="D142" s="41"/>
      <c r="E142" s="41"/>
      <c r="F142" s="41"/>
      <c r="G142" s="41"/>
      <c r="H142" s="41"/>
    </row>
    <row r="143" ht="15.75" customHeight="1">
      <c r="B143" s="41"/>
      <c r="C143" s="60"/>
      <c r="D143" s="41"/>
      <c r="E143" s="41"/>
      <c r="F143" s="41"/>
      <c r="G143" s="41"/>
      <c r="H143" s="41"/>
    </row>
    <row r="144" ht="15.75" customHeight="1">
      <c r="B144" s="41"/>
      <c r="C144" s="60"/>
      <c r="D144" s="41"/>
      <c r="E144" s="41"/>
      <c r="F144" s="41"/>
      <c r="G144" s="41"/>
      <c r="H144" s="41"/>
    </row>
    <row r="145" ht="15.75" customHeight="1">
      <c r="B145" s="41"/>
      <c r="C145" s="60"/>
      <c r="D145" s="41"/>
      <c r="E145" s="41"/>
      <c r="F145" s="41"/>
      <c r="G145" s="41"/>
      <c r="H145" s="41"/>
    </row>
    <row r="146" ht="15.75" customHeight="1">
      <c r="B146" s="41"/>
      <c r="C146" s="60"/>
      <c r="D146" s="41"/>
      <c r="E146" s="41"/>
      <c r="F146" s="41"/>
      <c r="G146" s="41"/>
      <c r="H146" s="41"/>
    </row>
    <row r="147" ht="15.75" customHeight="1">
      <c r="B147" s="41"/>
      <c r="C147" s="60"/>
      <c r="D147" s="41"/>
      <c r="E147" s="41"/>
      <c r="F147" s="41"/>
      <c r="G147" s="41"/>
      <c r="H147" s="41"/>
    </row>
    <row r="148" ht="15.75" customHeight="1">
      <c r="B148" s="41"/>
      <c r="C148" s="60"/>
      <c r="D148" s="41"/>
      <c r="E148" s="41"/>
      <c r="F148" s="41"/>
      <c r="G148" s="41"/>
      <c r="H148" s="41"/>
    </row>
    <row r="149" ht="15.75" customHeight="1">
      <c r="B149" s="41"/>
      <c r="C149" s="60"/>
      <c r="D149" s="41"/>
      <c r="E149" s="41"/>
      <c r="F149" s="41"/>
      <c r="G149" s="41"/>
      <c r="H149" s="41"/>
    </row>
    <row r="150" ht="15.75" customHeight="1">
      <c r="B150" s="41"/>
      <c r="C150" s="60"/>
      <c r="D150" s="41"/>
      <c r="E150" s="41"/>
      <c r="F150" s="41"/>
      <c r="G150" s="41"/>
      <c r="H150" s="41"/>
    </row>
    <row r="151" ht="15.75" customHeight="1">
      <c r="B151" s="41"/>
      <c r="C151" s="60"/>
      <c r="D151" s="41"/>
      <c r="E151" s="41"/>
      <c r="F151" s="41"/>
      <c r="G151" s="41"/>
      <c r="H151" s="41"/>
    </row>
    <row r="152" ht="15.75" customHeight="1">
      <c r="B152" s="41"/>
      <c r="C152" s="60"/>
      <c r="D152" s="41"/>
      <c r="E152" s="41"/>
      <c r="F152" s="41"/>
      <c r="G152" s="41"/>
      <c r="H152" s="41"/>
    </row>
    <row r="153" ht="15.75" customHeight="1">
      <c r="B153" s="41"/>
      <c r="C153" s="60"/>
      <c r="D153" s="41"/>
      <c r="E153" s="41"/>
      <c r="F153" s="41"/>
      <c r="G153" s="41"/>
      <c r="H153" s="41"/>
    </row>
    <row r="154" ht="15.75" customHeight="1">
      <c r="B154" s="41"/>
      <c r="C154" s="60"/>
      <c r="D154" s="41"/>
      <c r="E154" s="41"/>
      <c r="F154" s="41"/>
      <c r="G154" s="41"/>
      <c r="H154" s="41"/>
    </row>
    <row r="155" ht="15.75" customHeight="1">
      <c r="B155" s="41"/>
      <c r="C155" s="60"/>
      <c r="D155" s="41"/>
      <c r="E155" s="41"/>
      <c r="F155" s="41"/>
      <c r="G155" s="41"/>
      <c r="H155" s="41"/>
    </row>
    <row r="156" ht="15.75" customHeight="1">
      <c r="B156" s="41"/>
      <c r="C156" s="60"/>
      <c r="D156" s="41"/>
      <c r="E156" s="41"/>
      <c r="F156" s="41"/>
      <c r="G156" s="41"/>
      <c r="H156" s="41"/>
    </row>
    <row r="157" ht="15.75" customHeight="1">
      <c r="B157" s="41"/>
      <c r="C157" s="60"/>
      <c r="D157" s="41"/>
      <c r="E157" s="41"/>
      <c r="F157" s="41"/>
      <c r="G157" s="41"/>
      <c r="H157" s="41"/>
    </row>
    <row r="158" ht="15.75" customHeight="1">
      <c r="B158" s="41"/>
      <c r="C158" s="60"/>
      <c r="D158" s="41"/>
      <c r="E158" s="41"/>
      <c r="F158" s="41"/>
      <c r="G158" s="41"/>
      <c r="H158" s="41"/>
    </row>
    <row r="159" ht="15.75" customHeight="1">
      <c r="B159" s="41"/>
      <c r="C159" s="60"/>
      <c r="D159" s="41"/>
      <c r="E159" s="41"/>
      <c r="F159" s="41"/>
      <c r="G159" s="41"/>
      <c r="H159" s="41"/>
    </row>
    <row r="160" ht="15.75" customHeight="1">
      <c r="B160" s="41"/>
      <c r="C160" s="60"/>
      <c r="D160" s="41"/>
      <c r="E160" s="41"/>
      <c r="F160" s="41"/>
      <c r="G160" s="41"/>
      <c r="H160" s="41"/>
    </row>
    <row r="161" ht="15.75" customHeight="1">
      <c r="B161" s="41"/>
      <c r="C161" s="60"/>
      <c r="D161" s="41"/>
      <c r="E161" s="41"/>
      <c r="F161" s="41"/>
      <c r="G161" s="41"/>
      <c r="H161" s="41"/>
    </row>
    <row r="162" ht="15.75" customHeight="1">
      <c r="B162" s="41"/>
      <c r="C162" s="60"/>
      <c r="D162" s="41"/>
      <c r="E162" s="41"/>
      <c r="F162" s="41"/>
      <c r="G162" s="41"/>
      <c r="H162" s="41"/>
    </row>
    <row r="163" ht="15.75" customHeight="1">
      <c r="B163" s="41"/>
      <c r="C163" s="60"/>
      <c r="D163" s="41"/>
      <c r="E163" s="41"/>
      <c r="F163" s="41"/>
      <c r="G163" s="41"/>
      <c r="H163" s="41"/>
    </row>
    <row r="164" ht="15.75" customHeight="1">
      <c r="B164" s="41"/>
      <c r="C164" s="60"/>
      <c r="D164" s="41"/>
      <c r="E164" s="41"/>
      <c r="F164" s="41"/>
      <c r="G164" s="41"/>
      <c r="H164" s="41"/>
    </row>
    <row r="165" ht="15.75" customHeight="1">
      <c r="B165" s="41"/>
      <c r="C165" s="60"/>
      <c r="D165" s="41"/>
      <c r="E165" s="41"/>
      <c r="F165" s="41"/>
      <c r="G165" s="41"/>
      <c r="H165" s="41"/>
    </row>
    <row r="166" ht="15.75" customHeight="1">
      <c r="B166" s="41"/>
      <c r="C166" s="60"/>
      <c r="D166" s="41"/>
      <c r="E166" s="41"/>
      <c r="F166" s="41"/>
      <c r="G166" s="41"/>
      <c r="H166" s="41"/>
    </row>
    <row r="167" ht="15.75" customHeight="1">
      <c r="B167" s="41"/>
      <c r="C167" s="60"/>
      <c r="D167" s="41"/>
      <c r="E167" s="41"/>
      <c r="F167" s="41"/>
      <c r="G167" s="41"/>
      <c r="H167" s="41"/>
    </row>
    <row r="168" ht="15.75" customHeight="1">
      <c r="B168" s="41"/>
      <c r="C168" s="60"/>
      <c r="D168" s="41"/>
      <c r="E168" s="41"/>
      <c r="F168" s="41"/>
      <c r="G168" s="41"/>
      <c r="H168" s="41"/>
    </row>
    <row r="169" ht="15.75" customHeight="1">
      <c r="B169" s="41"/>
      <c r="C169" s="60"/>
      <c r="D169" s="41"/>
      <c r="E169" s="41"/>
      <c r="F169" s="41"/>
      <c r="G169" s="41"/>
      <c r="H169" s="41"/>
    </row>
    <row r="170" ht="15.75" customHeight="1">
      <c r="B170" s="41"/>
      <c r="C170" s="60"/>
      <c r="D170" s="41"/>
      <c r="E170" s="41"/>
      <c r="F170" s="41"/>
      <c r="G170" s="41"/>
      <c r="H170" s="41"/>
    </row>
    <row r="171" ht="15.75" customHeight="1">
      <c r="B171" s="41"/>
      <c r="C171" s="60"/>
      <c r="D171" s="41"/>
      <c r="E171" s="41"/>
      <c r="F171" s="41"/>
      <c r="G171" s="41"/>
      <c r="H171" s="41"/>
    </row>
    <row r="172" ht="15.75" customHeight="1">
      <c r="B172" s="41"/>
      <c r="C172" s="60"/>
      <c r="D172" s="41"/>
      <c r="E172" s="41"/>
      <c r="F172" s="41"/>
      <c r="G172" s="41"/>
      <c r="H172" s="41"/>
    </row>
    <row r="173" ht="15.75" customHeight="1">
      <c r="B173" s="41"/>
      <c r="C173" s="60"/>
      <c r="D173" s="41"/>
      <c r="E173" s="41"/>
      <c r="F173" s="41"/>
      <c r="G173" s="41"/>
      <c r="H173" s="41"/>
    </row>
    <row r="174" ht="15.75" customHeight="1">
      <c r="B174" s="41"/>
      <c r="C174" s="60"/>
      <c r="D174" s="41"/>
      <c r="E174" s="41"/>
      <c r="F174" s="41"/>
      <c r="G174" s="41"/>
      <c r="H174" s="41"/>
    </row>
    <row r="175" ht="15.75" customHeight="1">
      <c r="B175" s="41"/>
      <c r="C175" s="60"/>
      <c r="D175" s="41"/>
      <c r="E175" s="41"/>
      <c r="F175" s="41"/>
      <c r="G175" s="41"/>
      <c r="H175" s="41"/>
    </row>
    <row r="176" ht="15.75" customHeight="1">
      <c r="B176" s="41"/>
      <c r="C176" s="60"/>
      <c r="D176" s="41"/>
      <c r="E176" s="41"/>
      <c r="F176" s="41"/>
      <c r="G176" s="41"/>
      <c r="H176" s="41"/>
    </row>
    <row r="177" ht="15.75" customHeight="1">
      <c r="B177" s="41"/>
      <c r="C177" s="60"/>
      <c r="D177" s="41"/>
      <c r="E177" s="41"/>
      <c r="F177" s="41"/>
      <c r="G177" s="41"/>
      <c r="H177" s="41"/>
    </row>
    <row r="178" ht="15.75" customHeight="1">
      <c r="B178" s="41"/>
      <c r="C178" s="60"/>
      <c r="D178" s="41"/>
      <c r="E178" s="41"/>
      <c r="F178" s="41"/>
      <c r="G178" s="41"/>
      <c r="H178" s="41"/>
    </row>
    <row r="179" ht="15.75" customHeight="1">
      <c r="B179" s="41"/>
      <c r="C179" s="60"/>
      <c r="D179" s="41"/>
      <c r="E179" s="41"/>
      <c r="F179" s="41"/>
      <c r="G179" s="41"/>
      <c r="H179" s="41"/>
    </row>
    <row r="180" ht="15.75" customHeight="1">
      <c r="B180" s="41"/>
      <c r="C180" s="60"/>
      <c r="D180" s="41"/>
      <c r="E180" s="41"/>
      <c r="F180" s="41"/>
      <c r="G180" s="41"/>
      <c r="H180" s="41"/>
    </row>
    <row r="181" ht="15.75" customHeight="1">
      <c r="B181" s="41"/>
      <c r="C181" s="60"/>
      <c r="D181" s="41"/>
      <c r="E181" s="41"/>
      <c r="F181" s="41"/>
      <c r="G181" s="41"/>
      <c r="H181" s="41"/>
    </row>
    <row r="182" ht="15.75" customHeight="1">
      <c r="B182" s="41"/>
      <c r="C182" s="60"/>
      <c r="D182" s="41"/>
      <c r="E182" s="41"/>
      <c r="F182" s="41"/>
      <c r="G182" s="41"/>
      <c r="H182" s="41"/>
    </row>
    <row r="183" ht="15.75" customHeight="1">
      <c r="B183" s="41"/>
      <c r="C183" s="60"/>
      <c r="D183" s="41"/>
      <c r="E183" s="41"/>
      <c r="F183" s="41"/>
      <c r="G183" s="41"/>
      <c r="H183" s="41"/>
    </row>
    <row r="184" ht="15.75" customHeight="1">
      <c r="B184" s="41"/>
      <c r="C184" s="60"/>
      <c r="D184" s="41"/>
      <c r="E184" s="41"/>
      <c r="F184" s="41"/>
      <c r="G184" s="41"/>
      <c r="H184" s="41"/>
    </row>
    <row r="185" ht="15.75" customHeight="1">
      <c r="B185" s="41"/>
      <c r="C185" s="60"/>
      <c r="D185" s="41"/>
      <c r="E185" s="41"/>
      <c r="F185" s="41"/>
      <c r="G185" s="41"/>
      <c r="H185" s="41"/>
    </row>
    <row r="186" ht="15.75" customHeight="1">
      <c r="B186" s="41"/>
      <c r="C186" s="60"/>
      <c r="D186" s="41"/>
      <c r="E186" s="41"/>
      <c r="F186" s="41"/>
      <c r="G186" s="41"/>
      <c r="H186" s="41"/>
    </row>
    <row r="187" ht="15.75" customHeight="1">
      <c r="B187" s="41"/>
      <c r="C187" s="60"/>
      <c r="D187" s="41"/>
      <c r="E187" s="41"/>
      <c r="F187" s="41"/>
      <c r="G187" s="41"/>
      <c r="H187" s="41"/>
    </row>
    <row r="188" ht="15.75" customHeight="1">
      <c r="B188" s="41"/>
      <c r="C188" s="60"/>
      <c r="D188" s="41"/>
      <c r="E188" s="41"/>
      <c r="F188" s="41"/>
      <c r="G188" s="41"/>
      <c r="H188" s="41"/>
    </row>
    <row r="189" ht="15.75" customHeight="1">
      <c r="B189" s="41"/>
      <c r="C189" s="60"/>
      <c r="D189" s="41"/>
      <c r="E189" s="41"/>
      <c r="F189" s="41"/>
      <c r="G189" s="41"/>
      <c r="H189" s="41"/>
    </row>
    <row r="190" ht="15.75" customHeight="1">
      <c r="B190" s="41"/>
      <c r="C190" s="60"/>
      <c r="D190" s="41"/>
      <c r="E190" s="41"/>
      <c r="F190" s="41"/>
      <c r="G190" s="41"/>
      <c r="H190" s="41"/>
    </row>
    <row r="191" ht="15.75" customHeight="1">
      <c r="B191" s="41"/>
      <c r="C191" s="60"/>
      <c r="D191" s="41"/>
      <c r="E191" s="41"/>
      <c r="F191" s="41"/>
      <c r="G191" s="41"/>
      <c r="H191" s="41"/>
    </row>
    <row r="192" ht="15.75" customHeight="1">
      <c r="B192" s="41"/>
      <c r="C192" s="60"/>
      <c r="D192" s="41"/>
      <c r="E192" s="41"/>
      <c r="F192" s="41"/>
      <c r="G192" s="41"/>
      <c r="H192" s="41"/>
    </row>
    <row r="193" ht="15.75" customHeight="1">
      <c r="B193" s="41"/>
      <c r="C193" s="60"/>
      <c r="D193" s="41"/>
      <c r="E193" s="41"/>
      <c r="F193" s="41"/>
      <c r="G193" s="41"/>
      <c r="H193" s="41"/>
    </row>
    <row r="194" ht="15.75" customHeight="1">
      <c r="B194" s="41"/>
      <c r="C194" s="60"/>
      <c r="D194" s="41"/>
      <c r="E194" s="41"/>
      <c r="F194" s="41"/>
      <c r="G194" s="41"/>
      <c r="H194" s="41"/>
    </row>
    <row r="195" ht="15.75" customHeight="1">
      <c r="B195" s="41"/>
      <c r="C195" s="60"/>
      <c r="D195" s="41"/>
      <c r="E195" s="41"/>
      <c r="F195" s="41"/>
      <c r="G195" s="41"/>
      <c r="H195" s="41"/>
    </row>
    <row r="196" ht="15.75" customHeight="1">
      <c r="B196" s="41"/>
      <c r="C196" s="60"/>
      <c r="D196" s="41"/>
      <c r="E196" s="41"/>
      <c r="F196" s="41"/>
      <c r="G196" s="41"/>
      <c r="H196" s="41"/>
    </row>
    <row r="197" ht="15.75" customHeight="1">
      <c r="B197" s="41"/>
      <c r="C197" s="60"/>
      <c r="D197" s="41"/>
      <c r="E197" s="41"/>
      <c r="F197" s="41"/>
      <c r="G197" s="41"/>
      <c r="H197" s="41"/>
    </row>
    <row r="198" ht="15.75" customHeight="1">
      <c r="B198" s="41"/>
      <c r="C198" s="60"/>
      <c r="D198" s="41"/>
      <c r="E198" s="41"/>
      <c r="F198" s="41"/>
      <c r="G198" s="41"/>
      <c r="H198" s="41"/>
    </row>
    <row r="199" ht="15.75" customHeight="1">
      <c r="B199" s="41"/>
      <c r="C199" s="60"/>
      <c r="D199" s="41"/>
      <c r="E199" s="41"/>
      <c r="F199" s="41"/>
      <c r="G199" s="41"/>
      <c r="H199" s="41"/>
    </row>
    <row r="200" ht="15.75" customHeight="1">
      <c r="B200" s="41"/>
      <c r="C200" s="60"/>
      <c r="D200" s="41"/>
      <c r="E200" s="41"/>
      <c r="F200" s="41"/>
      <c r="G200" s="41"/>
      <c r="H200" s="41"/>
    </row>
    <row r="201" ht="15.75" customHeight="1">
      <c r="B201" s="41"/>
      <c r="C201" s="60"/>
      <c r="D201" s="41"/>
      <c r="E201" s="41"/>
      <c r="F201" s="41"/>
      <c r="G201" s="41"/>
      <c r="H201" s="41"/>
    </row>
    <row r="202" ht="15.75" customHeight="1">
      <c r="B202" s="41"/>
      <c r="C202" s="60"/>
      <c r="D202" s="41"/>
      <c r="E202" s="41"/>
      <c r="F202" s="41"/>
      <c r="G202" s="41"/>
      <c r="H202" s="41"/>
    </row>
    <row r="203" ht="15.75" customHeight="1">
      <c r="B203" s="41"/>
      <c r="C203" s="60"/>
      <c r="D203" s="41"/>
      <c r="E203" s="41"/>
      <c r="F203" s="41"/>
      <c r="G203" s="41"/>
      <c r="H203" s="41"/>
    </row>
    <row r="204" ht="15.75" customHeight="1">
      <c r="B204" s="41"/>
      <c r="C204" s="60"/>
      <c r="D204" s="41"/>
      <c r="E204" s="41"/>
      <c r="F204" s="41"/>
      <c r="G204" s="41"/>
      <c r="H204" s="41"/>
    </row>
    <row r="205" ht="15.75" customHeight="1">
      <c r="B205" s="41"/>
      <c r="C205" s="60"/>
      <c r="D205" s="41"/>
      <c r="E205" s="41"/>
      <c r="F205" s="41"/>
      <c r="G205" s="41"/>
      <c r="H205" s="41"/>
    </row>
    <row r="206" ht="15.75" customHeight="1">
      <c r="B206" s="41"/>
      <c r="C206" s="60"/>
      <c r="D206" s="41"/>
      <c r="E206" s="41"/>
      <c r="F206" s="41"/>
      <c r="G206" s="41"/>
      <c r="H206" s="41"/>
    </row>
    <row r="207" ht="15.75" customHeight="1">
      <c r="B207" s="41"/>
      <c r="C207" s="60"/>
      <c r="D207" s="41"/>
      <c r="E207" s="41"/>
      <c r="F207" s="41"/>
      <c r="G207" s="41"/>
      <c r="H207" s="41"/>
    </row>
    <row r="208" ht="15.75" customHeight="1">
      <c r="B208" s="41"/>
      <c r="C208" s="60"/>
      <c r="D208" s="41"/>
      <c r="E208" s="41"/>
      <c r="F208" s="41"/>
      <c r="G208" s="41"/>
      <c r="H208" s="41"/>
    </row>
    <row r="209" ht="15.75" customHeight="1">
      <c r="B209" s="41"/>
      <c r="C209" s="60"/>
      <c r="D209" s="41"/>
      <c r="E209" s="41"/>
      <c r="F209" s="41"/>
      <c r="G209" s="41"/>
      <c r="H209" s="41"/>
    </row>
    <row r="210" ht="15.75" customHeight="1">
      <c r="B210" s="41"/>
      <c r="C210" s="60"/>
      <c r="D210" s="41"/>
      <c r="E210" s="41"/>
      <c r="F210" s="41"/>
      <c r="G210" s="41"/>
      <c r="H210" s="41"/>
    </row>
    <row r="211" ht="15.75" customHeight="1">
      <c r="B211" s="41"/>
      <c r="C211" s="60"/>
      <c r="D211" s="41"/>
      <c r="E211" s="41"/>
      <c r="F211" s="41"/>
      <c r="G211" s="41"/>
      <c r="H211" s="41"/>
    </row>
    <row r="212" ht="15.75" customHeight="1">
      <c r="B212" s="41"/>
      <c r="C212" s="60"/>
      <c r="D212" s="41"/>
      <c r="E212" s="41"/>
      <c r="F212" s="41"/>
      <c r="G212" s="41"/>
      <c r="H212" s="41"/>
    </row>
    <row r="213" ht="15.75" customHeight="1">
      <c r="B213" s="41"/>
      <c r="C213" s="60"/>
      <c r="D213" s="41"/>
      <c r="E213" s="41"/>
      <c r="F213" s="41"/>
      <c r="G213" s="41"/>
      <c r="H213" s="41"/>
    </row>
    <row r="214" ht="15.75" customHeight="1">
      <c r="B214" s="41"/>
      <c r="C214" s="60"/>
      <c r="D214" s="41"/>
      <c r="E214" s="41"/>
      <c r="F214" s="41"/>
      <c r="G214" s="41"/>
      <c r="H214" s="41"/>
    </row>
    <row r="215" ht="15.75" customHeight="1">
      <c r="B215" s="41"/>
      <c r="C215" s="60"/>
      <c r="D215" s="41"/>
      <c r="E215" s="41"/>
      <c r="F215" s="41"/>
      <c r="G215" s="41"/>
      <c r="H215" s="41"/>
    </row>
    <row r="216" ht="15.75" customHeight="1">
      <c r="B216" s="41"/>
      <c r="C216" s="60"/>
      <c r="D216" s="41"/>
      <c r="E216" s="41"/>
      <c r="F216" s="41"/>
      <c r="G216" s="41"/>
      <c r="H216" s="41"/>
    </row>
    <row r="217" ht="15.75" customHeight="1">
      <c r="B217" s="41"/>
      <c r="C217" s="60"/>
      <c r="D217" s="41"/>
      <c r="E217" s="41"/>
      <c r="F217" s="41"/>
      <c r="G217" s="41"/>
      <c r="H217" s="41"/>
    </row>
    <row r="218" ht="15.75" customHeight="1">
      <c r="B218" s="41"/>
      <c r="C218" s="60"/>
      <c r="D218" s="41"/>
      <c r="E218" s="41"/>
      <c r="F218" s="41"/>
      <c r="G218" s="41"/>
      <c r="H218" s="41"/>
    </row>
    <row r="219" ht="15.75" customHeight="1">
      <c r="B219" s="41"/>
      <c r="C219" s="60"/>
      <c r="D219" s="41"/>
      <c r="E219" s="41"/>
      <c r="F219" s="41"/>
      <c r="G219" s="41"/>
      <c r="H219" s="41"/>
    </row>
    <row r="220" ht="15.75" customHeight="1">
      <c r="B220" s="41"/>
      <c r="C220" s="60"/>
      <c r="D220" s="41"/>
      <c r="E220" s="41"/>
      <c r="F220" s="41"/>
      <c r="G220" s="41"/>
      <c r="H220" s="41"/>
    </row>
    <row r="221" ht="15.75" customHeight="1">
      <c r="B221" s="41"/>
      <c r="C221" s="60"/>
      <c r="D221" s="41"/>
      <c r="E221" s="41"/>
      <c r="F221" s="41"/>
      <c r="G221" s="41"/>
      <c r="H221" s="41"/>
    </row>
    <row r="222" ht="15.75" customHeight="1">
      <c r="B222" s="41"/>
      <c r="C222" s="60"/>
      <c r="D222" s="41"/>
      <c r="E222" s="41"/>
      <c r="F222" s="41"/>
      <c r="G222" s="41"/>
      <c r="H222" s="41"/>
    </row>
    <row r="223" ht="15.75" customHeight="1">
      <c r="B223" s="41"/>
      <c r="C223" s="60"/>
      <c r="D223" s="41"/>
      <c r="E223" s="41"/>
      <c r="F223" s="41"/>
      <c r="G223" s="41"/>
      <c r="H223" s="41"/>
    </row>
    <row r="224" ht="15.75" customHeight="1">
      <c r="B224" s="41"/>
      <c r="C224" s="60"/>
      <c r="D224" s="41"/>
      <c r="E224" s="41"/>
      <c r="F224" s="41"/>
      <c r="G224" s="41"/>
      <c r="H224" s="41"/>
    </row>
    <row r="225" ht="15.75" customHeight="1">
      <c r="B225" s="41"/>
      <c r="C225" s="60"/>
      <c r="D225" s="41"/>
      <c r="E225" s="41"/>
      <c r="F225" s="41"/>
      <c r="G225" s="41"/>
      <c r="H225" s="41"/>
    </row>
    <row r="226" ht="15.75" customHeight="1">
      <c r="B226" s="41"/>
      <c r="C226" s="60"/>
      <c r="D226" s="41"/>
      <c r="E226" s="41"/>
      <c r="F226" s="41"/>
      <c r="G226" s="41"/>
      <c r="H226" s="41"/>
    </row>
    <row r="227" ht="15.75" customHeight="1">
      <c r="B227" s="41"/>
      <c r="C227" s="60"/>
      <c r="D227" s="41"/>
      <c r="E227" s="41"/>
      <c r="F227" s="41"/>
      <c r="G227" s="41"/>
      <c r="H227" s="41"/>
    </row>
    <row r="228" ht="15.75" customHeight="1">
      <c r="B228" s="41"/>
      <c r="C228" s="60"/>
      <c r="D228" s="41"/>
      <c r="E228" s="41"/>
      <c r="F228" s="41"/>
      <c r="G228" s="41"/>
      <c r="H228" s="41"/>
    </row>
    <row r="229" ht="15.75" customHeight="1">
      <c r="B229" s="41"/>
      <c r="C229" s="60"/>
      <c r="D229" s="41"/>
      <c r="E229" s="41"/>
      <c r="F229" s="41"/>
      <c r="G229" s="41"/>
      <c r="H229" s="41"/>
    </row>
    <row r="230" ht="15.75" customHeight="1">
      <c r="B230" s="41"/>
      <c r="C230" s="60"/>
      <c r="D230" s="41"/>
      <c r="E230" s="41"/>
      <c r="F230" s="41"/>
      <c r="G230" s="41"/>
      <c r="H230" s="41"/>
    </row>
    <row r="231" ht="15.75" customHeight="1">
      <c r="B231" s="41"/>
      <c r="C231" s="60"/>
      <c r="D231" s="41"/>
      <c r="E231" s="41"/>
      <c r="F231" s="41"/>
      <c r="G231" s="41"/>
      <c r="H231" s="41"/>
    </row>
    <row r="232" ht="15.75" customHeight="1">
      <c r="B232" s="41"/>
      <c r="C232" s="60"/>
      <c r="D232" s="41"/>
      <c r="E232" s="41"/>
      <c r="F232" s="41"/>
      <c r="G232" s="41"/>
      <c r="H232" s="41"/>
    </row>
    <row r="233" ht="15.75" customHeight="1">
      <c r="B233" s="41"/>
      <c r="C233" s="60"/>
      <c r="D233" s="41"/>
      <c r="E233" s="41"/>
      <c r="F233" s="41"/>
      <c r="G233" s="41"/>
      <c r="H233" s="41"/>
    </row>
    <row r="234" ht="15.75" customHeight="1">
      <c r="B234" s="41"/>
      <c r="C234" s="60"/>
      <c r="D234" s="41"/>
      <c r="E234" s="41"/>
      <c r="F234" s="41"/>
      <c r="G234" s="41"/>
      <c r="H234" s="41"/>
    </row>
    <row r="235" ht="15.75" customHeight="1">
      <c r="B235" s="41"/>
      <c r="C235" s="60"/>
      <c r="D235" s="41"/>
      <c r="E235" s="41"/>
      <c r="F235" s="41"/>
      <c r="G235" s="41"/>
      <c r="H235" s="41"/>
    </row>
    <row r="236" ht="15.75" customHeight="1">
      <c r="B236" s="41"/>
      <c r="C236" s="60"/>
      <c r="D236" s="41"/>
      <c r="E236" s="41"/>
      <c r="F236" s="41"/>
      <c r="G236" s="41"/>
      <c r="H236" s="41"/>
    </row>
    <row r="237" ht="15.75" customHeight="1">
      <c r="B237" s="41"/>
      <c r="C237" s="60"/>
      <c r="D237" s="41"/>
      <c r="E237" s="41"/>
      <c r="F237" s="41"/>
      <c r="G237" s="41"/>
      <c r="H237" s="41"/>
    </row>
    <row r="238" ht="15.75" customHeight="1">
      <c r="B238" s="41"/>
      <c r="C238" s="60"/>
      <c r="D238" s="41"/>
      <c r="E238" s="41"/>
      <c r="F238" s="41"/>
      <c r="G238" s="41"/>
      <c r="H238" s="41"/>
    </row>
    <row r="239" ht="15.75" customHeight="1">
      <c r="B239" s="41"/>
      <c r="C239" s="60"/>
      <c r="D239" s="41"/>
      <c r="E239" s="41"/>
      <c r="F239" s="41"/>
      <c r="G239" s="41"/>
      <c r="H239" s="41"/>
    </row>
    <row r="240" ht="15.75" customHeight="1">
      <c r="B240" s="41"/>
      <c r="C240" s="60"/>
      <c r="D240" s="41"/>
      <c r="E240" s="41"/>
      <c r="F240" s="41"/>
      <c r="G240" s="41"/>
      <c r="H240" s="41"/>
    </row>
    <row r="241" ht="15.75" customHeight="1">
      <c r="B241" s="41"/>
      <c r="C241" s="60"/>
      <c r="D241" s="41"/>
      <c r="E241" s="41"/>
      <c r="F241" s="41"/>
      <c r="G241" s="41"/>
      <c r="H241" s="41"/>
    </row>
    <row r="242" ht="15.75" customHeight="1">
      <c r="B242" s="41"/>
      <c r="C242" s="60"/>
      <c r="D242" s="41"/>
      <c r="E242" s="41"/>
      <c r="F242" s="41"/>
      <c r="G242" s="41"/>
      <c r="H242" s="41"/>
    </row>
    <row r="243" ht="15.75" customHeight="1">
      <c r="B243" s="41"/>
      <c r="C243" s="60"/>
      <c r="D243" s="41"/>
      <c r="E243" s="41"/>
      <c r="F243" s="41"/>
      <c r="G243" s="41"/>
      <c r="H243" s="41"/>
    </row>
    <row r="244" ht="15.75" customHeight="1">
      <c r="B244" s="41"/>
      <c r="C244" s="60"/>
      <c r="D244" s="41"/>
      <c r="E244" s="41"/>
      <c r="F244" s="41"/>
      <c r="G244" s="41"/>
      <c r="H244" s="41"/>
    </row>
    <row r="245" ht="15.75" customHeight="1">
      <c r="B245" s="41"/>
      <c r="C245" s="60"/>
      <c r="D245" s="41"/>
      <c r="E245" s="41"/>
      <c r="F245" s="41"/>
      <c r="G245" s="41"/>
      <c r="H245" s="41"/>
    </row>
    <row r="246" ht="15.75" customHeight="1">
      <c r="B246" s="41"/>
      <c r="C246" s="60"/>
      <c r="D246" s="41"/>
      <c r="E246" s="41"/>
      <c r="F246" s="41"/>
      <c r="G246" s="41"/>
      <c r="H246" s="41"/>
    </row>
    <row r="247" ht="15.75" customHeight="1">
      <c r="B247" s="41"/>
      <c r="C247" s="60"/>
      <c r="D247" s="41"/>
      <c r="E247" s="41"/>
      <c r="F247" s="41"/>
      <c r="G247" s="41"/>
      <c r="H247" s="41"/>
    </row>
    <row r="248" ht="15.75" customHeight="1">
      <c r="B248" s="41"/>
      <c r="C248" s="60"/>
      <c r="D248" s="41"/>
      <c r="E248" s="41"/>
      <c r="F248" s="41"/>
      <c r="G248" s="41"/>
      <c r="H248" s="41"/>
    </row>
    <row r="249" ht="15.75" customHeight="1">
      <c r="B249" s="41"/>
      <c r="C249" s="60"/>
      <c r="D249" s="41"/>
      <c r="E249" s="41"/>
      <c r="F249" s="41"/>
      <c r="G249" s="41"/>
      <c r="H249" s="41"/>
    </row>
    <row r="250" ht="15.75" customHeight="1">
      <c r="B250" s="41"/>
      <c r="C250" s="60"/>
      <c r="D250" s="41"/>
      <c r="E250" s="41"/>
      <c r="F250" s="41"/>
      <c r="G250" s="41"/>
      <c r="H250" s="41"/>
    </row>
    <row r="251" ht="15.75" customHeight="1">
      <c r="B251" s="41"/>
      <c r="C251" s="60"/>
      <c r="D251" s="41"/>
      <c r="E251" s="41"/>
      <c r="F251" s="41"/>
      <c r="G251" s="41"/>
      <c r="H251" s="41"/>
    </row>
    <row r="252" ht="15.75" customHeight="1">
      <c r="B252" s="41"/>
      <c r="C252" s="60"/>
      <c r="D252" s="41"/>
      <c r="E252" s="41"/>
      <c r="F252" s="41"/>
      <c r="G252" s="41"/>
      <c r="H252" s="41"/>
    </row>
    <row r="253" ht="15.75" customHeight="1">
      <c r="B253" s="41"/>
      <c r="C253" s="60"/>
      <c r="D253" s="41"/>
      <c r="E253" s="41"/>
      <c r="F253" s="41"/>
      <c r="G253" s="41"/>
      <c r="H253" s="41"/>
    </row>
    <row r="254" ht="15.75" customHeight="1">
      <c r="B254" s="41"/>
      <c r="C254" s="60"/>
      <c r="D254" s="41"/>
      <c r="E254" s="41"/>
      <c r="F254" s="41"/>
      <c r="G254" s="41"/>
      <c r="H254" s="41"/>
    </row>
    <row r="255" ht="15.75" customHeight="1">
      <c r="B255" s="41"/>
      <c r="C255" s="60"/>
      <c r="D255" s="41"/>
      <c r="E255" s="41"/>
      <c r="F255" s="41"/>
      <c r="G255" s="41"/>
      <c r="H255" s="41"/>
    </row>
    <row r="256" ht="15.75" customHeight="1">
      <c r="B256" s="41"/>
      <c r="C256" s="60"/>
      <c r="D256" s="41"/>
      <c r="E256" s="41"/>
      <c r="F256" s="41"/>
      <c r="G256" s="41"/>
      <c r="H256" s="41"/>
    </row>
    <row r="257" ht="15.75" customHeight="1">
      <c r="B257" s="41"/>
      <c r="C257" s="60"/>
      <c r="D257" s="41"/>
      <c r="E257" s="41"/>
      <c r="F257" s="41"/>
      <c r="G257" s="41"/>
      <c r="H257" s="41"/>
    </row>
    <row r="258" ht="15.75" customHeight="1">
      <c r="B258" s="41"/>
      <c r="C258" s="60"/>
      <c r="D258" s="41"/>
      <c r="E258" s="41"/>
      <c r="F258" s="41"/>
      <c r="G258" s="41"/>
      <c r="H258" s="41"/>
    </row>
    <row r="259" ht="15.75" customHeight="1">
      <c r="B259" s="41"/>
      <c r="C259" s="60"/>
      <c r="D259" s="41"/>
      <c r="E259" s="41"/>
      <c r="F259" s="41"/>
      <c r="G259" s="41"/>
      <c r="H259" s="41"/>
    </row>
    <row r="260" ht="15.75" customHeight="1">
      <c r="B260" s="41"/>
      <c r="C260" s="60"/>
      <c r="D260" s="41"/>
      <c r="E260" s="41"/>
      <c r="F260" s="41"/>
      <c r="G260" s="41"/>
      <c r="H260" s="41"/>
    </row>
    <row r="261" ht="15.75" customHeight="1">
      <c r="B261" s="41"/>
      <c r="C261" s="60"/>
      <c r="D261" s="41"/>
      <c r="E261" s="41"/>
      <c r="F261" s="41"/>
      <c r="G261" s="41"/>
      <c r="H261" s="41"/>
    </row>
    <row r="262" ht="15.75" customHeight="1">
      <c r="B262" s="41"/>
      <c r="C262" s="60"/>
      <c r="D262" s="41"/>
      <c r="E262" s="41"/>
      <c r="F262" s="41"/>
      <c r="G262" s="41"/>
      <c r="H262" s="41"/>
    </row>
    <row r="263" ht="15.75" customHeight="1">
      <c r="B263" s="41"/>
      <c r="C263" s="60"/>
      <c r="D263" s="41"/>
      <c r="E263" s="41"/>
      <c r="F263" s="41"/>
      <c r="G263" s="41"/>
      <c r="H263" s="41"/>
    </row>
    <row r="264" ht="15.75" customHeight="1">
      <c r="B264" s="41"/>
      <c r="C264" s="60"/>
      <c r="D264" s="41"/>
      <c r="E264" s="41"/>
      <c r="F264" s="41"/>
      <c r="G264" s="41"/>
      <c r="H264" s="41"/>
    </row>
    <row r="265" ht="15.75" customHeight="1">
      <c r="B265" s="41"/>
      <c r="C265" s="60"/>
      <c r="D265" s="41"/>
      <c r="E265" s="41"/>
      <c r="F265" s="41"/>
      <c r="G265" s="41"/>
      <c r="H265" s="41"/>
    </row>
    <row r="266" ht="15.75" customHeight="1">
      <c r="B266" s="41"/>
      <c r="C266" s="60"/>
      <c r="D266" s="41"/>
      <c r="E266" s="41"/>
      <c r="F266" s="41"/>
      <c r="G266" s="41"/>
      <c r="H266" s="41"/>
    </row>
    <row r="267" ht="15.75" customHeight="1">
      <c r="B267" s="41"/>
      <c r="C267" s="60"/>
      <c r="D267" s="41"/>
      <c r="E267" s="41"/>
      <c r="F267" s="41"/>
      <c r="G267" s="41"/>
      <c r="H267" s="41"/>
    </row>
    <row r="268" ht="15.75" customHeight="1">
      <c r="B268" s="41"/>
      <c r="C268" s="60"/>
      <c r="D268" s="41"/>
      <c r="E268" s="41"/>
      <c r="F268" s="41"/>
      <c r="G268" s="41"/>
      <c r="H268" s="41"/>
    </row>
    <row r="269" ht="15.75" customHeight="1">
      <c r="B269" s="41"/>
      <c r="C269" s="60"/>
      <c r="D269" s="41"/>
      <c r="E269" s="41"/>
      <c r="F269" s="41"/>
      <c r="G269" s="41"/>
      <c r="H269" s="41"/>
    </row>
    <row r="270" ht="15.75" customHeight="1">
      <c r="B270" s="41"/>
      <c r="C270" s="60"/>
      <c r="D270" s="41"/>
      <c r="E270" s="41"/>
      <c r="F270" s="41"/>
      <c r="G270" s="41"/>
      <c r="H270" s="41"/>
    </row>
    <row r="271" ht="15.75" customHeight="1">
      <c r="B271" s="41"/>
      <c r="C271" s="60"/>
      <c r="D271" s="41"/>
      <c r="E271" s="41"/>
      <c r="F271" s="41"/>
      <c r="G271" s="41"/>
      <c r="H271" s="41"/>
    </row>
    <row r="272" ht="15.75" customHeight="1">
      <c r="B272" s="41"/>
      <c r="C272" s="60"/>
      <c r="D272" s="41"/>
      <c r="E272" s="41"/>
      <c r="F272" s="41"/>
      <c r="G272" s="41"/>
      <c r="H272" s="41"/>
    </row>
    <row r="273" ht="15.75" customHeight="1">
      <c r="B273" s="41"/>
      <c r="C273" s="60"/>
      <c r="D273" s="41"/>
      <c r="E273" s="41"/>
      <c r="F273" s="41"/>
      <c r="G273" s="41"/>
      <c r="H273" s="41"/>
    </row>
    <row r="274" ht="15.75" customHeight="1">
      <c r="B274" s="41"/>
      <c r="C274" s="60"/>
      <c r="D274" s="41"/>
      <c r="E274" s="41"/>
      <c r="F274" s="41"/>
      <c r="G274" s="41"/>
      <c r="H274" s="41"/>
    </row>
    <row r="275" ht="15.75" customHeight="1">
      <c r="B275" s="41"/>
      <c r="C275" s="60"/>
      <c r="D275" s="41"/>
      <c r="E275" s="41"/>
      <c r="F275" s="41"/>
      <c r="G275" s="41"/>
      <c r="H275" s="41"/>
    </row>
    <row r="276" ht="15.75" customHeight="1">
      <c r="B276" s="41"/>
      <c r="C276" s="60"/>
      <c r="D276" s="41"/>
      <c r="E276" s="41"/>
      <c r="F276" s="41"/>
      <c r="G276" s="41"/>
      <c r="H276" s="41"/>
    </row>
    <row r="277" ht="15.75" customHeight="1">
      <c r="B277" s="41"/>
      <c r="C277" s="60"/>
      <c r="D277" s="41"/>
      <c r="E277" s="41"/>
      <c r="F277" s="41"/>
      <c r="G277" s="41"/>
      <c r="H277" s="41"/>
    </row>
    <row r="278" ht="15.75" customHeight="1">
      <c r="B278" s="41"/>
      <c r="C278" s="60"/>
      <c r="D278" s="41"/>
      <c r="E278" s="41"/>
      <c r="F278" s="41"/>
      <c r="G278" s="41"/>
      <c r="H278" s="41"/>
    </row>
    <row r="279" ht="15.75" customHeight="1">
      <c r="B279" s="41"/>
      <c r="C279" s="60"/>
      <c r="D279" s="41"/>
      <c r="E279" s="41"/>
      <c r="F279" s="41"/>
      <c r="G279" s="41"/>
      <c r="H279" s="41"/>
    </row>
    <row r="280" ht="15.75" customHeight="1">
      <c r="B280" s="41"/>
      <c r="C280" s="60"/>
      <c r="D280" s="41"/>
      <c r="E280" s="41"/>
      <c r="F280" s="41"/>
      <c r="G280" s="41"/>
      <c r="H280" s="41"/>
    </row>
    <row r="281" ht="15.75" customHeight="1">
      <c r="B281" s="41"/>
      <c r="C281" s="60"/>
      <c r="D281" s="41"/>
      <c r="E281" s="41"/>
      <c r="F281" s="41"/>
      <c r="G281" s="41"/>
      <c r="H281" s="41"/>
    </row>
    <row r="282" ht="15.75" customHeight="1">
      <c r="B282" s="41"/>
      <c r="C282" s="60"/>
      <c r="D282" s="41"/>
      <c r="E282" s="41"/>
      <c r="F282" s="41"/>
      <c r="G282" s="41"/>
      <c r="H282" s="41"/>
    </row>
    <row r="283" ht="15.75" customHeight="1">
      <c r="B283" s="41"/>
      <c r="C283" s="60"/>
      <c r="D283" s="41"/>
      <c r="E283" s="41"/>
      <c r="F283" s="41"/>
      <c r="G283" s="41"/>
      <c r="H283" s="41"/>
    </row>
    <row r="284" ht="15.75" customHeight="1">
      <c r="B284" s="41"/>
      <c r="C284" s="60"/>
      <c r="D284" s="41"/>
      <c r="E284" s="41"/>
      <c r="F284" s="41"/>
      <c r="G284" s="41"/>
      <c r="H284" s="41"/>
    </row>
    <row r="285" ht="15.75" customHeight="1">
      <c r="B285" s="41"/>
      <c r="C285" s="60"/>
      <c r="D285" s="41"/>
      <c r="E285" s="41"/>
      <c r="F285" s="41"/>
      <c r="G285" s="41"/>
      <c r="H285" s="41"/>
    </row>
    <row r="286" ht="15.75" customHeight="1">
      <c r="B286" s="41"/>
      <c r="C286" s="60"/>
      <c r="D286" s="41"/>
      <c r="E286" s="41"/>
      <c r="F286" s="41"/>
      <c r="G286" s="41"/>
      <c r="H286" s="41"/>
    </row>
    <row r="287" ht="15.75" customHeight="1">
      <c r="B287" s="41"/>
      <c r="C287" s="60"/>
      <c r="D287" s="41"/>
      <c r="E287" s="41"/>
      <c r="F287" s="41"/>
      <c r="G287" s="41"/>
      <c r="H287" s="41"/>
    </row>
    <row r="288" ht="15.75" customHeight="1">
      <c r="B288" s="41"/>
      <c r="C288" s="60"/>
      <c r="D288" s="41"/>
      <c r="E288" s="41"/>
      <c r="F288" s="41"/>
      <c r="G288" s="41"/>
      <c r="H288" s="41"/>
    </row>
    <row r="289" ht="15.75" customHeight="1">
      <c r="B289" s="41"/>
      <c r="C289" s="60"/>
      <c r="D289" s="41"/>
      <c r="E289" s="41"/>
      <c r="F289" s="41"/>
      <c r="G289" s="41"/>
      <c r="H289" s="41"/>
    </row>
    <row r="290" ht="15.75" customHeight="1">
      <c r="B290" s="41"/>
      <c r="C290" s="60"/>
      <c r="D290" s="41"/>
      <c r="E290" s="41"/>
      <c r="F290" s="41"/>
      <c r="G290" s="41"/>
      <c r="H290" s="41"/>
    </row>
    <row r="291" ht="15.75" customHeight="1">
      <c r="B291" s="41"/>
      <c r="C291" s="60"/>
      <c r="D291" s="41"/>
      <c r="E291" s="41"/>
      <c r="F291" s="41"/>
      <c r="G291" s="41"/>
      <c r="H291" s="41"/>
    </row>
    <row r="292" ht="15.75" customHeight="1">
      <c r="B292" s="41"/>
      <c r="C292" s="60"/>
      <c r="D292" s="41"/>
      <c r="E292" s="41"/>
      <c r="F292" s="41"/>
      <c r="G292" s="41"/>
      <c r="H292" s="41"/>
    </row>
    <row r="293" ht="15.75" customHeight="1">
      <c r="B293" s="41"/>
      <c r="C293" s="60"/>
      <c r="D293" s="41"/>
      <c r="E293" s="41"/>
      <c r="F293" s="41"/>
      <c r="G293" s="41"/>
      <c r="H293" s="41"/>
    </row>
    <row r="294" ht="15.75" customHeight="1">
      <c r="B294" s="41"/>
      <c r="C294" s="60"/>
      <c r="D294" s="41"/>
      <c r="E294" s="41"/>
      <c r="F294" s="41"/>
      <c r="G294" s="41"/>
      <c r="H294" s="41"/>
    </row>
    <row r="295" ht="15.75" customHeight="1">
      <c r="B295" s="41"/>
      <c r="C295" s="60"/>
      <c r="D295" s="41"/>
      <c r="E295" s="41"/>
      <c r="F295" s="41"/>
      <c r="G295" s="41"/>
      <c r="H295" s="41"/>
    </row>
    <row r="296" ht="15.75" customHeight="1">
      <c r="B296" s="41"/>
      <c r="C296" s="60"/>
      <c r="D296" s="41"/>
      <c r="E296" s="41"/>
      <c r="F296" s="41"/>
      <c r="G296" s="41"/>
      <c r="H296" s="41"/>
    </row>
    <row r="297" ht="15.75" customHeight="1">
      <c r="B297" s="41"/>
      <c r="C297" s="60"/>
      <c r="D297" s="41"/>
      <c r="E297" s="41"/>
      <c r="F297" s="41"/>
      <c r="G297" s="41"/>
      <c r="H297" s="41"/>
    </row>
    <row r="298" ht="15.75" customHeight="1">
      <c r="B298" s="41"/>
      <c r="C298" s="60"/>
      <c r="D298" s="41"/>
      <c r="E298" s="41"/>
      <c r="F298" s="41"/>
      <c r="G298" s="41"/>
      <c r="H298" s="41"/>
    </row>
    <row r="299" ht="15.75" customHeight="1">
      <c r="B299" s="41"/>
      <c r="C299" s="60"/>
      <c r="D299" s="41"/>
      <c r="E299" s="41"/>
      <c r="F299" s="41"/>
      <c r="G299" s="41"/>
      <c r="H299" s="41"/>
    </row>
    <row r="300" ht="15.75" customHeight="1">
      <c r="B300" s="41"/>
      <c r="C300" s="60"/>
      <c r="D300" s="41"/>
      <c r="E300" s="41"/>
      <c r="F300" s="41"/>
      <c r="G300" s="41"/>
      <c r="H300" s="41"/>
    </row>
    <row r="301" ht="15.75" customHeight="1">
      <c r="B301" s="41"/>
      <c r="C301" s="60"/>
      <c r="D301" s="41"/>
      <c r="E301" s="41"/>
      <c r="F301" s="41"/>
      <c r="G301" s="41"/>
      <c r="H301" s="41"/>
    </row>
    <row r="302" ht="15.75" customHeight="1">
      <c r="B302" s="41"/>
      <c r="C302" s="60"/>
      <c r="D302" s="41"/>
      <c r="E302" s="41"/>
      <c r="F302" s="41"/>
      <c r="G302" s="41"/>
      <c r="H302" s="41"/>
    </row>
    <row r="303" ht="15.75" customHeight="1">
      <c r="B303" s="41"/>
      <c r="C303" s="60"/>
      <c r="D303" s="41"/>
      <c r="E303" s="41"/>
      <c r="F303" s="41"/>
      <c r="G303" s="41"/>
      <c r="H303" s="41"/>
    </row>
    <row r="304" ht="15.75" customHeight="1">
      <c r="B304" s="41"/>
      <c r="C304" s="60"/>
      <c r="D304" s="41"/>
      <c r="E304" s="41"/>
      <c r="F304" s="41"/>
      <c r="G304" s="41"/>
      <c r="H304" s="41"/>
    </row>
    <row r="305" ht="15.75" customHeight="1">
      <c r="B305" s="41"/>
      <c r="C305" s="60"/>
      <c r="D305" s="41"/>
      <c r="E305" s="41"/>
      <c r="F305" s="41"/>
      <c r="G305" s="41"/>
      <c r="H305" s="41"/>
    </row>
    <row r="306" ht="15.75" customHeight="1">
      <c r="B306" s="41"/>
      <c r="C306" s="60"/>
      <c r="D306" s="41"/>
      <c r="E306" s="41"/>
      <c r="F306" s="41"/>
      <c r="G306" s="41"/>
      <c r="H306" s="41"/>
    </row>
    <row r="307" ht="15.75" customHeight="1">
      <c r="B307" s="41"/>
      <c r="C307" s="60"/>
      <c r="D307" s="41"/>
      <c r="E307" s="41"/>
      <c r="F307" s="41"/>
      <c r="G307" s="41"/>
      <c r="H307" s="41"/>
    </row>
    <row r="308" ht="15.75" customHeight="1">
      <c r="B308" s="41"/>
      <c r="C308" s="60"/>
      <c r="D308" s="41"/>
      <c r="E308" s="41"/>
      <c r="F308" s="41"/>
      <c r="G308" s="41"/>
      <c r="H308" s="41"/>
    </row>
    <row r="309" ht="15.75" customHeight="1">
      <c r="B309" s="41"/>
      <c r="C309" s="60"/>
      <c r="D309" s="41"/>
      <c r="E309" s="41"/>
      <c r="F309" s="41"/>
      <c r="G309" s="41"/>
      <c r="H309" s="41"/>
    </row>
    <row r="310" ht="15.75" customHeight="1">
      <c r="B310" s="41"/>
      <c r="C310" s="60"/>
      <c r="D310" s="41"/>
      <c r="E310" s="41"/>
      <c r="F310" s="41"/>
      <c r="G310" s="41"/>
      <c r="H310" s="41"/>
    </row>
    <row r="311" ht="15.75" customHeight="1">
      <c r="B311" s="41"/>
      <c r="C311" s="60"/>
      <c r="D311" s="41"/>
      <c r="E311" s="41"/>
      <c r="F311" s="41"/>
      <c r="G311" s="41"/>
      <c r="H311" s="41"/>
    </row>
    <row r="312" ht="15.75" customHeight="1">
      <c r="B312" s="41"/>
      <c r="C312" s="60"/>
      <c r="D312" s="41"/>
      <c r="E312" s="41"/>
      <c r="F312" s="41"/>
      <c r="G312" s="41"/>
      <c r="H312" s="41"/>
    </row>
    <row r="313" ht="15.75" customHeight="1">
      <c r="B313" s="41"/>
      <c r="C313" s="60"/>
      <c r="D313" s="41"/>
      <c r="E313" s="41"/>
      <c r="F313" s="41"/>
      <c r="G313" s="41"/>
      <c r="H313" s="41"/>
    </row>
    <row r="314" ht="15.75" customHeight="1">
      <c r="B314" s="41"/>
      <c r="C314" s="60"/>
      <c r="D314" s="41"/>
      <c r="E314" s="41"/>
      <c r="F314" s="41"/>
      <c r="G314" s="41"/>
      <c r="H314" s="41"/>
    </row>
    <row r="315" ht="15.75" customHeight="1">
      <c r="B315" s="41"/>
      <c r="C315" s="60"/>
      <c r="D315" s="41"/>
      <c r="E315" s="41"/>
      <c r="F315" s="41"/>
      <c r="G315" s="41"/>
      <c r="H315" s="41"/>
    </row>
    <row r="316" ht="15.75" customHeight="1">
      <c r="B316" s="41"/>
      <c r="C316" s="60"/>
      <c r="D316" s="41"/>
      <c r="E316" s="41"/>
      <c r="F316" s="41"/>
      <c r="G316" s="41"/>
      <c r="H316" s="41"/>
    </row>
    <row r="317" ht="15.75" customHeight="1">
      <c r="B317" s="41"/>
      <c r="C317" s="60"/>
      <c r="D317" s="41"/>
      <c r="E317" s="41"/>
      <c r="F317" s="41"/>
      <c r="G317" s="41"/>
      <c r="H317" s="41"/>
    </row>
    <row r="318" ht="15.75" customHeight="1">
      <c r="B318" s="41"/>
      <c r="C318" s="60"/>
      <c r="D318" s="41"/>
      <c r="E318" s="41"/>
      <c r="F318" s="41"/>
      <c r="G318" s="41"/>
      <c r="H318" s="41"/>
    </row>
    <row r="319" ht="15.75" customHeight="1">
      <c r="B319" s="41"/>
      <c r="C319" s="60"/>
      <c r="D319" s="41"/>
      <c r="E319" s="41"/>
      <c r="F319" s="41"/>
      <c r="G319" s="41"/>
      <c r="H319" s="41"/>
    </row>
    <row r="320" ht="15.75" customHeight="1">
      <c r="B320" s="41"/>
      <c r="C320" s="60"/>
      <c r="D320" s="41"/>
      <c r="E320" s="41"/>
      <c r="F320" s="41"/>
      <c r="G320" s="41"/>
      <c r="H320" s="41"/>
    </row>
    <row r="321" ht="15.75" customHeight="1">
      <c r="B321" s="41"/>
      <c r="C321" s="60"/>
      <c r="D321" s="41"/>
      <c r="E321" s="41"/>
      <c r="F321" s="41"/>
      <c r="G321" s="41"/>
      <c r="H321" s="41"/>
    </row>
    <row r="322" ht="15.75" customHeight="1">
      <c r="B322" s="41"/>
      <c r="C322" s="60"/>
      <c r="D322" s="41"/>
      <c r="E322" s="41"/>
      <c r="F322" s="41"/>
      <c r="G322" s="41"/>
      <c r="H322" s="41"/>
    </row>
    <row r="323" ht="15.75" customHeight="1">
      <c r="B323" s="41"/>
      <c r="C323" s="60"/>
      <c r="D323" s="41"/>
      <c r="E323" s="41"/>
      <c r="F323" s="41"/>
      <c r="G323" s="41"/>
      <c r="H323" s="41"/>
    </row>
    <row r="324" ht="15.75" customHeight="1">
      <c r="B324" s="41"/>
      <c r="C324" s="60"/>
      <c r="D324" s="41"/>
      <c r="E324" s="41"/>
      <c r="F324" s="41"/>
      <c r="G324" s="41"/>
      <c r="H324" s="41"/>
    </row>
    <row r="325" ht="15.75" customHeight="1">
      <c r="B325" s="41"/>
      <c r="C325" s="60"/>
      <c r="D325" s="41"/>
      <c r="E325" s="41"/>
      <c r="F325" s="41"/>
      <c r="G325" s="41"/>
      <c r="H325" s="41"/>
    </row>
    <row r="326" ht="15.75" customHeight="1">
      <c r="B326" s="41"/>
      <c r="C326" s="60"/>
      <c r="D326" s="41"/>
      <c r="E326" s="41"/>
      <c r="F326" s="41"/>
      <c r="G326" s="41"/>
      <c r="H326" s="41"/>
    </row>
    <row r="327" ht="15.75" customHeight="1">
      <c r="B327" s="41"/>
      <c r="C327" s="60"/>
      <c r="D327" s="41"/>
      <c r="E327" s="41"/>
      <c r="F327" s="41"/>
      <c r="G327" s="41"/>
      <c r="H327" s="41"/>
    </row>
    <row r="328" ht="15.75" customHeight="1">
      <c r="B328" s="41"/>
      <c r="C328" s="60"/>
      <c r="D328" s="41"/>
      <c r="E328" s="41"/>
      <c r="F328" s="41"/>
      <c r="G328" s="41"/>
      <c r="H328" s="41"/>
    </row>
    <row r="329" ht="15.75" customHeight="1">
      <c r="B329" s="41"/>
      <c r="C329" s="60"/>
      <c r="D329" s="41"/>
      <c r="E329" s="41"/>
      <c r="F329" s="41"/>
      <c r="G329" s="41"/>
      <c r="H329" s="41"/>
    </row>
    <row r="330" ht="15.75" customHeight="1">
      <c r="B330" s="41"/>
      <c r="C330" s="60"/>
      <c r="D330" s="41"/>
      <c r="E330" s="41"/>
      <c r="F330" s="41"/>
      <c r="G330" s="41"/>
      <c r="H330" s="41"/>
    </row>
    <row r="331" ht="15.75" customHeight="1">
      <c r="B331" s="41"/>
      <c r="C331" s="60"/>
      <c r="D331" s="41"/>
      <c r="E331" s="41"/>
      <c r="F331" s="41"/>
      <c r="G331" s="41"/>
      <c r="H331" s="41"/>
    </row>
    <row r="332" ht="15.75" customHeight="1">
      <c r="B332" s="41"/>
      <c r="C332" s="60"/>
      <c r="D332" s="41"/>
      <c r="E332" s="41"/>
      <c r="F332" s="41"/>
      <c r="G332" s="41"/>
      <c r="H332" s="41"/>
    </row>
    <row r="333" ht="15.75" customHeight="1">
      <c r="B333" s="41"/>
      <c r="C333" s="60"/>
      <c r="D333" s="41"/>
      <c r="E333" s="41"/>
      <c r="F333" s="41"/>
      <c r="G333" s="41"/>
      <c r="H333" s="41"/>
    </row>
    <row r="334" ht="15.75" customHeight="1">
      <c r="B334" s="41"/>
      <c r="C334" s="60"/>
      <c r="D334" s="41"/>
      <c r="E334" s="41"/>
      <c r="F334" s="41"/>
      <c r="G334" s="41"/>
      <c r="H334" s="41"/>
    </row>
    <row r="335" ht="15.75" customHeight="1">
      <c r="B335" s="41"/>
      <c r="C335" s="60"/>
      <c r="D335" s="41"/>
      <c r="E335" s="41"/>
      <c r="F335" s="41"/>
      <c r="G335" s="41"/>
      <c r="H335" s="41"/>
    </row>
    <row r="336" ht="15.75" customHeight="1">
      <c r="B336" s="41"/>
      <c r="C336" s="60"/>
      <c r="D336" s="41"/>
      <c r="E336" s="41"/>
      <c r="F336" s="41"/>
      <c r="G336" s="41"/>
      <c r="H336" s="41"/>
    </row>
    <row r="337" ht="15.75" customHeight="1">
      <c r="B337" s="41"/>
      <c r="C337" s="60"/>
      <c r="D337" s="41"/>
      <c r="E337" s="41"/>
      <c r="F337" s="41"/>
      <c r="G337" s="41"/>
      <c r="H337" s="41"/>
    </row>
    <row r="338" ht="15.75" customHeight="1">
      <c r="B338" s="41"/>
      <c r="C338" s="60"/>
      <c r="D338" s="41"/>
      <c r="E338" s="41"/>
      <c r="F338" s="41"/>
      <c r="G338" s="41"/>
      <c r="H338" s="41"/>
    </row>
    <row r="339" ht="15.75" customHeight="1">
      <c r="B339" s="41"/>
      <c r="C339" s="60"/>
      <c r="D339" s="41"/>
      <c r="E339" s="41"/>
      <c r="F339" s="41"/>
      <c r="G339" s="41"/>
      <c r="H339" s="41"/>
    </row>
    <row r="340" ht="15.75" customHeight="1">
      <c r="B340" s="41"/>
      <c r="C340" s="60"/>
      <c r="D340" s="41"/>
      <c r="E340" s="41"/>
      <c r="F340" s="41"/>
      <c r="G340" s="41"/>
      <c r="H340" s="41"/>
    </row>
    <row r="341" ht="15.75" customHeight="1">
      <c r="B341" s="41"/>
      <c r="C341" s="60"/>
      <c r="D341" s="41"/>
      <c r="E341" s="41"/>
      <c r="F341" s="41"/>
      <c r="G341" s="41"/>
      <c r="H341" s="41"/>
    </row>
    <row r="342" ht="15.75" customHeight="1">
      <c r="B342" s="41"/>
      <c r="C342" s="60"/>
      <c r="D342" s="41"/>
      <c r="E342" s="41"/>
      <c r="F342" s="41"/>
      <c r="G342" s="41"/>
      <c r="H342" s="41"/>
    </row>
    <row r="343" ht="15.75" customHeight="1">
      <c r="B343" s="41"/>
      <c r="C343" s="60"/>
      <c r="D343" s="41"/>
      <c r="E343" s="41"/>
      <c r="F343" s="41"/>
      <c r="G343" s="41"/>
      <c r="H343" s="41"/>
    </row>
    <row r="344" ht="15.75" customHeight="1">
      <c r="B344" s="41"/>
      <c r="C344" s="60"/>
      <c r="D344" s="41"/>
      <c r="E344" s="41"/>
      <c r="F344" s="41"/>
      <c r="G344" s="41"/>
      <c r="H344" s="41"/>
    </row>
    <row r="345" ht="15.75" customHeight="1">
      <c r="B345" s="41"/>
      <c r="C345" s="60"/>
      <c r="D345" s="41"/>
      <c r="E345" s="41"/>
      <c r="F345" s="41"/>
      <c r="G345" s="41"/>
      <c r="H345" s="41"/>
    </row>
    <row r="346" ht="15.75" customHeight="1">
      <c r="B346" s="41"/>
      <c r="C346" s="60"/>
      <c r="D346" s="41"/>
      <c r="E346" s="41"/>
      <c r="F346" s="41"/>
      <c r="G346" s="41"/>
      <c r="H346" s="41"/>
    </row>
    <row r="347" ht="15.75" customHeight="1">
      <c r="B347" s="41"/>
      <c r="C347" s="60"/>
      <c r="D347" s="41"/>
      <c r="E347" s="41"/>
      <c r="F347" s="41"/>
      <c r="G347" s="41"/>
      <c r="H347" s="41"/>
    </row>
    <row r="348" ht="15.75" customHeight="1">
      <c r="B348" s="41"/>
      <c r="C348" s="60"/>
      <c r="D348" s="41"/>
      <c r="E348" s="41"/>
      <c r="F348" s="41"/>
      <c r="G348" s="41"/>
      <c r="H348" s="41"/>
    </row>
    <row r="349" ht="15.75" customHeight="1">
      <c r="B349" s="41"/>
      <c r="C349" s="60"/>
      <c r="D349" s="41"/>
      <c r="E349" s="41"/>
      <c r="F349" s="41"/>
      <c r="G349" s="41"/>
      <c r="H349" s="41"/>
    </row>
    <row r="350" ht="15.75" customHeight="1">
      <c r="B350" s="41"/>
      <c r="C350" s="60"/>
      <c r="D350" s="41"/>
      <c r="E350" s="41"/>
      <c r="F350" s="41"/>
      <c r="G350" s="41"/>
      <c r="H350" s="41"/>
    </row>
    <row r="351" ht="15.75" customHeight="1">
      <c r="B351" s="41"/>
      <c r="C351" s="60"/>
      <c r="D351" s="41"/>
      <c r="E351" s="41"/>
      <c r="F351" s="41"/>
      <c r="G351" s="41"/>
      <c r="H351" s="41"/>
    </row>
    <row r="352" ht="15.75" customHeight="1">
      <c r="B352" s="41"/>
      <c r="C352" s="60"/>
      <c r="D352" s="41"/>
      <c r="E352" s="41"/>
      <c r="F352" s="41"/>
      <c r="G352" s="41"/>
      <c r="H352" s="41"/>
    </row>
    <row r="353" ht="15.75" customHeight="1">
      <c r="B353" s="41"/>
      <c r="C353" s="60"/>
      <c r="D353" s="41"/>
      <c r="E353" s="41"/>
      <c r="F353" s="41"/>
      <c r="G353" s="41"/>
      <c r="H353" s="41"/>
    </row>
    <row r="354" ht="15.75" customHeight="1">
      <c r="B354" s="41"/>
      <c r="C354" s="60"/>
      <c r="D354" s="41"/>
      <c r="E354" s="41"/>
      <c r="F354" s="41"/>
      <c r="G354" s="41"/>
      <c r="H354" s="41"/>
    </row>
    <row r="355" ht="15.75" customHeight="1">
      <c r="B355" s="41"/>
      <c r="C355" s="60"/>
      <c r="D355" s="41"/>
      <c r="E355" s="41"/>
      <c r="F355" s="41"/>
      <c r="G355" s="41"/>
      <c r="H355" s="41"/>
    </row>
    <row r="356" ht="15.75" customHeight="1">
      <c r="B356" s="41"/>
      <c r="C356" s="60"/>
      <c r="D356" s="41"/>
      <c r="E356" s="41"/>
      <c r="F356" s="41"/>
      <c r="G356" s="41"/>
      <c r="H356" s="41"/>
    </row>
    <row r="357" ht="15.75" customHeight="1">
      <c r="B357" s="41"/>
      <c r="C357" s="60"/>
      <c r="D357" s="41"/>
      <c r="E357" s="41"/>
      <c r="F357" s="41"/>
      <c r="G357" s="41"/>
      <c r="H357" s="41"/>
    </row>
    <row r="358" ht="15.75" customHeight="1">
      <c r="B358" s="41"/>
      <c r="C358" s="60"/>
      <c r="D358" s="41"/>
      <c r="E358" s="41"/>
      <c r="F358" s="41"/>
      <c r="G358" s="41"/>
      <c r="H358" s="41"/>
    </row>
    <row r="359" ht="15.75" customHeight="1">
      <c r="B359" s="41"/>
      <c r="C359" s="60"/>
      <c r="D359" s="41"/>
      <c r="E359" s="41"/>
      <c r="F359" s="41"/>
      <c r="G359" s="41"/>
      <c r="H359" s="41"/>
    </row>
    <row r="360" ht="15.75" customHeight="1">
      <c r="B360" s="41"/>
      <c r="C360" s="60"/>
      <c r="D360" s="41"/>
      <c r="E360" s="41"/>
      <c r="F360" s="41"/>
      <c r="G360" s="41"/>
      <c r="H360" s="41"/>
    </row>
    <row r="361" ht="15.75" customHeight="1">
      <c r="B361" s="41"/>
      <c r="C361" s="60"/>
      <c r="D361" s="41"/>
      <c r="E361" s="41"/>
      <c r="F361" s="41"/>
      <c r="G361" s="41"/>
      <c r="H361" s="41"/>
    </row>
    <row r="362" ht="15.75" customHeight="1">
      <c r="B362" s="41"/>
      <c r="C362" s="60"/>
      <c r="D362" s="41"/>
      <c r="E362" s="41"/>
      <c r="F362" s="41"/>
      <c r="G362" s="41"/>
      <c r="H362" s="41"/>
    </row>
    <row r="363" ht="15.75" customHeight="1">
      <c r="B363" s="41"/>
      <c r="C363" s="60"/>
      <c r="D363" s="41"/>
      <c r="E363" s="41"/>
      <c r="F363" s="41"/>
      <c r="G363" s="41"/>
      <c r="H363" s="41"/>
    </row>
    <row r="364" ht="15.75" customHeight="1">
      <c r="B364" s="41"/>
      <c r="C364" s="60"/>
      <c r="D364" s="41"/>
      <c r="E364" s="41"/>
      <c r="F364" s="41"/>
      <c r="G364" s="41"/>
      <c r="H364" s="41"/>
    </row>
    <row r="365" ht="15.75" customHeight="1">
      <c r="B365" s="41"/>
      <c r="C365" s="60"/>
      <c r="D365" s="41"/>
      <c r="E365" s="41"/>
      <c r="F365" s="41"/>
      <c r="G365" s="41"/>
      <c r="H365" s="41"/>
    </row>
    <row r="366" ht="15.75" customHeight="1">
      <c r="B366" s="41"/>
      <c r="C366" s="60"/>
      <c r="D366" s="41"/>
      <c r="E366" s="41"/>
      <c r="F366" s="41"/>
      <c r="G366" s="41"/>
      <c r="H366" s="41"/>
    </row>
    <row r="367" ht="15.75" customHeight="1">
      <c r="B367" s="41"/>
      <c r="C367" s="60"/>
      <c r="D367" s="41"/>
      <c r="E367" s="41"/>
      <c r="F367" s="41"/>
      <c r="G367" s="41"/>
      <c r="H367" s="41"/>
    </row>
    <row r="368" ht="15.75" customHeight="1">
      <c r="B368" s="41"/>
      <c r="C368" s="60"/>
      <c r="D368" s="41"/>
      <c r="E368" s="41"/>
      <c r="F368" s="41"/>
      <c r="G368" s="41"/>
      <c r="H368" s="41"/>
    </row>
    <row r="369" ht="15.75" customHeight="1">
      <c r="B369" s="41"/>
      <c r="C369" s="60"/>
      <c r="D369" s="41"/>
      <c r="E369" s="41"/>
      <c r="F369" s="41"/>
      <c r="G369" s="41"/>
      <c r="H369" s="41"/>
    </row>
    <row r="370" ht="15.75" customHeight="1">
      <c r="B370" s="41"/>
      <c r="C370" s="60"/>
      <c r="D370" s="41"/>
      <c r="E370" s="41"/>
      <c r="F370" s="41"/>
      <c r="G370" s="41"/>
      <c r="H370" s="41"/>
    </row>
    <row r="371" ht="15.75" customHeight="1">
      <c r="B371" s="41"/>
      <c r="C371" s="60"/>
      <c r="D371" s="41"/>
      <c r="E371" s="41"/>
      <c r="F371" s="41"/>
      <c r="G371" s="41"/>
      <c r="H371" s="41"/>
    </row>
    <row r="372" ht="15.75" customHeight="1">
      <c r="B372" s="41"/>
      <c r="C372" s="60"/>
      <c r="D372" s="41"/>
      <c r="E372" s="41"/>
      <c r="F372" s="41"/>
      <c r="G372" s="41"/>
      <c r="H372" s="41"/>
    </row>
    <row r="373" ht="15.75" customHeight="1">
      <c r="B373" s="41"/>
      <c r="C373" s="60"/>
      <c r="D373" s="41"/>
      <c r="E373" s="41"/>
      <c r="F373" s="41"/>
      <c r="G373" s="41"/>
      <c r="H373" s="41"/>
    </row>
    <row r="374" ht="15.75" customHeight="1">
      <c r="B374" s="41"/>
      <c r="C374" s="60"/>
      <c r="D374" s="41"/>
      <c r="E374" s="41"/>
      <c r="F374" s="41"/>
      <c r="G374" s="41"/>
      <c r="H374" s="41"/>
    </row>
    <row r="375" ht="15.75" customHeight="1">
      <c r="B375" s="41"/>
      <c r="C375" s="60"/>
      <c r="D375" s="41"/>
      <c r="E375" s="41"/>
      <c r="F375" s="41"/>
      <c r="G375" s="41"/>
      <c r="H375" s="41"/>
    </row>
    <row r="376" ht="15.75" customHeight="1">
      <c r="B376" s="41"/>
      <c r="C376" s="60"/>
      <c r="D376" s="41"/>
      <c r="E376" s="41"/>
      <c r="F376" s="41"/>
      <c r="G376" s="41"/>
      <c r="H376" s="41"/>
    </row>
    <row r="377" ht="15.75" customHeight="1">
      <c r="B377" s="41"/>
      <c r="C377" s="60"/>
      <c r="D377" s="41"/>
      <c r="E377" s="41"/>
      <c r="F377" s="41"/>
      <c r="G377" s="41"/>
      <c r="H377" s="41"/>
    </row>
    <row r="378" ht="15.75" customHeight="1">
      <c r="B378" s="41"/>
      <c r="C378" s="60"/>
      <c r="D378" s="41"/>
      <c r="E378" s="41"/>
      <c r="F378" s="41"/>
      <c r="G378" s="41"/>
      <c r="H378" s="41"/>
    </row>
    <row r="379" ht="15.75" customHeight="1">
      <c r="B379" s="41"/>
      <c r="C379" s="60"/>
      <c r="D379" s="41"/>
      <c r="E379" s="41"/>
      <c r="F379" s="41"/>
      <c r="G379" s="41"/>
      <c r="H379" s="41"/>
    </row>
    <row r="380" ht="15.75" customHeight="1">
      <c r="B380" s="41"/>
      <c r="C380" s="60"/>
      <c r="D380" s="41"/>
      <c r="E380" s="41"/>
      <c r="F380" s="41"/>
      <c r="G380" s="41"/>
      <c r="H380" s="41"/>
    </row>
    <row r="381" ht="15.75" customHeight="1">
      <c r="B381" s="41"/>
      <c r="C381" s="60"/>
      <c r="D381" s="41"/>
      <c r="E381" s="41"/>
      <c r="F381" s="41"/>
      <c r="G381" s="41"/>
      <c r="H381" s="41"/>
    </row>
    <row r="382" ht="15.75" customHeight="1">
      <c r="B382" s="41"/>
      <c r="C382" s="60"/>
      <c r="D382" s="41"/>
      <c r="E382" s="41"/>
      <c r="F382" s="41"/>
      <c r="G382" s="41"/>
      <c r="H382" s="41"/>
    </row>
    <row r="383" ht="15.75" customHeight="1">
      <c r="B383" s="41"/>
      <c r="C383" s="60"/>
      <c r="D383" s="41"/>
      <c r="E383" s="41"/>
      <c r="F383" s="41"/>
      <c r="G383" s="41"/>
      <c r="H383" s="41"/>
    </row>
    <row r="384" ht="15.75" customHeight="1">
      <c r="B384" s="41"/>
      <c r="C384" s="60"/>
      <c r="D384" s="41"/>
      <c r="E384" s="41"/>
      <c r="F384" s="41"/>
      <c r="G384" s="41"/>
      <c r="H384" s="41"/>
    </row>
    <row r="385" ht="15.75" customHeight="1">
      <c r="B385" s="41"/>
      <c r="C385" s="60"/>
      <c r="D385" s="41"/>
      <c r="E385" s="41"/>
      <c r="F385" s="41"/>
      <c r="G385" s="41"/>
      <c r="H385" s="41"/>
    </row>
    <row r="386" ht="15.75" customHeight="1">
      <c r="B386" s="41"/>
      <c r="C386" s="60"/>
      <c r="D386" s="41"/>
      <c r="E386" s="41"/>
      <c r="F386" s="41"/>
      <c r="G386" s="41"/>
      <c r="H386" s="41"/>
    </row>
    <row r="387" ht="15.75" customHeight="1">
      <c r="B387" s="41"/>
      <c r="C387" s="60"/>
      <c r="D387" s="41"/>
      <c r="E387" s="41"/>
      <c r="F387" s="41"/>
      <c r="G387" s="41"/>
      <c r="H387" s="41"/>
    </row>
    <row r="388" ht="15.75" customHeight="1">
      <c r="B388" s="41"/>
      <c r="C388" s="60"/>
      <c r="D388" s="41"/>
      <c r="E388" s="41"/>
      <c r="F388" s="41"/>
      <c r="G388" s="41"/>
      <c r="H388" s="41"/>
    </row>
    <row r="389" ht="15.75" customHeight="1">
      <c r="B389" s="41"/>
      <c r="C389" s="60"/>
      <c r="D389" s="41"/>
      <c r="E389" s="41"/>
      <c r="F389" s="41"/>
      <c r="G389" s="41"/>
      <c r="H389" s="41"/>
    </row>
    <row r="390" ht="15.75" customHeight="1">
      <c r="B390" s="41"/>
      <c r="C390" s="60"/>
      <c r="D390" s="41"/>
      <c r="E390" s="41"/>
      <c r="F390" s="41"/>
      <c r="G390" s="41"/>
      <c r="H390" s="41"/>
    </row>
    <row r="391" ht="15.75" customHeight="1">
      <c r="B391" s="41"/>
      <c r="C391" s="60"/>
      <c r="D391" s="41"/>
      <c r="E391" s="41"/>
      <c r="F391" s="41"/>
      <c r="G391" s="41"/>
      <c r="H391" s="41"/>
    </row>
    <row r="392" ht="15.75" customHeight="1">
      <c r="B392" s="41"/>
      <c r="C392" s="60"/>
      <c r="D392" s="41"/>
      <c r="E392" s="41"/>
      <c r="F392" s="41"/>
      <c r="G392" s="41"/>
      <c r="H392" s="41"/>
    </row>
    <row r="393" ht="15.75" customHeight="1">
      <c r="B393" s="41"/>
      <c r="C393" s="60"/>
      <c r="D393" s="41"/>
      <c r="E393" s="41"/>
      <c r="F393" s="41"/>
      <c r="G393" s="41"/>
      <c r="H393" s="41"/>
    </row>
    <row r="394" ht="15.75" customHeight="1">
      <c r="B394" s="41"/>
      <c r="C394" s="60"/>
      <c r="D394" s="41"/>
      <c r="E394" s="41"/>
      <c r="F394" s="41"/>
      <c r="G394" s="41"/>
      <c r="H394" s="41"/>
    </row>
    <row r="395" ht="15.75" customHeight="1">
      <c r="B395" s="41"/>
      <c r="C395" s="60"/>
      <c r="D395" s="41"/>
      <c r="E395" s="41"/>
      <c r="F395" s="41"/>
      <c r="G395" s="41"/>
      <c r="H395" s="41"/>
    </row>
    <row r="396" ht="15.75" customHeight="1">
      <c r="B396" s="41"/>
      <c r="C396" s="60"/>
      <c r="D396" s="41"/>
      <c r="E396" s="41"/>
      <c r="F396" s="41"/>
      <c r="G396" s="41"/>
      <c r="H396" s="41"/>
    </row>
    <row r="397" ht="15.75" customHeight="1">
      <c r="B397" s="41"/>
      <c r="C397" s="60"/>
      <c r="D397" s="41"/>
      <c r="E397" s="41"/>
      <c r="F397" s="41"/>
      <c r="G397" s="41"/>
      <c r="H397" s="41"/>
    </row>
    <row r="398" ht="15.75" customHeight="1">
      <c r="B398" s="41"/>
      <c r="C398" s="60"/>
      <c r="D398" s="41"/>
      <c r="E398" s="41"/>
      <c r="F398" s="41"/>
      <c r="G398" s="41"/>
      <c r="H398" s="41"/>
    </row>
    <row r="399" ht="15.75" customHeight="1">
      <c r="B399" s="41"/>
      <c r="C399" s="60"/>
      <c r="D399" s="41"/>
      <c r="E399" s="41"/>
      <c r="F399" s="41"/>
      <c r="G399" s="41"/>
      <c r="H399" s="41"/>
    </row>
    <row r="400" ht="15.75" customHeight="1">
      <c r="B400" s="41"/>
      <c r="C400" s="60"/>
      <c r="D400" s="41"/>
      <c r="E400" s="41"/>
      <c r="F400" s="41"/>
      <c r="G400" s="41"/>
      <c r="H400" s="41"/>
    </row>
    <row r="401" ht="15.75" customHeight="1">
      <c r="B401" s="41"/>
      <c r="C401" s="60"/>
      <c r="D401" s="41"/>
      <c r="E401" s="41"/>
      <c r="F401" s="41"/>
      <c r="G401" s="41"/>
      <c r="H401" s="41"/>
    </row>
    <row r="402" ht="15.75" customHeight="1">
      <c r="B402" s="41"/>
      <c r="C402" s="60"/>
      <c r="D402" s="41"/>
      <c r="E402" s="41"/>
      <c r="F402" s="41"/>
      <c r="G402" s="41"/>
      <c r="H402" s="41"/>
    </row>
    <row r="403" ht="15.75" customHeight="1">
      <c r="B403" s="41"/>
      <c r="C403" s="60"/>
      <c r="D403" s="41"/>
      <c r="E403" s="41"/>
      <c r="F403" s="41"/>
      <c r="G403" s="41"/>
      <c r="H403" s="41"/>
    </row>
    <row r="404" ht="15.75" customHeight="1">
      <c r="B404" s="41"/>
      <c r="C404" s="60"/>
      <c r="D404" s="41"/>
      <c r="E404" s="41"/>
      <c r="F404" s="41"/>
      <c r="G404" s="41"/>
      <c r="H404" s="41"/>
    </row>
    <row r="405" ht="15.75" customHeight="1">
      <c r="B405" s="41"/>
      <c r="C405" s="60"/>
      <c r="D405" s="41"/>
      <c r="E405" s="41"/>
      <c r="F405" s="41"/>
      <c r="G405" s="41"/>
      <c r="H405" s="41"/>
    </row>
    <row r="406" ht="15.75" customHeight="1">
      <c r="B406" s="41"/>
      <c r="C406" s="60"/>
      <c r="D406" s="41"/>
      <c r="E406" s="41"/>
      <c r="F406" s="41"/>
      <c r="G406" s="41"/>
      <c r="H406" s="41"/>
    </row>
    <row r="407" ht="15.75" customHeight="1">
      <c r="B407" s="41"/>
      <c r="C407" s="60"/>
      <c r="D407" s="41"/>
      <c r="E407" s="41"/>
      <c r="F407" s="41"/>
      <c r="G407" s="41"/>
      <c r="H407" s="41"/>
    </row>
    <row r="408" ht="15.75" customHeight="1">
      <c r="B408" s="41"/>
      <c r="C408" s="60"/>
      <c r="D408" s="41"/>
      <c r="E408" s="41"/>
      <c r="F408" s="41"/>
      <c r="G408" s="41"/>
      <c r="H408" s="41"/>
    </row>
    <row r="409" ht="15.75" customHeight="1">
      <c r="B409" s="41"/>
      <c r="C409" s="60"/>
      <c r="D409" s="41"/>
      <c r="E409" s="41"/>
      <c r="F409" s="41"/>
      <c r="G409" s="41"/>
      <c r="H409" s="41"/>
    </row>
    <row r="410" ht="15.75" customHeight="1">
      <c r="B410" s="41"/>
      <c r="C410" s="60"/>
      <c r="D410" s="41"/>
      <c r="E410" s="41"/>
      <c r="F410" s="41"/>
      <c r="G410" s="41"/>
      <c r="H410" s="41"/>
    </row>
    <row r="411" ht="15.75" customHeight="1">
      <c r="B411" s="41"/>
      <c r="C411" s="60"/>
      <c r="D411" s="41"/>
      <c r="E411" s="41"/>
      <c r="F411" s="41"/>
      <c r="G411" s="41"/>
      <c r="H411" s="41"/>
    </row>
    <row r="412" ht="15.75" customHeight="1">
      <c r="B412" s="41"/>
      <c r="C412" s="60"/>
      <c r="D412" s="41"/>
      <c r="E412" s="41"/>
      <c r="F412" s="41"/>
      <c r="G412" s="41"/>
      <c r="H412" s="41"/>
    </row>
    <row r="413" ht="15.75" customHeight="1">
      <c r="B413" s="41"/>
      <c r="C413" s="60"/>
      <c r="D413" s="41"/>
      <c r="E413" s="41"/>
      <c r="F413" s="41"/>
      <c r="G413" s="41"/>
      <c r="H413" s="41"/>
    </row>
    <row r="414" ht="15.75" customHeight="1">
      <c r="B414" s="41"/>
      <c r="C414" s="60"/>
      <c r="D414" s="41"/>
      <c r="E414" s="41"/>
      <c r="F414" s="41"/>
      <c r="G414" s="41"/>
      <c r="H414" s="41"/>
    </row>
    <row r="415" ht="15.75" customHeight="1">
      <c r="B415" s="41"/>
      <c r="C415" s="60"/>
      <c r="D415" s="41"/>
      <c r="E415" s="41"/>
      <c r="F415" s="41"/>
      <c r="G415" s="41"/>
      <c r="H415" s="41"/>
    </row>
    <row r="416" ht="15.75" customHeight="1">
      <c r="B416" s="41"/>
      <c r="C416" s="60"/>
      <c r="D416" s="41"/>
      <c r="E416" s="41"/>
      <c r="F416" s="41"/>
      <c r="G416" s="41"/>
      <c r="H416" s="41"/>
    </row>
    <row r="417" ht="15.75" customHeight="1">
      <c r="B417" s="41"/>
      <c r="C417" s="60"/>
      <c r="D417" s="41"/>
      <c r="E417" s="41"/>
      <c r="F417" s="41"/>
      <c r="G417" s="41"/>
      <c r="H417" s="41"/>
    </row>
    <row r="418" ht="15.75" customHeight="1">
      <c r="B418" s="41"/>
      <c r="C418" s="60"/>
      <c r="D418" s="41"/>
      <c r="E418" s="41"/>
      <c r="F418" s="41"/>
      <c r="G418" s="41"/>
      <c r="H418" s="41"/>
    </row>
    <row r="419" ht="15.75" customHeight="1">
      <c r="B419" s="41"/>
      <c r="C419" s="60"/>
      <c r="D419" s="41"/>
      <c r="E419" s="41"/>
      <c r="F419" s="41"/>
      <c r="G419" s="41"/>
      <c r="H419" s="41"/>
    </row>
    <row r="420" ht="15.75" customHeight="1">
      <c r="B420" s="41"/>
      <c r="C420" s="60"/>
      <c r="D420" s="41"/>
      <c r="E420" s="41"/>
      <c r="F420" s="41"/>
      <c r="G420" s="41"/>
      <c r="H420" s="41"/>
    </row>
    <row r="421" ht="15.75" customHeight="1">
      <c r="B421" s="41"/>
      <c r="C421" s="60"/>
      <c r="D421" s="41"/>
      <c r="E421" s="41"/>
      <c r="F421" s="41"/>
      <c r="G421" s="41"/>
      <c r="H421" s="41"/>
    </row>
    <row r="422" ht="15.75" customHeight="1">
      <c r="B422" s="41"/>
      <c r="C422" s="60"/>
      <c r="D422" s="41"/>
      <c r="E422" s="41"/>
      <c r="F422" s="41"/>
      <c r="G422" s="41"/>
      <c r="H422" s="41"/>
    </row>
    <row r="423" ht="15.75" customHeight="1">
      <c r="B423" s="41"/>
      <c r="C423" s="60"/>
      <c r="D423" s="41"/>
      <c r="E423" s="41"/>
      <c r="F423" s="41"/>
      <c r="G423" s="41"/>
      <c r="H423" s="41"/>
    </row>
    <row r="424" ht="15.75" customHeight="1">
      <c r="B424" s="41"/>
      <c r="C424" s="60"/>
      <c r="D424" s="41"/>
      <c r="E424" s="41"/>
      <c r="F424" s="41"/>
      <c r="G424" s="41"/>
      <c r="H424" s="41"/>
    </row>
    <row r="425" ht="15.75" customHeight="1">
      <c r="B425" s="41"/>
      <c r="C425" s="60"/>
      <c r="D425" s="41"/>
      <c r="E425" s="41"/>
      <c r="F425" s="41"/>
      <c r="G425" s="41"/>
      <c r="H425" s="41"/>
    </row>
    <row r="426" ht="15.75" customHeight="1">
      <c r="B426" s="41"/>
      <c r="C426" s="60"/>
      <c r="D426" s="41"/>
      <c r="E426" s="41"/>
      <c r="F426" s="41"/>
      <c r="G426" s="41"/>
      <c r="H426" s="41"/>
    </row>
    <row r="427" ht="15.75" customHeight="1">
      <c r="B427" s="41"/>
      <c r="C427" s="60"/>
      <c r="D427" s="41"/>
      <c r="E427" s="41"/>
      <c r="F427" s="41"/>
      <c r="G427" s="41"/>
      <c r="H427" s="41"/>
    </row>
    <row r="428" ht="15.75" customHeight="1">
      <c r="B428" s="41"/>
      <c r="C428" s="60"/>
      <c r="D428" s="41"/>
      <c r="E428" s="41"/>
      <c r="F428" s="41"/>
      <c r="G428" s="41"/>
      <c r="H428" s="41"/>
    </row>
    <row r="429" ht="15.75" customHeight="1">
      <c r="B429" s="41"/>
      <c r="C429" s="60"/>
      <c r="D429" s="41"/>
      <c r="E429" s="41"/>
      <c r="F429" s="41"/>
      <c r="G429" s="41"/>
      <c r="H429" s="41"/>
    </row>
    <row r="430" ht="15.75" customHeight="1">
      <c r="B430" s="41"/>
      <c r="C430" s="60"/>
      <c r="D430" s="41"/>
      <c r="E430" s="41"/>
      <c r="F430" s="41"/>
      <c r="G430" s="41"/>
      <c r="H430" s="41"/>
    </row>
    <row r="431" ht="15.75" customHeight="1">
      <c r="B431" s="41"/>
      <c r="C431" s="60"/>
      <c r="D431" s="41"/>
      <c r="E431" s="41"/>
      <c r="F431" s="41"/>
      <c r="G431" s="41"/>
      <c r="H431" s="41"/>
    </row>
    <row r="432" ht="15.75" customHeight="1">
      <c r="B432" s="41"/>
      <c r="C432" s="60"/>
      <c r="D432" s="41"/>
      <c r="E432" s="41"/>
      <c r="F432" s="41"/>
      <c r="G432" s="41"/>
      <c r="H432" s="41"/>
    </row>
    <row r="433" ht="15.75" customHeight="1">
      <c r="B433" s="41"/>
      <c r="C433" s="60"/>
      <c r="D433" s="41"/>
      <c r="E433" s="41"/>
      <c r="F433" s="41"/>
      <c r="G433" s="41"/>
      <c r="H433" s="41"/>
    </row>
    <row r="434" ht="15.75" customHeight="1">
      <c r="B434" s="41"/>
      <c r="C434" s="60"/>
      <c r="D434" s="41"/>
      <c r="E434" s="41"/>
      <c r="F434" s="41"/>
      <c r="G434" s="41"/>
      <c r="H434" s="41"/>
    </row>
    <row r="435" ht="15.75" customHeight="1">
      <c r="B435" s="41"/>
      <c r="C435" s="60"/>
      <c r="D435" s="41"/>
      <c r="E435" s="41"/>
      <c r="F435" s="41"/>
      <c r="G435" s="41"/>
      <c r="H435" s="41"/>
    </row>
    <row r="436" ht="15.75" customHeight="1">
      <c r="B436" s="41"/>
      <c r="C436" s="60"/>
      <c r="D436" s="41"/>
      <c r="E436" s="41"/>
      <c r="F436" s="41"/>
      <c r="G436" s="41"/>
      <c r="H436" s="41"/>
    </row>
    <row r="437" ht="15.75" customHeight="1">
      <c r="B437" s="41"/>
      <c r="C437" s="60"/>
      <c r="D437" s="41"/>
      <c r="E437" s="41"/>
      <c r="F437" s="41"/>
      <c r="G437" s="41"/>
      <c r="H437" s="41"/>
    </row>
    <row r="438" ht="15.75" customHeight="1">
      <c r="B438" s="41"/>
      <c r="C438" s="60"/>
      <c r="D438" s="41"/>
      <c r="E438" s="41"/>
      <c r="F438" s="41"/>
      <c r="G438" s="41"/>
      <c r="H438" s="41"/>
    </row>
    <row r="439" ht="15.75" customHeight="1">
      <c r="B439" s="41"/>
      <c r="C439" s="60"/>
      <c r="D439" s="41"/>
      <c r="E439" s="41"/>
      <c r="F439" s="41"/>
      <c r="G439" s="41"/>
      <c r="H439" s="41"/>
    </row>
    <row r="440" ht="15.75" customHeight="1">
      <c r="B440" s="41"/>
      <c r="C440" s="60"/>
      <c r="D440" s="41"/>
      <c r="E440" s="41"/>
      <c r="F440" s="41"/>
      <c r="G440" s="41"/>
      <c r="H440" s="41"/>
    </row>
    <row r="441" ht="15.75" customHeight="1">
      <c r="B441" s="41"/>
      <c r="C441" s="60"/>
      <c r="D441" s="41"/>
      <c r="E441" s="41"/>
      <c r="F441" s="41"/>
      <c r="G441" s="41"/>
      <c r="H441" s="41"/>
    </row>
    <row r="442" ht="15.75" customHeight="1">
      <c r="B442" s="41"/>
      <c r="C442" s="60"/>
      <c r="D442" s="41"/>
      <c r="E442" s="41"/>
      <c r="F442" s="41"/>
      <c r="G442" s="41"/>
      <c r="H442" s="41"/>
    </row>
    <row r="443" ht="15.75" customHeight="1">
      <c r="B443" s="41"/>
      <c r="C443" s="60"/>
      <c r="D443" s="41"/>
      <c r="E443" s="41"/>
      <c r="F443" s="41"/>
      <c r="G443" s="41"/>
      <c r="H443" s="41"/>
    </row>
    <row r="444" ht="15.75" customHeight="1">
      <c r="B444" s="41"/>
      <c r="C444" s="60"/>
      <c r="D444" s="41"/>
      <c r="E444" s="41"/>
      <c r="F444" s="41"/>
      <c r="G444" s="41"/>
      <c r="H444" s="41"/>
    </row>
    <row r="445" ht="15.75" customHeight="1">
      <c r="B445" s="41"/>
      <c r="C445" s="60"/>
      <c r="D445" s="41"/>
      <c r="E445" s="41"/>
      <c r="F445" s="41"/>
      <c r="G445" s="41"/>
      <c r="H445" s="41"/>
    </row>
    <row r="446" ht="15.75" customHeight="1">
      <c r="B446" s="41"/>
      <c r="C446" s="60"/>
      <c r="D446" s="41"/>
      <c r="E446" s="41"/>
      <c r="F446" s="41"/>
      <c r="G446" s="41"/>
      <c r="H446" s="41"/>
    </row>
    <row r="447" ht="15.75" customHeight="1">
      <c r="B447" s="41"/>
      <c r="C447" s="60"/>
      <c r="D447" s="41"/>
      <c r="E447" s="41"/>
      <c r="F447" s="41"/>
      <c r="G447" s="41"/>
      <c r="H447" s="41"/>
    </row>
    <row r="448" ht="15.75" customHeight="1">
      <c r="B448" s="41"/>
      <c r="C448" s="60"/>
      <c r="D448" s="41"/>
      <c r="E448" s="41"/>
      <c r="F448" s="41"/>
      <c r="G448" s="41"/>
      <c r="H448" s="41"/>
    </row>
    <row r="449" ht="15.75" customHeight="1">
      <c r="B449" s="41"/>
      <c r="C449" s="60"/>
      <c r="D449" s="41"/>
      <c r="E449" s="41"/>
      <c r="F449" s="41"/>
      <c r="G449" s="41"/>
      <c r="H449" s="41"/>
    </row>
    <row r="450" ht="15.75" customHeight="1">
      <c r="B450" s="41"/>
      <c r="C450" s="60"/>
      <c r="D450" s="41"/>
      <c r="E450" s="41"/>
      <c r="F450" s="41"/>
      <c r="G450" s="41"/>
      <c r="H450" s="41"/>
    </row>
    <row r="451" ht="15.75" customHeight="1">
      <c r="B451" s="41"/>
      <c r="C451" s="60"/>
      <c r="D451" s="41"/>
      <c r="E451" s="41"/>
      <c r="F451" s="41"/>
      <c r="G451" s="41"/>
      <c r="H451" s="41"/>
    </row>
    <row r="452" ht="15.75" customHeight="1">
      <c r="B452" s="41"/>
      <c r="C452" s="60"/>
      <c r="D452" s="41"/>
      <c r="E452" s="41"/>
      <c r="F452" s="41"/>
      <c r="G452" s="41"/>
      <c r="H452" s="41"/>
    </row>
    <row r="453" ht="15.75" customHeight="1">
      <c r="B453" s="41"/>
      <c r="C453" s="60"/>
      <c r="D453" s="41"/>
      <c r="E453" s="41"/>
      <c r="F453" s="41"/>
      <c r="G453" s="41"/>
      <c r="H453" s="41"/>
    </row>
    <row r="454" ht="15.75" customHeight="1">
      <c r="B454" s="41"/>
      <c r="C454" s="60"/>
      <c r="D454" s="41"/>
      <c r="E454" s="41"/>
      <c r="F454" s="41"/>
      <c r="G454" s="41"/>
      <c r="H454" s="41"/>
    </row>
    <row r="455" ht="15.75" customHeight="1">
      <c r="B455" s="41"/>
      <c r="C455" s="60"/>
      <c r="D455" s="41"/>
      <c r="E455" s="41"/>
      <c r="F455" s="41"/>
      <c r="G455" s="41"/>
      <c r="H455" s="41"/>
    </row>
    <row r="456" ht="15.75" customHeight="1">
      <c r="B456" s="41"/>
      <c r="C456" s="60"/>
      <c r="D456" s="41"/>
      <c r="E456" s="41"/>
      <c r="F456" s="41"/>
      <c r="G456" s="41"/>
      <c r="H456" s="41"/>
    </row>
    <row r="457" ht="15.75" customHeight="1">
      <c r="B457" s="41"/>
      <c r="C457" s="60"/>
      <c r="D457" s="41"/>
      <c r="E457" s="41"/>
      <c r="F457" s="41"/>
      <c r="G457" s="41"/>
      <c r="H457" s="41"/>
    </row>
    <row r="458" ht="15.75" customHeight="1">
      <c r="B458" s="41"/>
      <c r="C458" s="60"/>
      <c r="D458" s="41"/>
      <c r="E458" s="41"/>
      <c r="F458" s="41"/>
      <c r="G458" s="41"/>
      <c r="H458" s="41"/>
    </row>
    <row r="459" ht="15.75" customHeight="1">
      <c r="B459" s="41"/>
      <c r="C459" s="60"/>
      <c r="D459" s="41"/>
      <c r="E459" s="41"/>
      <c r="F459" s="41"/>
      <c r="G459" s="41"/>
      <c r="H459" s="41"/>
    </row>
    <row r="460" ht="15.75" customHeight="1">
      <c r="B460" s="41"/>
      <c r="C460" s="60"/>
      <c r="D460" s="41"/>
      <c r="E460" s="41"/>
      <c r="F460" s="41"/>
      <c r="G460" s="41"/>
      <c r="H460" s="41"/>
    </row>
    <row r="461" ht="15.75" customHeight="1">
      <c r="B461" s="41"/>
      <c r="C461" s="60"/>
      <c r="D461" s="41"/>
      <c r="E461" s="41"/>
      <c r="F461" s="41"/>
      <c r="G461" s="41"/>
      <c r="H461" s="41"/>
    </row>
    <row r="462" ht="15.75" customHeight="1">
      <c r="B462" s="41"/>
      <c r="C462" s="60"/>
      <c r="D462" s="41"/>
      <c r="E462" s="41"/>
      <c r="F462" s="41"/>
      <c r="G462" s="41"/>
      <c r="H462" s="41"/>
    </row>
    <row r="463" ht="15.75" customHeight="1">
      <c r="B463" s="41"/>
      <c r="C463" s="60"/>
      <c r="D463" s="41"/>
      <c r="E463" s="41"/>
      <c r="F463" s="41"/>
      <c r="G463" s="41"/>
      <c r="H463" s="41"/>
    </row>
    <row r="464" ht="15.75" customHeight="1">
      <c r="B464" s="41"/>
      <c r="C464" s="60"/>
      <c r="D464" s="41"/>
      <c r="E464" s="41"/>
      <c r="F464" s="41"/>
      <c r="G464" s="41"/>
      <c r="H464" s="41"/>
    </row>
    <row r="465" ht="15.75" customHeight="1">
      <c r="B465" s="41"/>
      <c r="C465" s="60"/>
      <c r="D465" s="41"/>
      <c r="E465" s="41"/>
      <c r="F465" s="41"/>
      <c r="G465" s="41"/>
      <c r="H465" s="41"/>
    </row>
    <row r="466" ht="15.75" customHeight="1">
      <c r="B466" s="41"/>
      <c r="C466" s="60"/>
      <c r="D466" s="41"/>
      <c r="E466" s="41"/>
      <c r="F466" s="41"/>
      <c r="G466" s="41"/>
      <c r="H466" s="41"/>
    </row>
    <row r="467" ht="15.75" customHeight="1">
      <c r="B467" s="41"/>
      <c r="C467" s="60"/>
      <c r="D467" s="41"/>
      <c r="E467" s="41"/>
      <c r="F467" s="41"/>
      <c r="G467" s="41"/>
      <c r="H467" s="41"/>
    </row>
    <row r="468" ht="15.75" customHeight="1">
      <c r="B468" s="41"/>
      <c r="C468" s="60"/>
      <c r="D468" s="41"/>
      <c r="E468" s="41"/>
      <c r="F468" s="41"/>
      <c r="G468" s="41"/>
      <c r="H468" s="41"/>
    </row>
    <row r="469" ht="15.75" customHeight="1">
      <c r="B469" s="41"/>
      <c r="C469" s="60"/>
      <c r="D469" s="41"/>
      <c r="E469" s="41"/>
      <c r="F469" s="41"/>
      <c r="G469" s="41"/>
      <c r="H469" s="41"/>
    </row>
    <row r="470" ht="15.75" customHeight="1">
      <c r="B470" s="41"/>
      <c r="C470" s="60"/>
      <c r="D470" s="41"/>
      <c r="E470" s="41"/>
      <c r="F470" s="41"/>
      <c r="G470" s="41"/>
      <c r="H470" s="41"/>
    </row>
    <row r="471" ht="15.75" customHeight="1">
      <c r="B471" s="41"/>
      <c r="C471" s="60"/>
      <c r="D471" s="41"/>
      <c r="E471" s="41"/>
      <c r="F471" s="41"/>
      <c r="G471" s="41"/>
      <c r="H471" s="41"/>
    </row>
    <row r="472" ht="15.75" customHeight="1">
      <c r="B472" s="41"/>
      <c r="C472" s="60"/>
      <c r="D472" s="41"/>
      <c r="E472" s="41"/>
      <c r="F472" s="41"/>
      <c r="G472" s="41"/>
      <c r="H472" s="41"/>
    </row>
    <row r="473" ht="15.75" customHeight="1">
      <c r="B473" s="41"/>
      <c r="C473" s="60"/>
      <c r="D473" s="41"/>
      <c r="E473" s="41"/>
      <c r="F473" s="41"/>
      <c r="G473" s="41"/>
      <c r="H473" s="41"/>
    </row>
    <row r="474" ht="15.75" customHeight="1">
      <c r="B474" s="41"/>
      <c r="C474" s="60"/>
      <c r="D474" s="41"/>
      <c r="E474" s="41"/>
      <c r="F474" s="41"/>
      <c r="G474" s="41"/>
      <c r="H474" s="41"/>
    </row>
    <row r="475" ht="15.75" customHeight="1">
      <c r="B475" s="41"/>
      <c r="C475" s="60"/>
      <c r="D475" s="41"/>
      <c r="E475" s="41"/>
      <c r="F475" s="41"/>
      <c r="G475" s="41"/>
      <c r="H475" s="41"/>
    </row>
    <row r="476" ht="15.75" customHeight="1">
      <c r="B476" s="41"/>
      <c r="C476" s="60"/>
      <c r="D476" s="41"/>
      <c r="E476" s="41"/>
      <c r="F476" s="41"/>
      <c r="G476" s="41"/>
      <c r="H476" s="41"/>
    </row>
    <row r="477" ht="15.75" customHeight="1">
      <c r="B477" s="41"/>
      <c r="C477" s="60"/>
      <c r="D477" s="41"/>
      <c r="E477" s="41"/>
      <c r="F477" s="41"/>
      <c r="G477" s="41"/>
      <c r="H477" s="41"/>
    </row>
    <row r="478" ht="15.75" customHeight="1">
      <c r="B478" s="41"/>
      <c r="C478" s="60"/>
      <c r="D478" s="41"/>
      <c r="E478" s="41"/>
      <c r="F478" s="41"/>
      <c r="G478" s="41"/>
      <c r="H478" s="41"/>
    </row>
    <row r="479" ht="15.75" customHeight="1">
      <c r="B479" s="41"/>
      <c r="C479" s="60"/>
      <c r="D479" s="41"/>
      <c r="E479" s="41"/>
      <c r="F479" s="41"/>
      <c r="G479" s="41"/>
      <c r="H479" s="41"/>
    </row>
    <row r="480" ht="15.75" customHeight="1">
      <c r="B480" s="41"/>
      <c r="C480" s="60"/>
      <c r="D480" s="41"/>
      <c r="E480" s="41"/>
      <c r="F480" s="41"/>
      <c r="G480" s="41"/>
      <c r="H480" s="41"/>
    </row>
    <row r="481" ht="15.75" customHeight="1">
      <c r="B481" s="41"/>
      <c r="C481" s="60"/>
      <c r="D481" s="41"/>
      <c r="E481" s="41"/>
      <c r="F481" s="41"/>
      <c r="G481" s="41"/>
      <c r="H481" s="41"/>
    </row>
    <row r="482" ht="15.75" customHeight="1">
      <c r="B482" s="41"/>
      <c r="C482" s="60"/>
      <c r="D482" s="41"/>
      <c r="E482" s="41"/>
      <c r="F482" s="41"/>
      <c r="G482" s="41"/>
      <c r="H482" s="41"/>
    </row>
    <row r="483" ht="15.75" customHeight="1">
      <c r="B483" s="41"/>
      <c r="C483" s="60"/>
      <c r="D483" s="41"/>
      <c r="E483" s="41"/>
      <c r="F483" s="41"/>
      <c r="G483" s="41"/>
      <c r="H483" s="41"/>
    </row>
    <row r="484" ht="15.75" customHeight="1">
      <c r="B484" s="41"/>
      <c r="C484" s="60"/>
      <c r="D484" s="41"/>
      <c r="E484" s="41"/>
      <c r="F484" s="41"/>
      <c r="G484" s="41"/>
      <c r="H484" s="41"/>
    </row>
    <row r="485" ht="15.75" customHeight="1">
      <c r="B485" s="41"/>
      <c r="C485" s="60"/>
      <c r="D485" s="41"/>
      <c r="E485" s="41"/>
      <c r="F485" s="41"/>
      <c r="G485" s="41"/>
      <c r="H485" s="41"/>
    </row>
    <row r="486" ht="15.75" customHeight="1">
      <c r="B486" s="41"/>
      <c r="C486" s="60"/>
      <c r="D486" s="41"/>
      <c r="E486" s="41"/>
      <c r="F486" s="41"/>
      <c r="G486" s="41"/>
      <c r="H486" s="41"/>
    </row>
    <row r="487" ht="15.75" customHeight="1">
      <c r="B487" s="41"/>
      <c r="C487" s="60"/>
      <c r="D487" s="41"/>
      <c r="E487" s="41"/>
      <c r="F487" s="41"/>
      <c r="G487" s="41"/>
      <c r="H487" s="41"/>
    </row>
    <row r="488" ht="15.75" customHeight="1">
      <c r="B488" s="41"/>
      <c r="C488" s="60"/>
      <c r="D488" s="41"/>
      <c r="E488" s="41"/>
      <c r="F488" s="41"/>
      <c r="G488" s="41"/>
      <c r="H488" s="41"/>
    </row>
    <row r="489" ht="15.75" customHeight="1">
      <c r="B489" s="41"/>
      <c r="C489" s="60"/>
      <c r="D489" s="41"/>
      <c r="E489" s="41"/>
      <c r="F489" s="41"/>
      <c r="G489" s="41"/>
      <c r="H489" s="41"/>
    </row>
    <row r="490" ht="15.75" customHeight="1">
      <c r="B490" s="41"/>
      <c r="C490" s="60"/>
      <c r="D490" s="41"/>
      <c r="E490" s="41"/>
      <c r="F490" s="41"/>
      <c r="G490" s="41"/>
      <c r="H490" s="41"/>
    </row>
    <row r="491" ht="15.75" customHeight="1">
      <c r="B491" s="41"/>
      <c r="C491" s="60"/>
      <c r="D491" s="41"/>
      <c r="E491" s="41"/>
      <c r="F491" s="41"/>
      <c r="G491" s="41"/>
      <c r="H491" s="41"/>
    </row>
    <row r="492" ht="15.75" customHeight="1">
      <c r="B492" s="41"/>
      <c r="C492" s="60"/>
      <c r="D492" s="41"/>
      <c r="E492" s="41"/>
      <c r="F492" s="41"/>
      <c r="G492" s="41"/>
      <c r="H492" s="41"/>
    </row>
    <row r="493" ht="15.75" customHeight="1">
      <c r="B493" s="41"/>
      <c r="C493" s="60"/>
      <c r="D493" s="41"/>
      <c r="E493" s="41"/>
      <c r="F493" s="41"/>
      <c r="G493" s="41"/>
      <c r="H493" s="41"/>
    </row>
    <row r="494" ht="15.75" customHeight="1">
      <c r="B494" s="41"/>
      <c r="C494" s="60"/>
      <c r="D494" s="41"/>
      <c r="E494" s="41"/>
      <c r="F494" s="41"/>
      <c r="G494" s="41"/>
      <c r="H494" s="41"/>
    </row>
    <row r="495" ht="15.75" customHeight="1">
      <c r="B495" s="41"/>
      <c r="C495" s="60"/>
      <c r="D495" s="41"/>
      <c r="E495" s="41"/>
      <c r="F495" s="41"/>
      <c r="G495" s="41"/>
      <c r="H495" s="41"/>
    </row>
    <row r="496" ht="15.75" customHeight="1">
      <c r="B496" s="41"/>
      <c r="C496" s="60"/>
      <c r="D496" s="41"/>
      <c r="E496" s="41"/>
      <c r="F496" s="41"/>
      <c r="G496" s="41"/>
      <c r="H496" s="41"/>
    </row>
    <row r="497" ht="15.75" customHeight="1">
      <c r="B497" s="41"/>
      <c r="C497" s="60"/>
      <c r="D497" s="41"/>
      <c r="E497" s="41"/>
      <c r="F497" s="41"/>
      <c r="G497" s="41"/>
      <c r="H497" s="41"/>
    </row>
    <row r="498" ht="15.75" customHeight="1">
      <c r="B498" s="41"/>
      <c r="C498" s="60"/>
      <c r="D498" s="41"/>
      <c r="E498" s="41"/>
      <c r="F498" s="41"/>
      <c r="G498" s="41"/>
      <c r="H498" s="41"/>
    </row>
    <row r="499" ht="15.75" customHeight="1">
      <c r="B499" s="41"/>
      <c r="C499" s="60"/>
      <c r="D499" s="41"/>
      <c r="E499" s="41"/>
      <c r="F499" s="41"/>
      <c r="G499" s="41"/>
      <c r="H499" s="41"/>
    </row>
    <row r="500" ht="15.75" customHeight="1">
      <c r="B500" s="41"/>
      <c r="C500" s="60"/>
      <c r="D500" s="41"/>
      <c r="E500" s="41"/>
      <c r="F500" s="41"/>
      <c r="G500" s="41"/>
      <c r="H500" s="41"/>
    </row>
    <row r="501" ht="15.75" customHeight="1">
      <c r="B501" s="41"/>
      <c r="C501" s="60"/>
      <c r="D501" s="41"/>
      <c r="E501" s="41"/>
      <c r="F501" s="41"/>
      <c r="G501" s="41"/>
      <c r="H501" s="41"/>
    </row>
    <row r="502" ht="15.75" customHeight="1">
      <c r="B502" s="41"/>
      <c r="C502" s="60"/>
      <c r="D502" s="41"/>
      <c r="E502" s="41"/>
      <c r="F502" s="41"/>
      <c r="G502" s="41"/>
      <c r="H502" s="41"/>
    </row>
    <row r="503" ht="15.75" customHeight="1">
      <c r="B503" s="41"/>
      <c r="C503" s="60"/>
      <c r="D503" s="41"/>
      <c r="E503" s="41"/>
      <c r="F503" s="41"/>
      <c r="G503" s="41"/>
      <c r="H503" s="41"/>
    </row>
    <row r="504" ht="15.75" customHeight="1">
      <c r="C504" s="60"/>
    </row>
    <row r="505" ht="15.75" customHeight="1">
      <c r="C505" s="60"/>
    </row>
    <row r="506" ht="15.75" customHeight="1">
      <c r="C506" s="60"/>
    </row>
    <row r="507" ht="15.75" customHeight="1">
      <c r="C507" s="60"/>
    </row>
    <row r="508" ht="15.75" customHeight="1">
      <c r="C508" s="60"/>
    </row>
    <row r="509" ht="15.75" customHeight="1">
      <c r="C509" s="60"/>
    </row>
    <row r="510" ht="15.75" customHeight="1">
      <c r="C510" s="60"/>
    </row>
    <row r="511" ht="15.75" customHeight="1">
      <c r="C511" s="60"/>
    </row>
    <row r="512" ht="15.75" customHeight="1">
      <c r="C512" s="60"/>
    </row>
    <row r="513" ht="15.75" customHeight="1">
      <c r="C513" s="60"/>
    </row>
    <row r="514" ht="15.75" customHeight="1">
      <c r="C514" s="60"/>
    </row>
    <row r="515" ht="15.75" customHeight="1">
      <c r="C515" s="60"/>
    </row>
    <row r="516" ht="15.75" customHeight="1">
      <c r="C516" s="60"/>
    </row>
    <row r="517" ht="15.75" customHeight="1">
      <c r="C517" s="60"/>
    </row>
    <row r="518" ht="15.75" customHeight="1">
      <c r="C518" s="60"/>
    </row>
    <row r="519" ht="15.75" customHeight="1">
      <c r="C519" s="60"/>
    </row>
    <row r="520" ht="15.75" customHeight="1">
      <c r="C520" s="60"/>
    </row>
    <row r="521" ht="15.75" customHeight="1">
      <c r="C521" s="60"/>
    </row>
    <row r="522" ht="15.75" customHeight="1">
      <c r="C522" s="60"/>
    </row>
    <row r="523" ht="15.75" customHeight="1">
      <c r="C523" s="60"/>
    </row>
    <row r="524" ht="15.75" customHeight="1">
      <c r="C524" s="60"/>
    </row>
    <row r="525" ht="15.75" customHeight="1">
      <c r="C525" s="60"/>
    </row>
    <row r="526" ht="15.75" customHeight="1">
      <c r="C526" s="60"/>
    </row>
    <row r="527" ht="15.75" customHeight="1">
      <c r="C527" s="60"/>
    </row>
    <row r="528" ht="15.75" customHeight="1">
      <c r="C528" s="60"/>
    </row>
    <row r="529" ht="15.75" customHeight="1">
      <c r="C529" s="60"/>
    </row>
    <row r="530" ht="15.75" customHeight="1">
      <c r="C530" s="60"/>
    </row>
    <row r="531" ht="15.75" customHeight="1">
      <c r="C531" s="60"/>
    </row>
    <row r="532" ht="15.75" customHeight="1">
      <c r="C532" s="60"/>
    </row>
    <row r="533" ht="15.75" customHeight="1">
      <c r="C533" s="60"/>
    </row>
    <row r="534" ht="15.75" customHeight="1">
      <c r="C534" s="60"/>
    </row>
    <row r="535" ht="15.75" customHeight="1">
      <c r="C535" s="60"/>
    </row>
    <row r="536" ht="15.75" customHeight="1">
      <c r="C536" s="60"/>
    </row>
    <row r="537" ht="15.75" customHeight="1">
      <c r="C537" s="60"/>
    </row>
    <row r="538" ht="15.75" customHeight="1">
      <c r="C538" s="60"/>
    </row>
    <row r="539" ht="15.75" customHeight="1">
      <c r="C539" s="60"/>
    </row>
    <row r="540" ht="15.75" customHeight="1">
      <c r="C540" s="60"/>
    </row>
    <row r="541" ht="15.75" customHeight="1">
      <c r="C541" s="60"/>
    </row>
    <row r="542" ht="15.75" customHeight="1">
      <c r="C542" s="60"/>
    </row>
    <row r="543" ht="15.75" customHeight="1">
      <c r="C543" s="60"/>
    </row>
    <row r="544" ht="15.75" customHeight="1">
      <c r="C544" s="60"/>
    </row>
    <row r="545" ht="15.75" customHeight="1">
      <c r="C545" s="60"/>
    </row>
    <row r="546" ht="15.75" customHeight="1">
      <c r="C546" s="60"/>
    </row>
    <row r="547" ht="15.75" customHeight="1">
      <c r="C547" s="60"/>
    </row>
    <row r="548" ht="15.75" customHeight="1">
      <c r="C548" s="60"/>
    </row>
    <row r="549" ht="15.75" customHeight="1">
      <c r="C549" s="60"/>
    </row>
    <row r="550" ht="15.75" customHeight="1">
      <c r="C550" s="60"/>
    </row>
    <row r="551" ht="15.75" customHeight="1">
      <c r="C551" s="60"/>
    </row>
    <row r="552" ht="15.75" customHeight="1">
      <c r="C552" s="60"/>
    </row>
    <row r="553" ht="15.75" customHeight="1">
      <c r="C553" s="60"/>
    </row>
    <row r="554" ht="15.75" customHeight="1">
      <c r="C554" s="60"/>
    </row>
    <row r="555" ht="15.75" customHeight="1">
      <c r="C555" s="60"/>
    </row>
    <row r="556" ht="15.75" customHeight="1">
      <c r="C556" s="60"/>
    </row>
    <row r="557" ht="15.75" customHeight="1">
      <c r="C557" s="60"/>
    </row>
    <row r="558" ht="15.75" customHeight="1">
      <c r="C558" s="60"/>
    </row>
    <row r="559" ht="15.75" customHeight="1">
      <c r="C559" s="60"/>
    </row>
    <row r="560" ht="15.75" customHeight="1">
      <c r="C560" s="60"/>
    </row>
    <row r="561" ht="15.75" customHeight="1">
      <c r="C561" s="60"/>
    </row>
    <row r="562" ht="15.75" customHeight="1">
      <c r="C562" s="60"/>
    </row>
    <row r="563" ht="15.75" customHeight="1">
      <c r="C563" s="60"/>
    </row>
    <row r="564" ht="15.75" customHeight="1">
      <c r="C564" s="60"/>
    </row>
    <row r="565" ht="15.75" customHeight="1">
      <c r="C565" s="60"/>
    </row>
    <row r="566" ht="15.75" customHeight="1">
      <c r="C566" s="60"/>
    </row>
    <row r="567" ht="15.75" customHeight="1">
      <c r="C567" s="60"/>
    </row>
    <row r="568" ht="15.75" customHeight="1">
      <c r="C568" s="60"/>
    </row>
    <row r="569" ht="15.75" customHeight="1">
      <c r="C569" s="60"/>
    </row>
    <row r="570" ht="15.75" customHeight="1">
      <c r="C570" s="60"/>
    </row>
    <row r="571" ht="15.75" customHeight="1">
      <c r="C571" s="60"/>
    </row>
    <row r="572" ht="15.75" customHeight="1">
      <c r="C572" s="60"/>
    </row>
    <row r="573" ht="15.75" customHeight="1">
      <c r="C573" s="60"/>
    </row>
    <row r="574" ht="15.75" customHeight="1">
      <c r="C574" s="60"/>
    </row>
    <row r="575" ht="15.75" customHeight="1">
      <c r="C575" s="60"/>
    </row>
    <row r="576" ht="15.75" customHeight="1">
      <c r="C576" s="60"/>
    </row>
    <row r="577" ht="15.75" customHeight="1">
      <c r="C577" s="60"/>
    </row>
    <row r="578" ht="15.75" customHeight="1">
      <c r="C578" s="60"/>
    </row>
    <row r="579" ht="15.75" customHeight="1">
      <c r="C579" s="60"/>
    </row>
    <row r="580" ht="15.75" customHeight="1">
      <c r="C580" s="60"/>
    </row>
    <row r="581" ht="15.75" customHeight="1">
      <c r="C581" s="60"/>
    </row>
    <row r="582" ht="15.75" customHeight="1">
      <c r="C582" s="60"/>
    </row>
    <row r="583" ht="15.75" customHeight="1">
      <c r="C583" s="60"/>
    </row>
    <row r="584" ht="15.75" customHeight="1">
      <c r="C584" s="60"/>
    </row>
    <row r="585" ht="15.75" customHeight="1">
      <c r="C585" s="60"/>
    </row>
    <row r="586" ht="15.75" customHeight="1">
      <c r="C586" s="60"/>
    </row>
    <row r="587" ht="15.75" customHeight="1">
      <c r="C587" s="60"/>
    </row>
    <row r="588" ht="15.75" customHeight="1">
      <c r="C588" s="60"/>
    </row>
    <row r="589" ht="15.75" customHeight="1">
      <c r="C589" s="60"/>
    </row>
    <row r="590" ht="15.75" customHeight="1">
      <c r="C590" s="60"/>
    </row>
    <row r="591" ht="15.75" customHeight="1">
      <c r="C591" s="60"/>
    </row>
    <row r="592" ht="15.75" customHeight="1">
      <c r="C592" s="60"/>
    </row>
    <row r="593" ht="15.75" customHeight="1">
      <c r="C593" s="60"/>
    </row>
    <row r="594" ht="15.75" customHeight="1">
      <c r="C594" s="60"/>
    </row>
    <row r="595" ht="15.75" customHeight="1">
      <c r="C595" s="60"/>
    </row>
    <row r="596" ht="15.75" customHeight="1">
      <c r="C596" s="60"/>
    </row>
    <row r="597" ht="15.75" customHeight="1">
      <c r="C597" s="60"/>
    </row>
    <row r="598" ht="15.75" customHeight="1">
      <c r="C598" s="60"/>
    </row>
    <row r="599" ht="15.75" customHeight="1">
      <c r="C599" s="60"/>
    </row>
    <row r="600" ht="15.75" customHeight="1">
      <c r="C600" s="60"/>
    </row>
    <row r="601" ht="15.75" customHeight="1">
      <c r="C601" s="60"/>
    </row>
    <row r="602" ht="15.75" customHeight="1">
      <c r="C602" s="60"/>
    </row>
    <row r="603" ht="15.75" customHeight="1">
      <c r="C603" s="60"/>
    </row>
    <row r="604" ht="15.75" customHeight="1">
      <c r="C604" s="60"/>
    </row>
    <row r="605" ht="15.75" customHeight="1">
      <c r="C605" s="60"/>
    </row>
    <row r="606" ht="15.75" customHeight="1">
      <c r="C606" s="60"/>
    </row>
    <row r="607" ht="15.75" customHeight="1">
      <c r="C607" s="60"/>
    </row>
    <row r="608" ht="15.75" customHeight="1">
      <c r="C608" s="60"/>
    </row>
    <row r="609" ht="15.75" customHeight="1">
      <c r="C609" s="60"/>
    </row>
    <row r="610" ht="15.75" customHeight="1">
      <c r="C610" s="60"/>
    </row>
    <row r="611" ht="15.75" customHeight="1">
      <c r="C611" s="60"/>
    </row>
    <row r="612" ht="15.75" customHeight="1">
      <c r="C612" s="60"/>
    </row>
    <row r="613" ht="15.75" customHeight="1">
      <c r="C613" s="60"/>
    </row>
    <row r="614" ht="15.75" customHeight="1">
      <c r="C614" s="60"/>
    </row>
    <row r="615" ht="15.75" customHeight="1">
      <c r="C615" s="60"/>
    </row>
    <row r="616" ht="15.75" customHeight="1">
      <c r="C616" s="60"/>
    </row>
    <row r="617" ht="15.75" customHeight="1">
      <c r="C617" s="60"/>
    </row>
    <row r="618" ht="15.75" customHeight="1">
      <c r="C618" s="60"/>
    </row>
    <row r="619" ht="15.75" customHeight="1">
      <c r="C619" s="60"/>
    </row>
    <row r="620" ht="15.75" customHeight="1">
      <c r="C620" s="60"/>
    </row>
    <row r="621" ht="15.75" customHeight="1">
      <c r="C621" s="60"/>
    </row>
    <row r="622" ht="15.75" customHeight="1">
      <c r="C622" s="60"/>
    </row>
    <row r="623" ht="15.75" customHeight="1">
      <c r="C623" s="60"/>
    </row>
    <row r="624" ht="15.75" customHeight="1">
      <c r="C624" s="60"/>
    </row>
    <row r="625" ht="15.75" customHeight="1">
      <c r="C625" s="60"/>
    </row>
    <row r="626" ht="15.75" customHeight="1">
      <c r="C626" s="60"/>
    </row>
    <row r="627" ht="15.75" customHeight="1">
      <c r="C627" s="60"/>
    </row>
    <row r="628" ht="15.75" customHeight="1">
      <c r="C628" s="60"/>
    </row>
    <row r="629" ht="15.75" customHeight="1">
      <c r="C629" s="60"/>
    </row>
    <row r="630" ht="15.75" customHeight="1">
      <c r="C630" s="60"/>
    </row>
    <row r="631" ht="15.75" customHeight="1">
      <c r="C631" s="60"/>
    </row>
    <row r="632" ht="15.75" customHeight="1">
      <c r="C632" s="60"/>
    </row>
    <row r="633" ht="15.75" customHeight="1">
      <c r="C633" s="60"/>
    </row>
    <row r="634" ht="15.75" customHeight="1">
      <c r="C634" s="60"/>
    </row>
    <row r="635" ht="15.75" customHeight="1">
      <c r="C635" s="60"/>
    </row>
    <row r="636" ht="15.75" customHeight="1">
      <c r="C636" s="60"/>
    </row>
    <row r="637" ht="15.75" customHeight="1">
      <c r="C637" s="60"/>
    </row>
    <row r="638" ht="15.75" customHeight="1">
      <c r="C638" s="60"/>
    </row>
    <row r="639" ht="15.75" customHeight="1">
      <c r="C639" s="60"/>
    </row>
    <row r="640" ht="15.75" customHeight="1">
      <c r="C640" s="60"/>
    </row>
    <row r="641" ht="15.75" customHeight="1">
      <c r="C641" s="60"/>
    </row>
    <row r="642" ht="15.75" customHeight="1">
      <c r="C642" s="60"/>
    </row>
    <row r="643" ht="15.75" customHeight="1">
      <c r="C643" s="60"/>
    </row>
    <row r="644" ht="15.75" customHeight="1">
      <c r="C644" s="60"/>
    </row>
    <row r="645" ht="15.75" customHeight="1">
      <c r="C645" s="60"/>
    </row>
    <row r="646" ht="15.75" customHeight="1">
      <c r="C646" s="60"/>
    </row>
    <row r="647" ht="15.75" customHeight="1">
      <c r="C647" s="60"/>
    </row>
    <row r="648" ht="15.75" customHeight="1">
      <c r="C648" s="60"/>
    </row>
    <row r="649" ht="15.75" customHeight="1">
      <c r="C649" s="60"/>
    </row>
    <row r="650" ht="15.75" customHeight="1">
      <c r="C650" s="60"/>
    </row>
    <row r="651" ht="15.75" customHeight="1">
      <c r="C651" s="60"/>
    </row>
    <row r="652" ht="15.75" customHeight="1">
      <c r="C652" s="60"/>
    </row>
    <row r="653" ht="15.75" customHeight="1">
      <c r="C653" s="60"/>
    </row>
    <row r="654" ht="15.75" customHeight="1">
      <c r="C654" s="60"/>
    </row>
    <row r="655" ht="15.75" customHeight="1">
      <c r="C655" s="60"/>
    </row>
    <row r="656" ht="15.75" customHeight="1">
      <c r="C656" s="60"/>
    </row>
    <row r="657" ht="15.75" customHeight="1">
      <c r="C657" s="60"/>
    </row>
    <row r="658" ht="15.75" customHeight="1">
      <c r="C658" s="60"/>
    </row>
    <row r="659" ht="15.75" customHeight="1">
      <c r="C659" s="60"/>
    </row>
    <row r="660" ht="15.75" customHeight="1">
      <c r="C660" s="60"/>
    </row>
    <row r="661" ht="15.75" customHeight="1">
      <c r="C661" s="60"/>
    </row>
    <row r="662" ht="15.75" customHeight="1">
      <c r="C662" s="60"/>
    </row>
    <row r="663" ht="15.75" customHeight="1">
      <c r="C663" s="60"/>
    </row>
    <row r="664" ht="15.75" customHeight="1">
      <c r="C664" s="60"/>
    </row>
    <row r="665" ht="15.75" customHeight="1">
      <c r="C665" s="60"/>
    </row>
    <row r="666" ht="15.75" customHeight="1">
      <c r="C666" s="60"/>
    </row>
    <row r="667" ht="15.75" customHeight="1">
      <c r="C667" s="60"/>
    </row>
    <row r="668" ht="15.75" customHeight="1">
      <c r="C668" s="60"/>
    </row>
    <row r="669" ht="15.75" customHeight="1">
      <c r="C669" s="60"/>
    </row>
    <row r="670" ht="15.75" customHeight="1">
      <c r="C670" s="60"/>
    </row>
    <row r="671" ht="15.75" customHeight="1">
      <c r="C671" s="60"/>
    </row>
    <row r="672" ht="15.75" customHeight="1">
      <c r="C672" s="60"/>
    </row>
    <row r="673" ht="15.75" customHeight="1">
      <c r="C673" s="60"/>
    </row>
    <row r="674" ht="15.75" customHeight="1">
      <c r="C674" s="60"/>
    </row>
    <row r="675" ht="15.75" customHeight="1">
      <c r="C675" s="60"/>
    </row>
    <row r="676" ht="15.75" customHeight="1">
      <c r="C676" s="60"/>
    </row>
    <row r="677" ht="15.75" customHeight="1">
      <c r="C677" s="60"/>
    </row>
    <row r="678" ht="15.75" customHeight="1">
      <c r="C678" s="60"/>
    </row>
    <row r="679" ht="15.75" customHeight="1">
      <c r="C679" s="60"/>
    </row>
    <row r="680" ht="15.75" customHeight="1">
      <c r="C680" s="60"/>
    </row>
    <row r="681" ht="15.75" customHeight="1">
      <c r="C681" s="60"/>
    </row>
    <row r="682" ht="15.75" customHeight="1">
      <c r="C682" s="60"/>
    </row>
    <row r="683" ht="15.75" customHeight="1">
      <c r="C683" s="60"/>
    </row>
    <row r="684" ht="15.75" customHeight="1">
      <c r="C684" s="60"/>
    </row>
    <row r="685" ht="15.75" customHeight="1">
      <c r="C685" s="60"/>
    </row>
    <row r="686" ht="15.75" customHeight="1">
      <c r="C686" s="60"/>
    </row>
    <row r="687" ht="15.75" customHeight="1">
      <c r="C687" s="60"/>
    </row>
    <row r="688" ht="15.75" customHeight="1">
      <c r="C688" s="60"/>
    </row>
    <row r="689" ht="15.75" customHeight="1">
      <c r="C689" s="60"/>
    </row>
    <row r="690" ht="15.75" customHeight="1">
      <c r="C690" s="60"/>
    </row>
    <row r="691" ht="15.75" customHeight="1">
      <c r="C691" s="60"/>
    </row>
    <row r="692" ht="15.75" customHeight="1">
      <c r="C692" s="60"/>
    </row>
    <row r="693" ht="15.75" customHeight="1">
      <c r="C693" s="60"/>
    </row>
    <row r="694" ht="15.75" customHeight="1">
      <c r="C694" s="60"/>
    </row>
    <row r="695" ht="15.75" customHeight="1">
      <c r="C695" s="60"/>
    </row>
    <row r="696" ht="15.75" customHeight="1">
      <c r="C696" s="60"/>
    </row>
    <row r="697" ht="15.75" customHeight="1">
      <c r="C697" s="60"/>
    </row>
    <row r="698" ht="15.75" customHeight="1">
      <c r="C698" s="60"/>
    </row>
    <row r="699" ht="15.75" customHeight="1">
      <c r="C699" s="60"/>
    </row>
    <row r="700" ht="15.75" customHeight="1">
      <c r="C700" s="60"/>
    </row>
    <row r="701" ht="15.75" customHeight="1">
      <c r="C701" s="60"/>
    </row>
    <row r="702" ht="15.75" customHeight="1">
      <c r="C702" s="60"/>
    </row>
    <row r="703" ht="15.75" customHeight="1">
      <c r="C703" s="60"/>
    </row>
    <row r="704" ht="15.75" customHeight="1">
      <c r="C704" s="60"/>
    </row>
    <row r="705" ht="15.75" customHeight="1">
      <c r="C705" s="60"/>
    </row>
    <row r="706" ht="15.75" customHeight="1">
      <c r="C706" s="60"/>
    </row>
    <row r="707" ht="15.75" customHeight="1">
      <c r="C707" s="60"/>
    </row>
    <row r="708" ht="15.75" customHeight="1">
      <c r="C708" s="60"/>
    </row>
    <row r="709" ht="15.75" customHeight="1">
      <c r="C709" s="60"/>
    </row>
    <row r="710" ht="15.75" customHeight="1">
      <c r="C710" s="60"/>
    </row>
    <row r="711" ht="15.75" customHeight="1">
      <c r="C711" s="60"/>
    </row>
    <row r="712" ht="15.75" customHeight="1">
      <c r="C712" s="60"/>
    </row>
    <row r="713" ht="15.75" customHeight="1">
      <c r="C713" s="60"/>
    </row>
    <row r="714" ht="15.75" customHeight="1">
      <c r="C714" s="60"/>
    </row>
    <row r="715" ht="15.75" customHeight="1">
      <c r="C715" s="60"/>
    </row>
    <row r="716" ht="15.75" customHeight="1">
      <c r="C716" s="60"/>
    </row>
    <row r="717" ht="15.75" customHeight="1">
      <c r="C717" s="60"/>
    </row>
    <row r="718" ht="15.75" customHeight="1">
      <c r="C718" s="60"/>
    </row>
    <row r="719" ht="15.75" customHeight="1">
      <c r="C719" s="60"/>
    </row>
    <row r="720" ht="15.75" customHeight="1">
      <c r="C720" s="60"/>
    </row>
    <row r="721" ht="15.75" customHeight="1">
      <c r="C721" s="60"/>
    </row>
    <row r="722" ht="15.75" customHeight="1">
      <c r="C722" s="60"/>
    </row>
    <row r="723" ht="15.75" customHeight="1">
      <c r="C723" s="60"/>
    </row>
    <row r="724" ht="15.75" customHeight="1">
      <c r="C724" s="60"/>
    </row>
    <row r="725" ht="15.75" customHeight="1">
      <c r="C725" s="60"/>
    </row>
    <row r="726" ht="15.75" customHeight="1">
      <c r="C726" s="60"/>
    </row>
    <row r="727" ht="15.75" customHeight="1">
      <c r="C727" s="60"/>
    </row>
    <row r="728" ht="15.75" customHeight="1">
      <c r="C728" s="60"/>
    </row>
    <row r="729" ht="15.75" customHeight="1">
      <c r="C729" s="60"/>
    </row>
    <row r="730" ht="15.75" customHeight="1">
      <c r="C730" s="60"/>
    </row>
    <row r="731" ht="15.75" customHeight="1">
      <c r="C731" s="60"/>
    </row>
    <row r="732" ht="15.75" customHeight="1">
      <c r="C732" s="60"/>
    </row>
    <row r="733" ht="15.75" customHeight="1">
      <c r="C733" s="60"/>
    </row>
    <row r="734" ht="15.75" customHeight="1">
      <c r="C734" s="60"/>
    </row>
    <row r="735" ht="15.75" customHeight="1">
      <c r="C735" s="60"/>
    </row>
    <row r="736" ht="15.75" customHeight="1">
      <c r="C736" s="60"/>
    </row>
    <row r="737" ht="15.75" customHeight="1">
      <c r="C737" s="60"/>
    </row>
    <row r="738" ht="15.75" customHeight="1">
      <c r="C738" s="60"/>
    </row>
    <row r="739" ht="15.75" customHeight="1">
      <c r="C739" s="60"/>
    </row>
    <row r="740" ht="15.75" customHeight="1">
      <c r="C740" s="60"/>
    </row>
    <row r="741" ht="15.75" customHeight="1">
      <c r="C741" s="60"/>
    </row>
    <row r="742" ht="15.75" customHeight="1">
      <c r="C742" s="60"/>
    </row>
    <row r="743" ht="15.75" customHeight="1">
      <c r="C743" s="60"/>
    </row>
    <row r="744" ht="15.75" customHeight="1">
      <c r="C744" s="60"/>
    </row>
    <row r="745" ht="15.75" customHeight="1">
      <c r="C745" s="60"/>
    </row>
    <row r="746" ht="15.75" customHeight="1">
      <c r="C746" s="60"/>
    </row>
    <row r="747" ht="15.75" customHeight="1">
      <c r="C747" s="60"/>
    </row>
    <row r="748" ht="15.75" customHeight="1">
      <c r="C748" s="60"/>
    </row>
    <row r="749" ht="15.75" customHeight="1">
      <c r="C749" s="60"/>
    </row>
    <row r="750" ht="15.75" customHeight="1">
      <c r="C750" s="60"/>
    </row>
    <row r="751" ht="15.75" customHeight="1">
      <c r="C751" s="60"/>
    </row>
    <row r="752" ht="15.75" customHeight="1">
      <c r="C752" s="60"/>
    </row>
    <row r="753" ht="15.75" customHeight="1">
      <c r="C753" s="60"/>
    </row>
    <row r="754" ht="15.75" customHeight="1">
      <c r="C754" s="60"/>
    </row>
    <row r="755" ht="15.75" customHeight="1">
      <c r="C755" s="60"/>
    </row>
    <row r="756" ht="15.75" customHeight="1">
      <c r="C756" s="60"/>
    </row>
    <row r="757" ht="15.75" customHeight="1">
      <c r="C757" s="60"/>
    </row>
    <row r="758" ht="15.75" customHeight="1">
      <c r="C758" s="60"/>
    </row>
    <row r="759" ht="15.75" customHeight="1">
      <c r="C759" s="60"/>
    </row>
    <row r="760" ht="15.75" customHeight="1">
      <c r="C760" s="60"/>
    </row>
    <row r="761" ht="15.75" customHeight="1">
      <c r="C761" s="60"/>
    </row>
    <row r="762" ht="15.75" customHeight="1">
      <c r="C762" s="60"/>
    </row>
    <row r="763" ht="15.75" customHeight="1">
      <c r="C763" s="60"/>
    </row>
    <row r="764" ht="15.75" customHeight="1">
      <c r="C764" s="60"/>
    </row>
    <row r="765" ht="15.75" customHeight="1">
      <c r="C765" s="60"/>
    </row>
    <row r="766" ht="15.75" customHeight="1">
      <c r="C766" s="60"/>
    </row>
    <row r="767" ht="15.75" customHeight="1">
      <c r="C767" s="60"/>
    </row>
    <row r="768" ht="15.75" customHeight="1">
      <c r="C768" s="60"/>
    </row>
    <row r="769" ht="15.75" customHeight="1">
      <c r="C769" s="60"/>
    </row>
    <row r="770" ht="15.75" customHeight="1">
      <c r="C770" s="60"/>
    </row>
    <row r="771" ht="15.75" customHeight="1">
      <c r="C771" s="60"/>
    </row>
    <row r="772" ht="15.75" customHeight="1">
      <c r="C772" s="60"/>
    </row>
    <row r="773" ht="15.75" customHeight="1">
      <c r="C773" s="60"/>
    </row>
    <row r="774" ht="15.75" customHeight="1">
      <c r="C774" s="60"/>
    </row>
    <row r="775" ht="15.75" customHeight="1">
      <c r="C775" s="60"/>
    </row>
    <row r="776" ht="15.75" customHeight="1">
      <c r="C776" s="60"/>
    </row>
    <row r="777" ht="15.75" customHeight="1">
      <c r="C777" s="60"/>
    </row>
    <row r="778" ht="15.75" customHeight="1">
      <c r="C778" s="60"/>
    </row>
    <row r="779" ht="15.75" customHeight="1">
      <c r="C779" s="60"/>
    </row>
    <row r="780" ht="15.75" customHeight="1">
      <c r="C780" s="60"/>
    </row>
    <row r="781" ht="15.75" customHeight="1">
      <c r="C781" s="60"/>
    </row>
    <row r="782" ht="15.75" customHeight="1">
      <c r="C782" s="60"/>
    </row>
    <row r="783" ht="15.75" customHeight="1">
      <c r="C783" s="60"/>
    </row>
    <row r="784" ht="15.75" customHeight="1">
      <c r="C784" s="60"/>
    </row>
    <row r="785" ht="15.75" customHeight="1">
      <c r="C785" s="60"/>
    </row>
    <row r="786" ht="15.75" customHeight="1">
      <c r="C786" s="60"/>
    </row>
    <row r="787" ht="15.75" customHeight="1">
      <c r="C787" s="60"/>
    </row>
    <row r="788" ht="15.75" customHeight="1">
      <c r="C788" s="60"/>
    </row>
    <row r="789" ht="15.75" customHeight="1">
      <c r="C789" s="60"/>
    </row>
    <row r="790" ht="15.75" customHeight="1">
      <c r="C790" s="60"/>
    </row>
    <row r="791" ht="15.75" customHeight="1">
      <c r="C791" s="60"/>
    </row>
    <row r="792" ht="15.75" customHeight="1">
      <c r="C792" s="60"/>
    </row>
    <row r="793" ht="15.75" customHeight="1">
      <c r="C793" s="60"/>
    </row>
    <row r="794" ht="15.75" customHeight="1">
      <c r="C794" s="60"/>
    </row>
    <row r="795" ht="15.75" customHeight="1">
      <c r="C795" s="60"/>
    </row>
    <row r="796" ht="15.75" customHeight="1">
      <c r="C796" s="60"/>
    </row>
    <row r="797" ht="15.75" customHeight="1">
      <c r="C797" s="60"/>
    </row>
    <row r="798" ht="15.75" customHeight="1">
      <c r="C798" s="60"/>
    </row>
    <row r="799" ht="15.75" customHeight="1">
      <c r="C799" s="60"/>
    </row>
    <row r="800" ht="15.75" customHeight="1">
      <c r="C800" s="60"/>
    </row>
    <row r="801" ht="15.75" customHeight="1">
      <c r="C801" s="60"/>
    </row>
    <row r="802" ht="15.75" customHeight="1">
      <c r="C802" s="60"/>
    </row>
    <row r="803" ht="15.75" customHeight="1">
      <c r="C803" s="60"/>
    </row>
    <row r="804" ht="15.75" customHeight="1">
      <c r="C804" s="60"/>
    </row>
    <row r="805" ht="15.75" customHeight="1">
      <c r="C805" s="60"/>
    </row>
    <row r="806" ht="15.75" customHeight="1">
      <c r="C806" s="60"/>
    </row>
    <row r="807" ht="15.75" customHeight="1">
      <c r="C807" s="60"/>
    </row>
    <row r="808" ht="15.75" customHeight="1">
      <c r="C808" s="60"/>
    </row>
    <row r="809" ht="15.75" customHeight="1">
      <c r="C809" s="60"/>
    </row>
    <row r="810" ht="15.75" customHeight="1">
      <c r="C810" s="60"/>
    </row>
    <row r="811" ht="15.75" customHeight="1">
      <c r="C811" s="60"/>
    </row>
    <row r="812" ht="15.75" customHeight="1">
      <c r="C812" s="60"/>
    </row>
    <row r="813" ht="15.75" customHeight="1">
      <c r="C813" s="60"/>
    </row>
    <row r="814" ht="15.75" customHeight="1">
      <c r="C814" s="60"/>
    </row>
    <row r="815" ht="15.75" customHeight="1">
      <c r="C815" s="60"/>
    </row>
    <row r="816" ht="15.75" customHeight="1">
      <c r="C816" s="60"/>
    </row>
    <row r="817" ht="15.75" customHeight="1">
      <c r="C817" s="60"/>
    </row>
    <row r="818" ht="15.75" customHeight="1">
      <c r="C818" s="60"/>
    </row>
    <row r="819" ht="15.75" customHeight="1">
      <c r="C819" s="60"/>
    </row>
    <row r="820" ht="15.75" customHeight="1">
      <c r="C820" s="60"/>
    </row>
    <row r="821" ht="15.75" customHeight="1">
      <c r="C821" s="60"/>
    </row>
    <row r="822" ht="15.75" customHeight="1">
      <c r="C822" s="60"/>
    </row>
    <row r="823" ht="15.75" customHeight="1">
      <c r="C823" s="60"/>
    </row>
    <row r="824" ht="15.75" customHeight="1">
      <c r="C824" s="60"/>
    </row>
    <row r="825" ht="15.75" customHeight="1">
      <c r="C825" s="60"/>
    </row>
    <row r="826" ht="15.75" customHeight="1">
      <c r="C826" s="60"/>
    </row>
    <row r="827" ht="15.75" customHeight="1">
      <c r="C827" s="60"/>
    </row>
    <row r="828" ht="15.75" customHeight="1">
      <c r="C828" s="60"/>
    </row>
    <row r="829" ht="15.75" customHeight="1">
      <c r="C829" s="60"/>
    </row>
    <row r="830" ht="15.75" customHeight="1">
      <c r="C830" s="60"/>
    </row>
    <row r="831" ht="15.75" customHeight="1">
      <c r="C831" s="60"/>
    </row>
    <row r="832" ht="15.75" customHeight="1">
      <c r="C832" s="60"/>
    </row>
    <row r="833" ht="15.75" customHeight="1">
      <c r="C833" s="60"/>
    </row>
    <row r="834" ht="15.75" customHeight="1">
      <c r="C834" s="60"/>
    </row>
    <row r="835" ht="15.75" customHeight="1">
      <c r="C835" s="60"/>
    </row>
    <row r="836" ht="15.75" customHeight="1">
      <c r="C836" s="60"/>
    </row>
    <row r="837" ht="15.75" customHeight="1">
      <c r="C837" s="60"/>
    </row>
    <row r="838" ht="15.75" customHeight="1">
      <c r="C838" s="60"/>
    </row>
    <row r="839" ht="15.75" customHeight="1">
      <c r="C839" s="60"/>
    </row>
    <row r="840" ht="15.75" customHeight="1">
      <c r="C840" s="60"/>
    </row>
    <row r="841" ht="15.75" customHeight="1">
      <c r="C841" s="60"/>
    </row>
    <row r="842" ht="15.75" customHeight="1">
      <c r="C842" s="60"/>
    </row>
    <row r="843" ht="15.75" customHeight="1">
      <c r="C843" s="60"/>
    </row>
    <row r="844" ht="15.75" customHeight="1">
      <c r="C844" s="60"/>
    </row>
    <row r="845" ht="15.75" customHeight="1">
      <c r="C845" s="60"/>
    </row>
    <row r="846" ht="15.75" customHeight="1">
      <c r="C846" s="60"/>
    </row>
    <row r="847" ht="15.75" customHeight="1">
      <c r="C847" s="60"/>
    </row>
    <row r="848" ht="15.75" customHeight="1">
      <c r="C848" s="60"/>
    </row>
    <row r="849" ht="15.75" customHeight="1">
      <c r="C849" s="60"/>
    </row>
    <row r="850" ht="15.75" customHeight="1">
      <c r="C850" s="60"/>
    </row>
    <row r="851" ht="15.75" customHeight="1">
      <c r="C851" s="60"/>
    </row>
    <row r="852" ht="15.75" customHeight="1">
      <c r="C852" s="60"/>
    </row>
    <row r="853" ht="15.75" customHeight="1">
      <c r="C853" s="60"/>
    </row>
    <row r="854" ht="15.75" customHeight="1">
      <c r="C854" s="60"/>
    </row>
    <row r="855" ht="15.75" customHeight="1">
      <c r="C855" s="60"/>
    </row>
    <row r="856" ht="15.75" customHeight="1">
      <c r="C856" s="60"/>
    </row>
    <row r="857" ht="15.75" customHeight="1">
      <c r="C857" s="60"/>
    </row>
    <row r="858" ht="15.75" customHeight="1">
      <c r="C858" s="60"/>
    </row>
    <row r="859" ht="15.75" customHeight="1">
      <c r="C859" s="60"/>
    </row>
    <row r="860" ht="15.75" customHeight="1">
      <c r="C860" s="60"/>
    </row>
    <row r="861" ht="15.75" customHeight="1">
      <c r="C861" s="60"/>
    </row>
    <row r="862" ht="15.75" customHeight="1">
      <c r="C862" s="60"/>
    </row>
    <row r="863" ht="15.75" customHeight="1">
      <c r="C863" s="60"/>
    </row>
    <row r="864" ht="15.75" customHeight="1">
      <c r="C864" s="60"/>
    </row>
    <row r="865" ht="15.75" customHeight="1">
      <c r="C865" s="60"/>
    </row>
    <row r="866" ht="15.75" customHeight="1">
      <c r="C866" s="60"/>
    </row>
    <row r="867" ht="15.75" customHeight="1">
      <c r="C867" s="60"/>
    </row>
    <row r="868" ht="15.75" customHeight="1">
      <c r="C868" s="60"/>
    </row>
    <row r="869" ht="15.75" customHeight="1">
      <c r="C869" s="60"/>
    </row>
    <row r="870" ht="15.75" customHeight="1">
      <c r="C870" s="60"/>
    </row>
    <row r="871" ht="15.75" customHeight="1">
      <c r="C871" s="60"/>
    </row>
    <row r="872" ht="15.75" customHeight="1">
      <c r="C872" s="60"/>
    </row>
    <row r="873" ht="15.75" customHeight="1">
      <c r="C873" s="60"/>
    </row>
    <row r="874" ht="15.75" customHeight="1">
      <c r="C874" s="60"/>
    </row>
    <row r="875" ht="15.75" customHeight="1">
      <c r="C875" s="60"/>
    </row>
    <row r="876" ht="15.75" customHeight="1">
      <c r="C876" s="60"/>
    </row>
    <row r="877" ht="15.75" customHeight="1">
      <c r="C877" s="60"/>
    </row>
    <row r="878" ht="15.75" customHeight="1">
      <c r="C878" s="60"/>
    </row>
    <row r="879" ht="15.75" customHeight="1">
      <c r="C879" s="60"/>
    </row>
    <row r="880" ht="15.75" customHeight="1">
      <c r="C880" s="60"/>
    </row>
    <row r="881" ht="15.75" customHeight="1">
      <c r="C881" s="60"/>
    </row>
    <row r="882" ht="15.75" customHeight="1">
      <c r="C882" s="60"/>
    </row>
    <row r="883" ht="15.75" customHeight="1">
      <c r="C883" s="60"/>
    </row>
    <row r="884" ht="15.75" customHeight="1">
      <c r="C884" s="60"/>
    </row>
    <row r="885" ht="15.75" customHeight="1">
      <c r="C885" s="60"/>
    </row>
    <row r="886" ht="15.75" customHeight="1">
      <c r="C886" s="60"/>
    </row>
    <row r="887" ht="15.75" customHeight="1">
      <c r="C887" s="60"/>
    </row>
    <row r="888" ht="15.75" customHeight="1">
      <c r="C888" s="60"/>
    </row>
    <row r="889" ht="15.75" customHeight="1">
      <c r="C889" s="60"/>
    </row>
    <row r="890" ht="15.75" customHeight="1">
      <c r="C890" s="60"/>
    </row>
    <row r="891" ht="15.75" customHeight="1">
      <c r="C891" s="60"/>
    </row>
    <row r="892" ht="15.75" customHeight="1">
      <c r="C892" s="60"/>
    </row>
    <row r="893" ht="15.75" customHeight="1">
      <c r="C893" s="60"/>
    </row>
    <row r="894" ht="15.75" customHeight="1">
      <c r="C894" s="60"/>
    </row>
    <row r="895" ht="15.75" customHeight="1">
      <c r="C895" s="60"/>
    </row>
    <row r="896" ht="15.75" customHeight="1">
      <c r="C896" s="60"/>
    </row>
    <row r="897" ht="15.75" customHeight="1">
      <c r="C897" s="60"/>
    </row>
    <row r="898" ht="15.75" customHeight="1">
      <c r="C898" s="60"/>
    </row>
    <row r="899" ht="15.75" customHeight="1">
      <c r="C899" s="60"/>
    </row>
    <row r="900" ht="15.75" customHeight="1">
      <c r="C900" s="60"/>
    </row>
    <row r="901" ht="15.75" customHeight="1">
      <c r="C901" s="60"/>
    </row>
    <row r="902" ht="15.75" customHeight="1">
      <c r="C902" s="60"/>
    </row>
    <row r="903" ht="15.75" customHeight="1">
      <c r="C903" s="60"/>
    </row>
    <row r="904" ht="15.75" customHeight="1">
      <c r="C904" s="60"/>
    </row>
    <row r="905" ht="15.75" customHeight="1">
      <c r="C905" s="60"/>
    </row>
    <row r="906" ht="15.75" customHeight="1">
      <c r="C906" s="60"/>
    </row>
    <row r="907" ht="15.75" customHeight="1">
      <c r="C907" s="60"/>
    </row>
    <row r="908" ht="15.75" customHeight="1">
      <c r="C908" s="60"/>
    </row>
    <row r="909" ht="15.75" customHeight="1">
      <c r="C909" s="60"/>
    </row>
    <row r="910" ht="15.75" customHeight="1">
      <c r="C910" s="60"/>
    </row>
    <row r="911" ht="15.75" customHeight="1">
      <c r="C911" s="60"/>
    </row>
    <row r="912" ht="15.75" customHeight="1">
      <c r="C912" s="60"/>
    </row>
    <row r="913" ht="15.75" customHeight="1">
      <c r="C913" s="60"/>
    </row>
    <row r="914" ht="15.75" customHeight="1">
      <c r="C914" s="60"/>
    </row>
    <row r="915" ht="15.75" customHeight="1">
      <c r="C915" s="60"/>
    </row>
    <row r="916" ht="15.75" customHeight="1">
      <c r="C916" s="60"/>
    </row>
    <row r="917" ht="15.75" customHeight="1">
      <c r="C917" s="60"/>
    </row>
    <row r="918" ht="15.75" customHeight="1">
      <c r="C918" s="60"/>
    </row>
    <row r="919" ht="15.75" customHeight="1">
      <c r="C919" s="60"/>
    </row>
    <row r="920" ht="15.75" customHeight="1">
      <c r="C920" s="60"/>
    </row>
    <row r="921" ht="15.75" customHeight="1">
      <c r="C921" s="60"/>
    </row>
    <row r="922" ht="15.75" customHeight="1">
      <c r="C922" s="60"/>
    </row>
    <row r="923" ht="15.75" customHeight="1">
      <c r="C923" s="60"/>
    </row>
    <row r="924" ht="15.75" customHeight="1">
      <c r="C924" s="60"/>
    </row>
    <row r="925" ht="15.75" customHeight="1">
      <c r="C925" s="60"/>
    </row>
    <row r="926" ht="15.75" customHeight="1">
      <c r="C926" s="60"/>
    </row>
    <row r="927" ht="15.75" customHeight="1">
      <c r="C927" s="60"/>
    </row>
    <row r="928" ht="15.75" customHeight="1">
      <c r="C928" s="60"/>
    </row>
    <row r="929" ht="15.75" customHeight="1">
      <c r="C929" s="60"/>
    </row>
    <row r="930" ht="15.75" customHeight="1">
      <c r="C930" s="60"/>
    </row>
    <row r="931" ht="15.75" customHeight="1">
      <c r="C931" s="60"/>
    </row>
    <row r="932" ht="15.75" customHeight="1">
      <c r="C932" s="60"/>
    </row>
    <row r="933" ht="15.75" customHeight="1">
      <c r="C933" s="60"/>
    </row>
    <row r="934" ht="15.75" customHeight="1">
      <c r="C934" s="60"/>
    </row>
    <row r="935" ht="15.75" customHeight="1">
      <c r="C935" s="60"/>
    </row>
    <row r="936" ht="15.75" customHeight="1">
      <c r="C936" s="60"/>
    </row>
    <row r="937" ht="15.75" customHeight="1">
      <c r="C937" s="60"/>
    </row>
    <row r="938" ht="15.75" customHeight="1">
      <c r="C938" s="60"/>
    </row>
    <row r="939" ht="15.75" customHeight="1">
      <c r="C939" s="60"/>
    </row>
    <row r="940" ht="15.75" customHeight="1">
      <c r="C940" s="60"/>
    </row>
    <row r="941" ht="15.75" customHeight="1">
      <c r="C941" s="60"/>
    </row>
    <row r="942" ht="15.75" customHeight="1">
      <c r="C942" s="60"/>
    </row>
    <row r="943" ht="15.75" customHeight="1">
      <c r="C943" s="60"/>
    </row>
    <row r="944" ht="15.75" customHeight="1">
      <c r="C944" s="60"/>
    </row>
    <row r="945" ht="15.75" customHeight="1">
      <c r="C945" s="60"/>
    </row>
    <row r="946" ht="15.75" customHeight="1">
      <c r="C946" s="60"/>
    </row>
    <row r="947" ht="15.75" customHeight="1">
      <c r="C947" s="60"/>
    </row>
    <row r="948" ht="15.75" customHeight="1">
      <c r="C948" s="60"/>
    </row>
    <row r="949" ht="15.75" customHeight="1">
      <c r="C949" s="60"/>
    </row>
    <row r="950" ht="15.75" customHeight="1">
      <c r="C950" s="60"/>
    </row>
    <row r="951" ht="15.75" customHeight="1">
      <c r="C951" s="60"/>
    </row>
    <row r="952" ht="15.75" customHeight="1">
      <c r="C952" s="60"/>
    </row>
    <row r="953" ht="15.75" customHeight="1">
      <c r="C953" s="60"/>
    </row>
    <row r="954" ht="15.75" customHeight="1">
      <c r="C954" s="60"/>
    </row>
    <row r="955" ht="15.75" customHeight="1">
      <c r="C955" s="60"/>
    </row>
    <row r="956" ht="15.75" customHeight="1">
      <c r="C956" s="60"/>
    </row>
    <row r="957" ht="15.75" customHeight="1">
      <c r="C957" s="60"/>
    </row>
    <row r="958" ht="15.75" customHeight="1">
      <c r="C958" s="60"/>
    </row>
    <row r="959" ht="15.75" customHeight="1">
      <c r="C959" s="60"/>
    </row>
    <row r="960" ht="15.75" customHeight="1">
      <c r="C960" s="60"/>
    </row>
    <row r="961" ht="15.75" customHeight="1">
      <c r="C961" s="60"/>
    </row>
    <row r="962" ht="15.75" customHeight="1">
      <c r="C962" s="60"/>
    </row>
    <row r="963" ht="15.75" customHeight="1">
      <c r="C963" s="60"/>
    </row>
    <row r="964" ht="15.75" customHeight="1">
      <c r="C964" s="60"/>
    </row>
    <row r="965" ht="15.75" customHeight="1">
      <c r="C965" s="60"/>
    </row>
    <row r="966" ht="15.75" customHeight="1">
      <c r="C966" s="60"/>
    </row>
    <row r="967" ht="15.75" customHeight="1">
      <c r="C967" s="60"/>
    </row>
    <row r="968" ht="15.75" customHeight="1">
      <c r="C968" s="60"/>
    </row>
    <row r="969" ht="15.75" customHeight="1">
      <c r="C969" s="60"/>
    </row>
    <row r="970" ht="15.75" customHeight="1">
      <c r="C970" s="60"/>
    </row>
    <row r="971" ht="15.75" customHeight="1">
      <c r="C971" s="60"/>
    </row>
    <row r="972" ht="15.75" customHeight="1">
      <c r="C972" s="60"/>
    </row>
    <row r="973" ht="15.75" customHeight="1">
      <c r="C973" s="60"/>
    </row>
    <row r="974" ht="15.75" customHeight="1">
      <c r="C974" s="60"/>
    </row>
    <row r="975" ht="15.75" customHeight="1">
      <c r="C975" s="60"/>
    </row>
    <row r="976" ht="15.75" customHeight="1">
      <c r="C976" s="60"/>
    </row>
    <row r="977" ht="15.75" customHeight="1">
      <c r="C977" s="60"/>
    </row>
    <row r="978" ht="15.75" customHeight="1">
      <c r="C978" s="60"/>
    </row>
    <row r="979" ht="15.75" customHeight="1">
      <c r="C979" s="60"/>
    </row>
    <row r="980" ht="15.75" customHeight="1">
      <c r="C980" s="60"/>
    </row>
    <row r="981" ht="15.75" customHeight="1">
      <c r="C981" s="60"/>
    </row>
    <row r="982" ht="15.75" customHeight="1">
      <c r="C982" s="60"/>
    </row>
    <row r="983" ht="15.75" customHeight="1">
      <c r="C983" s="60"/>
    </row>
    <row r="984" ht="15.75" customHeight="1">
      <c r="C984" s="60"/>
    </row>
    <row r="985" ht="15.75" customHeight="1">
      <c r="C985" s="60"/>
    </row>
    <row r="986" ht="15.75" customHeight="1">
      <c r="C986" s="60"/>
    </row>
    <row r="987" ht="15.75" customHeight="1">
      <c r="C987" s="60"/>
    </row>
    <row r="988" ht="15.75" customHeight="1">
      <c r="C988" s="60"/>
    </row>
    <row r="989" ht="15.75" customHeight="1">
      <c r="C989" s="60"/>
    </row>
    <row r="990" ht="15.75" customHeight="1">
      <c r="C990" s="60"/>
    </row>
    <row r="991" ht="15.75" customHeight="1">
      <c r="C991" s="60"/>
    </row>
    <row r="992" ht="15.75" customHeight="1">
      <c r="C992" s="60"/>
    </row>
    <row r="993" ht="15.75" customHeight="1">
      <c r="C993" s="60"/>
    </row>
    <row r="994" ht="15.75" customHeight="1">
      <c r="C994" s="60"/>
    </row>
    <row r="995" ht="15.75" customHeight="1">
      <c r="C995" s="60"/>
    </row>
    <row r="996" ht="15.75" customHeight="1">
      <c r="C996" s="60"/>
    </row>
    <row r="997" ht="15.75" customHeight="1">
      <c r="C997" s="60"/>
    </row>
    <row r="998" ht="15.75" customHeight="1">
      <c r="C998" s="60"/>
    </row>
    <row r="999" ht="15.75" customHeight="1">
      <c r="C999" s="60"/>
    </row>
    <row r="1000" ht="15.75" customHeight="1">
      <c r="C1000" s="60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8.13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64" t="s">
        <v>64</v>
      </c>
    </row>
    <row r="2" ht="15.75" customHeight="1">
      <c r="C2" s="60"/>
    </row>
    <row r="3" ht="15.75" customHeight="1">
      <c r="B3" s="43" t="s">
        <v>1</v>
      </c>
      <c r="C3" s="66" t="s">
        <v>65</v>
      </c>
      <c r="D3" s="73"/>
      <c r="E3" s="73"/>
      <c r="F3" s="73"/>
      <c r="G3" s="73"/>
    </row>
    <row r="4" ht="15.75" customHeight="1">
      <c r="B4" s="43" t="s">
        <v>20</v>
      </c>
      <c r="C4" s="74">
        <f t="array" ref="C4">IFERROR(XLOOKUP(TRIM(C3), Competencias_actuales!L15:L1000, Competencias_actuales!K15:K1000), "Código no encontrado")</f>
        <v>777</v>
      </c>
      <c r="D4" s="73"/>
      <c r="E4" s="73"/>
      <c r="F4" s="73"/>
      <c r="G4" s="73"/>
      <c r="H4" s="75" t="str">
        <f>C4&amp;" - "&amp;C3</f>
        <v>777 - Organización de Lenguajes y Compiladores 1</v>
      </c>
      <c r="I4" s="3"/>
      <c r="J4" s="3"/>
    </row>
    <row r="5" ht="15.75" customHeight="1">
      <c r="C5" s="60"/>
    </row>
    <row r="6" ht="15.75" customHeight="1">
      <c r="B6" s="70" t="s">
        <v>56</v>
      </c>
      <c r="C6" s="71" t="s">
        <v>17</v>
      </c>
      <c r="D6" s="70" t="s">
        <v>52</v>
      </c>
      <c r="E6" s="70" t="s">
        <v>53</v>
      </c>
      <c r="F6" s="72" t="s">
        <v>61</v>
      </c>
      <c r="G6" s="72" t="s">
        <v>62</v>
      </c>
      <c r="H6" s="72" t="s">
        <v>63</v>
      </c>
    </row>
    <row r="7" ht="15.75" customHeight="1">
      <c r="B7" s="41">
        <f>IFERROR(__xludf.DUMMYFUNCTION("QUERY(IMPORTRANGE(VLOOKUP(H4,METADA!A:B,2,FALSE), ""Diseño Curricular!A4:G500""), )"),1.0)</f>
        <v>1</v>
      </c>
      <c r="C7" s="60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7" s="41" t="str">
        <f>IFERROR(__xludf.DUMMYFUNCTION("""COMPUTED_VALUE"""),"Introduccion")</f>
        <v>Introduccion</v>
      </c>
      <c r="E7" s="41" t="str">
        <f>IFERROR(__xludf.DUMMYFUNCTION("""COMPUTED_VALUE"""),"Introducción a la compilación")</f>
        <v>Introducción a la compilación</v>
      </c>
      <c r="F7" s="41" t="str">
        <f>IFERROR(__xludf.DUMMYFUNCTION("""COMPUTED_VALUE"""),"Conceptos generales de compiladores")</f>
        <v>Conceptos generales de compiladores</v>
      </c>
      <c r="G7" s="41" t="str">
        <f>IFERROR(__xludf.DUMMYFUNCTION("""COMPUTED_VALUE"""),"Julio")</f>
        <v>Julio</v>
      </c>
      <c r="H7" s="41">
        <f>IFERROR(__xludf.DUMMYFUNCTION("""COMPUTED_VALUE"""),1.0)</f>
        <v>1</v>
      </c>
    </row>
    <row r="8" ht="15.75" customHeight="1">
      <c r="B8" s="41">
        <f>IFERROR(__xludf.DUMMYFUNCTION("""COMPUTED_VALUE"""),2.0)</f>
        <v>2</v>
      </c>
      <c r="C8" s="60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8" s="41" t="str">
        <f>IFERROR(__xludf.DUMMYFUNCTION("""COMPUTED_VALUE"""),"Introduccion")</f>
        <v>Introduccion</v>
      </c>
      <c r="E8" s="41" t="str">
        <f>IFERROR(__xludf.DUMMYFUNCTION("""COMPUTED_VALUE"""),"Introducción a la compilación")</f>
        <v>Introducción a la compilación</v>
      </c>
      <c r="F8" s="41" t="str">
        <f>IFERROR(__xludf.DUMMYFUNCTION("""COMPUTED_VALUE"""),"Tipos de compiladores")</f>
        <v>Tipos de compiladores</v>
      </c>
      <c r="G8" s="41" t="str">
        <f>IFERROR(__xludf.DUMMYFUNCTION("""COMPUTED_VALUE"""),"Julio")</f>
        <v>Julio</v>
      </c>
      <c r="H8" s="41">
        <f>IFERROR(__xludf.DUMMYFUNCTION("""COMPUTED_VALUE"""),1.0)</f>
        <v>1</v>
      </c>
    </row>
    <row r="9" ht="15.75" customHeight="1">
      <c r="B9" s="41">
        <f>IFERROR(__xludf.DUMMYFUNCTION("""COMPUTED_VALUE"""),3.0)</f>
        <v>3</v>
      </c>
      <c r="C9" s="60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9" s="41" t="str">
        <f>IFERROR(__xludf.DUMMYFUNCTION("""COMPUTED_VALUE"""),"Introduccion")</f>
        <v>Introduccion</v>
      </c>
      <c r="E9" s="41" t="str">
        <f>IFERROR(__xludf.DUMMYFUNCTION("""COMPUTED_VALUE"""),"Introducción a la compilación")</f>
        <v>Introducción a la compilación</v>
      </c>
      <c r="F9" s="41" t="str">
        <f>IFERROR(__xludf.DUMMYFUNCTION("""COMPUTED_VALUE"""),"Fases de Análisis")</f>
        <v>Fases de Análisis</v>
      </c>
      <c r="G9" s="41" t="str">
        <f>IFERROR(__xludf.DUMMYFUNCTION("""COMPUTED_VALUE"""),"Julio")</f>
        <v>Julio</v>
      </c>
      <c r="H9" s="41">
        <f>IFERROR(__xludf.DUMMYFUNCTION("""COMPUTED_VALUE"""),1.0)</f>
        <v>1</v>
      </c>
    </row>
    <row r="10" ht="15.75" customHeight="1">
      <c r="B10" s="41">
        <f>IFERROR(__xludf.DUMMYFUNCTION("""COMPUTED_VALUE"""),4.0)</f>
        <v>4</v>
      </c>
      <c r="C10" s="60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10" s="41" t="str">
        <f>IFERROR(__xludf.DUMMYFUNCTION("""COMPUTED_VALUE"""),"Introduccion")</f>
        <v>Introduccion</v>
      </c>
      <c r="E10" s="41" t="str">
        <f>IFERROR(__xludf.DUMMYFUNCTION("""COMPUTED_VALUE"""),"Introducción a la compilación")</f>
        <v>Introducción a la compilación</v>
      </c>
      <c r="F10" s="41" t="str">
        <f>IFERROR(__xludf.DUMMYFUNCTION("""COMPUTED_VALUE"""),"Fases de Síntesis")</f>
        <v>Fases de Síntesis</v>
      </c>
      <c r="G10" s="41" t="str">
        <f>IFERROR(__xludf.DUMMYFUNCTION("""COMPUTED_VALUE"""),"Julio")</f>
        <v>Julio</v>
      </c>
      <c r="H10" s="41">
        <f>IFERROR(__xludf.DUMMYFUNCTION("""COMPUTED_VALUE"""),1.0)</f>
        <v>1</v>
      </c>
    </row>
    <row r="11" ht="15.75" customHeight="1">
      <c r="B11" s="41">
        <f>IFERROR(__xludf.DUMMYFUNCTION("""COMPUTED_VALUE"""),5.0)</f>
        <v>5</v>
      </c>
      <c r="C11" s="60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11" s="41" t="str">
        <f>IFERROR(__xludf.DUMMYFUNCTION("""COMPUTED_VALUE"""),"Fase de Sintesis en Compiladores")</f>
        <v>Fase de Sintesis en Compiladores</v>
      </c>
      <c r="E11" s="41" t="str">
        <f>IFERROR(__xludf.DUMMYFUNCTION("""COMPUTED_VALUE"""),"Análisis Léxico")</f>
        <v>Análisis Léxico</v>
      </c>
      <c r="F11" s="41" t="str">
        <f>IFERROR(__xludf.DUMMYFUNCTION("""COMPUTED_VALUE"""),"Definición de análisis léxico")</f>
        <v>Definición de análisis léxico</v>
      </c>
      <c r="G11" s="41" t="str">
        <f>IFERROR(__xludf.DUMMYFUNCTION("""COMPUTED_VALUE"""),"Julio")</f>
        <v>Julio</v>
      </c>
      <c r="H11" s="41">
        <f>IFERROR(__xludf.DUMMYFUNCTION("""COMPUTED_VALUE"""),2.0)</f>
        <v>2</v>
      </c>
    </row>
    <row r="12" ht="15.75" customHeight="1">
      <c r="B12" s="41">
        <f>IFERROR(__xludf.DUMMYFUNCTION("""COMPUTED_VALUE"""),6.0)</f>
        <v>6</v>
      </c>
      <c r="C12" s="60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12" s="41" t="str">
        <f>IFERROR(__xludf.DUMMYFUNCTION("""COMPUTED_VALUE"""),"Fase de Sintesis en Compiladores")</f>
        <v>Fase de Sintesis en Compiladores</v>
      </c>
      <c r="E12" s="41" t="str">
        <f>IFERROR(__xludf.DUMMYFUNCTION("""COMPUTED_VALUE"""),"Análisis Léxico")</f>
        <v>Análisis Léxico</v>
      </c>
      <c r="F12" s="41" t="str">
        <f>IFERROR(__xludf.DUMMYFUNCTION("""COMPUTED_VALUE"""),"Componentes del análisis léxico")</f>
        <v>Componentes del análisis léxico</v>
      </c>
      <c r="G12" s="41" t="str">
        <f>IFERROR(__xludf.DUMMYFUNCTION("""COMPUTED_VALUE"""),"Julio")</f>
        <v>Julio</v>
      </c>
      <c r="H12" s="41">
        <f>IFERROR(__xludf.DUMMYFUNCTION("""COMPUTED_VALUE"""),2.0)</f>
        <v>2</v>
      </c>
    </row>
    <row r="13" ht="15.75" customHeight="1">
      <c r="B13" s="41">
        <f>IFERROR(__xludf.DUMMYFUNCTION("""COMPUTED_VALUE"""),7.0)</f>
        <v>7</v>
      </c>
      <c r="C13" s="60" t="str">
        <f>IFERROR(__xludf.DUMMYFUNCTION("""COMPUTED_VALUE"""),"Integra lenguajes y herramientas de programación mediante estrategias de diseño y prueba con pensamiento crítico y visión sistémica ")</f>
        <v>Integra lenguajes y herramientas de programación mediante estrategias de diseño y prueba con pensamiento crítico y visión sistémica </v>
      </c>
      <c r="D13" s="41" t="str">
        <f>IFERROR(__xludf.DUMMYFUNCTION("""COMPUTED_VALUE"""),"Fase de Sintesis en Compiladores")</f>
        <v>Fase de Sintesis en Compiladores</v>
      </c>
      <c r="E13" s="41" t="str">
        <f>IFERROR(__xludf.DUMMYFUNCTION("""COMPUTED_VALUE"""),"Análisis Léxico")</f>
        <v>Análisis Léxico</v>
      </c>
      <c r="F13" s="41" t="str">
        <f>IFERROR(__xludf.DUMMYFUNCTION("""COMPUTED_VALUE"""),"Método de Thompson")</f>
        <v>Método de Thompson</v>
      </c>
      <c r="G13" s="41" t="str">
        <f>IFERROR(__xludf.DUMMYFUNCTION("""COMPUTED_VALUE"""),"Julio")</f>
        <v>Julio</v>
      </c>
      <c r="H13" s="41">
        <f>IFERROR(__xludf.DUMMYFUNCTION("""COMPUTED_VALUE"""),2.0)</f>
        <v>2</v>
      </c>
    </row>
    <row r="14" ht="15.75" customHeight="1">
      <c r="B14" s="41">
        <f>IFERROR(__xludf.DUMMYFUNCTION("""COMPUTED_VALUE"""),8.0)</f>
        <v>8</v>
      </c>
      <c r="C14" s="60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D14" s="41" t="str">
        <f>IFERROR(__xludf.DUMMYFUNCTION("""COMPUTED_VALUE"""),"Fase de Sintesis en Compiladores")</f>
        <v>Fase de Sintesis en Compiladores</v>
      </c>
      <c r="E14" s="41" t="str">
        <f>IFERROR(__xludf.DUMMYFUNCTION("""COMPUTED_VALUE"""),"Análisis Léxico")</f>
        <v>Análisis Léxico</v>
      </c>
      <c r="F14" s="41" t="str">
        <f>IFERROR(__xludf.DUMMYFUNCTION("""COMPUTED_VALUE"""),"Método del Árbol")</f>
        <v>Método del Árbol</v>
      </c>
      <c r="G14" s="41" t="str">
        <f>IFERROR(__xludf.DUMMYFUNCTION("""COMPUTED_VALUE"""),"Julio")</f>
        <v>Julio</v>
      </c>
      <c r="H14" s="41">
        <f>IFERROR(__xludf.DUMMYFUNCTION("""COMPUTED_VALUE"""),2.0)</f>
        <v>2</v>
      </c>
    </row>
    <row r="15" ht="15.75" customHeight="1">
      <c r="B15" s="41">
        <f>IFERROR(__xludf.DUMMYFUNCTION("""COMPUTED_VALUE"""),9.0)</f>
        <v>9</v>
      </c>
      <c r="C15" s="60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D15" s="41" t="str">
        <f>IFERROR(__xludf.DUMMYFUNCTION("""COMPUTED_VALUE"""),"Fase de Sintesis en Compiladores")</f>
        <v>Fase de Sintesis en Compiladores</v>
      </c>
      <c r="E15" s="41" t="str">
        <f>IFERROR(__xludf.DUMMYFUNCTION("""COMPUTED_VALUE"""),"Análisis Sintactico")</f>
        <v>Análisis Sintactico</v>
      </c>
      <c r="F15" s="41" t="str">
        <f>IFERROR(__xludf.DUMMYFUNCTION("""COMPUTED_VALUE"""),"Definición de análisis sintáctico")</f>
        <v>Definición de análisis sintáctico</v>
      </c>
      <c r="G15" s="41" t="str">
        <f>IFERROR(__xludf.DUMMYFUNCTION("""COMPUTED_VALUE"""),"Julio")</f>
        <v>Julio</v>
      </c>
      <c r="H15" s="41">
        <f>IFERROR(__xludf.DUMMYFUNCTION("""COMPUTED_VALUE"""),3.0)</f>
        <v>3</v>
      </c>
    </row>
    <row r="16" ht="15.75" customHeight="1">
      <c r="B16" s="41">
        <f>IFERROR(__xludf.DUMMYFUNCTION("""COMPUTED_VALUE"""),10.0)</f>
        <v>10</v>
      </c>
      <c r="C16" s="60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D16" s="41" t="str">
        <f>IFERROR(__xludf.DUMMYFUNCTION("""COMPUTED_VALUE"""),"Fase de Sintesis en Compiladores")</f>
        <v>Fase de Sintesis en Compiladores</v>
      </c>
      <c r="E16" s="41" t="str">
        <f>IFERROR(__xludf.DUMMYFUNCTION("""COMPUTED_VALUE"""),"Análisis Sintactico")</f>
        <v>Análisis Sintactico</v>
      </c>
      <c r="F16" s="41" t="str">
        <f>IFERROR(__xludf.DUMMYFUNCTION("""COMPUTED_VALUE"""),"Introducción a grámaticas libres del contexto")</f>
        <v>Introducción a grámaticas libres del contexto</v>
      </c>
      <c r="G16" s="41" t="str">
        <f>IFERROR(__xludf.DUMMYFUNCTION("""COMPUTED_VALUE"""),"Julio")</f>
        <v>Julio</v>
      </c>
      <c r="H16" s="41">
        <f>IFERROR(__xludf.DUMMYFUNCTION("""COMPUTED_VALUE"""),3.0)</f>
        <v>3</v>
      </c>
    </row>
    <row r="17" ht="15.75" customHeight="1">
      <c r="B17" s="41">
        <f>IFERROR(__xludf.DUMMYFUNCTION("""COMPUTED_VALUE"""),11.0)</f>
        <v>11</v>
      </c>
      <c r="C17" s="60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D17" s="41" t="str">
        <f>IFERROR(__xludf.DUMMYFUNCTION("""COMPUTED_VALUE"""),"Fase de Sintesis en Compiladores")</f>
        <v>Fase de Sintesis en Compiladores</v>
      </c>
      <c r="E17" s="41" t="str">
        <f>IFERROR(__xludf.DUMMYFUNCTION("""COMPUTED_VALUE"""),"Análisis Sintactico")</f>
        <v>Análisis Sintactico</v>
      </c>
      <c r="F17" s="41" t="str">
        <f>IFERROR(__xludf.DUMMYFUNCTION("""COMPUTED_VALUE"""),"Derivaciones")</f>
        <v>Derivaciones</v>
      </c>
      <c r="G17" s="41" t="str">
        <f>IFERROR(__xludf.DUMMYFUNCTION("""COMPUTED_VALUE"""),"Julio")</f>
        <v>Julio</v>
      </c>
      <c r="H17" s="41">
        <f>IFERROR(__xludf.DUMMYFUNCTION("""COMPUTED_VALUE"""),3.0)</f>
        <v>3</v>
      </c>
    </row>
    <row r="18" ht="15.75" customHeight="1">
      <c r="B18" s="41">
        <f>IFERROR(__xludf.DUMMYFUNCTION("""COMPUTED_VALUE"""),12.0)</f>
        <v>12</v>
      </c>
      <c r="C18" s="60" t="str">
        <f>IFERROR(__xludf.DUMMYFUNCTION("""COMPUTED_VALUE"""),"Domina los conceptos fundamentales del compilador para analizar y diseñar traductores en proyectos de software que requieran procesamiento de lenguajes ")</f>
        <v>Domina los conceptos fundamentales del compilador para analizar y diseñar traductores en proyectos de software que requieran procesamiento de lenguajes </v>
      </c>
      <c r="D18" s="41" t="str">
        <f>IFERROR(__xludf.DUMMYFUNCTION("""COMPUTED_VALUE"""),"Fase de Sintesis en Compiladores")</f>
        <v>Fase de Sintesis en Compiladores</v>
      </c>
      <c r="E18" s="41" t="str">
        <f>IFERROR(__xludf.DUMMYFUNCTION("""COMPUTED_VALUE"""),"Análisis Sintactico")</f>
        <v>Análisis Sintactico</v>
      </c>
      <c r="F18" s="41" t="str">
        <f>IFERROR(__xludf.DUMMYFUNCTION("""COMPUTED_VALUE"""),"Árbol de Análisis Sintáctico")</f>
        <v>Árbol de Análisis Sintáctico</v>
      </c>
      <c r="G18" s="41" t="str">
        <f>IFERROR(__xludf.DUMMYFUNCTION("""COMPUTED_VALUE"""),"Julio")</f>
        <v>Julio</v>
      </c>
      <c r="H18" s="41">
        <f>IFERROR(__xludf.DUMMYFUNCTION("""COMPUTED_VALUE"""),3.0)</f>
        <v>3</v>
      </c>
    </row>
    <row r="19" ht="15.75" customHeight="1">
      <c r="B19" s="41">
        <f>IFERROR(__xludf.DUMMYFUNCTION("""COMPUTED_VALUE"""),13.0)</f>
        <v>13</v>
      </c>
      <c r="C19" s="60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D19" s="41" t="str">
        <f>IFERROR(__xludf.DUMMYFUNCTION("""COMPUTED_VALUE"""),"Estructuras")</f>
        <v>Estructuras</v>
      </c>
      <c r="E19" s="41" t="str">
        <f>IFERROR(__xludf.DUMMYFUNCTION("""COMPUTED_VALUE"""),"Tabla de Simbolos")</f>
        <v>Tabla de Simbolos</v>
      </c>
      <c r="F19" s="41" t="str">
        <f>IFERROR(__xludf.DUMMYFUNCTION("""COMPUTED_VALUE"""),"Tabla de Símbolos")</f>
        <v>Tabla de Símbolos</v>
      </c>
      <c r="G19" s="41" t="str">
        <f>IFERROR(__xludf.DUMMYFUNCTION("""COMPUTED_VALUE"""),"Julio")</f>
        <v>Julio</v>
      </c>
      <c r="H19" s="41">
        <f>IFERROR(__xludf.DUMMYFUNCTION("""COMPUTED_VALUE"""),4.0)</f>
        <v>4</v>
      </c>
    </row>
    <row r="20" ht="15.75" customHeight="1">
      <c r="B20" s="41">
        <f>IFERROR(__xludf.DUMMYFUNCTION("""COMPUTED_VALUE"""),14.0)</f>
        <v>14</v>
      </c>
      <c r="C20" s="60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D20" s="41" t="str">
        <f>IFERROR(__xludf.DUMMYFUNCTION("""COMPUTED_VALUE"""),"Estructuras")</f>
        <v>Estructuras</v>
      </c>
      <c r="E20" s="41" t="str">
        <f>IFERROR(__xludf.DUMMYFUNCTION("""COMPUTED_VALUE"""),"Tabla de Simbolos")</f>
        <v>Tabla de Simbolos</v>
      </c>
      <c r="F20" s="41" t="str">
        <f>IFERROR(__xludf.DUMMYFUNCTION("""COMPUTED_VALUE"""),"Declaración de variables")</f>
        <v>Declaración de variables</v>
      </c>
      <c r="G20" s="41" t="str">
        <f>IFERROR(__xludf.DUMMYFUNCTION("""COMPUTED_VALUE"""),"Julio")</f>
        <v>Julio</v>
      </c>
      <c r="H20" s="41">
        <f>IFERROR(__xludf.DUMMYFUNCTION("""COMPUTED_VALUE"""),4.0)</f>
        <v>4</v>
      </c>
    </row>
    <row r="21" ht="15.75" customHeight="1">
      <c r="B21" s="41">
        <f>IFERROR(__xludf.DUMMYFUNCTION("""COMPUTED_VALUE"""),15.0)</f>
        <v>15</v>
      </c>
      <c r="C21" s="60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D21" s="41" t="str">
        <f>IFERROR(__xludf.DUMMYFUNCTION("""COMPUTED_VALUE"""),"Estructuras")</f>
        <v>Estructuras</v>
      </c>
      <c r="E21" s="41" t="str">
        <f>IFERROR(__xludf.DUMMYFUNCTION("""COMPUTED_VALUE"""),"Tabla de Simbolos")</f>
        <v>Tabla de Simbolos</v>
      </c>
      <c r="F21" s="41" t="str">
        <f>IFERROR(__xludf.DUMMYFUNCTION("""COMPUTED_VALUE"""),"Asignación de variables")</f>
        <v>Asignación de variables</v>
      </c>
      <c r="G21" s="41" t="str">
        <f>IFERROR(__xludf.DUMMYFUNCTION("""COMPUTED_VALUE"""),"Julio")</f>
        <v>Julio</v>
      </c>
      <c r="H21" s="41">
        <f>IFERROR(__xludf.DUMMYFUNCTION("""COMPUTED_VALUE"""),4.0)</f>
        <v>4</v>
      </c>
    </row>
    <row r="22" ht="15.75" customHeight="1">
      <c r="B22" s="41">
        <f>IFERROR(__xludf.DUMMYFUNCTION("""COMPUTED_VALUE"""),16.0)</f>
        <v>16</v>
      </c>
      <c r="C22" s="60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D22" s="41" t="str">
        <f>IFERROR(__xludf.DUMMYFUNCTION("""COMPUTED_VALUE"""),"Estructuras")</f>
        <v>Estructuras</v>
      </c>
      <c r="E22" s="41" t="str">
        <f>IFERROR(__xludf.DUMMYFUNCTION("""COMPUTED_VALUE"""),"Tabla de Simbolos")</f>
        <v>Tabla de Simbolos</v>
      </c>
      <c r="F22" s="41" t="str">
        <f>IFERROR(__xludf.DUMMYFUNCTION("""COMPUTED_VALUE"""),"Acceso de variables")</f>
        <v>Acceso de variables</v>
      </c>
      <c r="G22" s="41" t="str">
        <f>IFERROR(__xludf.DUMMYFUNCTION("""COMPUTED_VALUE"""),"Julio")</f>
        <v>Julio</v>
      </c>
      <c r="H22" s="41">
        <f>IFERROR(__xludf.DUMMYFUNCTION("""COMPUTED_VALUE"""),4.0)</f>
        <v>4</v>
      </c>
    </row>
    <row r="23" ht="15.75" customHeight="1">
      <c r="B23" s="41">
        <f>IFERROR(__xludf.DUMMYFUNCTION("""COMPUTED_VALUE"""),17.0)</f>
        <v>17</v>
      </c>
      <c r="C23" s="60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D23" s="41" t="str">
        <f>IFERROR(__xludf.DUMMYFUNCTION("""COMPUTED_VALUE"""),"Herramientas de Compilación")</f>
        <v>Herramientas de Compilación</v>
      </c>
      <c r="E23" s="41" t="str">
        <f>IFERROR(__xludf.DUMMYFUNCTION("""COMPUTED_VALUE"""),"Ejemplo Practico de JFLEX y CUP")</f>
        <v>Ejemplo Practico de JFLEX y CUP</v>
      </c>
      <c r="F23" s="41" t="str">
        <f>IFERROR(__xludf.DUMMYFUNCTION("""COMPUTED_VALUE"""),"Descarga e instalación de herramientas")</f>
        <v>Descarga e instalación de herramientas</v>
      </c>
      <c r="G23" s="41" t="str">
        <f>IFERROR(__xludf.DUMMYFUNCTION("""COMPUTED_VALUE"""),"Agosto")</f>
        <v>Agosto</v>
      </c>
      <c r="H23" s="41">
        <f>IFERROR(__xludf.DUMMYFUNCTION("""COMPUTED_VALUE"""),5.0)</f>
        <v>5</v>
      </c>
    </row>
    <row r="24" ht="15.75" customHeight="1">
      <c r="B24" s="41">
        <f>IFERROR(__xludf.DUMMYFUNCTION("""COMPUTED_VALUE"""),18.0)</f>
        <v>18</v>
      </c>
      <c r="C24" s="60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D24" s="41" t="str">
        <f>IFERROR(__xludf.DUMMYFUNCTION("""COMPUTED_VALUE"""),"Herramientas de Compilación")</f>
        <v>Herramientas de Compilación</v>
      </c>
      <c r="E24" s="41" t="str">
        <f>IFERROR(__xludf.DUMMYFUNCTION("""COMPUTED_VALUE"""),"Ejemplo Practico de JFLEX y CUP")</f>
        <v>Ejemplo Practico de JFLEX y CUP</v>
      </c>
      <c r="F24" s="41" t="str">
        <f>IFERROR(__xludf.DUMMYFUNCTION("""COMPUTED_VALUE"""),"Descripción de la sintáxis de las herramientas")</f>
        <v>Descripción de la sintáxis de las herramientas</v>
      </c>
      <c r="G24" s="41" t="str">
        <f>IFERROR(__xludf.DUMMYFUNCTION("""COMPUTED_VALUE"""),"Agosto")</f>
        <v>Agosto</v>
      </c>
      <c r="H24" s="41">
        <f>IFERROR(__xludf.DUMMYFUNCTION("""COMPUTED_VALUE"""),5.0)</f>
        <v>5</v>
      </c>
    </row>
    <row r="25" ht="15.75" customHeight="1">
      <c r="B25" s="41">
        <f>IFERROR(__xludf.DUMMYFUNCTION("""COMPUTED_VALUE"""),19.0)</f>
        <v>19</v>
      </c>
      <c r="C25" s="60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D25" s="41" t="str">
        <f>IFERROR(__xludf.DUMMYFUNCTION("""COMPUTED_VALUE"""),"Herramientas de Compilación")</f>
        <v>Herramientas de Compilación</v>
      </c>
      <c r="E25" s="41" t="str">
        <f>IFERROR(__xludf.DUMMYFUNCTION("""COMPUTED_VALUE"""),"Ejemplo Practico de JFLEX y CUP")</f>
        <v>Ejemplo Practico de JFLEX y CUP</v>
      </c>
      <c r="F25" s="41" t="str">
        <f>IFERROR(__xludf.DUMMYFUNCTION("""COMPUTED_VALUE"""),"Escritura de expresiones regulares")</f>
        <v>Escritura de expresiones regulares</v>
      </c>
      <c r="G25" s="41" t="str">
        <f>IFERROR(__xludf.DUMMYFUNCTION("""COMPUTED_VALUE"""),"Agosto")</f>
        <v>Agosto</v>
      </c>
      <c r="H25" s="41">
        <f>IFERROR(__xludf.DUMMYFUNCTION("""COMPUTED_VALUE"""),5.0)</f>
        <v>5</v>
      </c>
    </row>
    <row r="26" ht="15.75" customHeight="1">
      <c r="B26" s="41">
        <f>IFERROR(__xludf.DUMMYFUNCTION("""COMPUTED_VALUE"""),20.0)</f>
        <v>20</v>
      </c>
      <c r="C26" s="60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D26" s="41" t="str">
        <f>IFERROR(__xludf.DUMMYFUNCTION("""COMPUTED_VALUE"""),"Herramientas de Compilación")</f>
        <v>Herramientas de Compilación</v>
      </c>
      <c r="E26" s="41" t="str">
        <f>IFERROR(__xludf.DUMMYFUNCTION("""COMPUTED_VALUE"""),"Ejemplo Practico de JFLEX y CUP")</f>
        <v>Ejemplo Practico de JFLEX y CUP</v>
      </c>
      <c r="F26" s="41" t="str">
        <f>IFERROR(__xludf.DUMMYFUNCTION("""COMPUTED_VALUE"""),"Escritura de gramáticas")</f>
        <v>Escritura de gramáticas</v>
      </c>
      <c r="G26" s="41" t="str">
        <f>IFERROR(__xludf.DUMMYFUNCTION("""COMPUTED_VALUE"""),"Agosto")</f>
        <v>Agosto</v>
      </c>
      <c r="H26" s="41">
        <f>IFERROR(__xludf.DUMMYFUNCTION("""COMPUTED_VALUE"""),5.0)</f>
        <v>5</v>
      </c>
    </row>
    <row r="27" ht="15.75" customHeight="1">
      <c r="B27" s="41">
        <f>IFERROR(__xludf.DUMMYFUNCTION("""COMPUTED_VALUE"""),21.0)</f>
        <v>21</v>
      </c>
      <c r="C27" s="60" t="str">
        <f>IFERROR(__xludf.DUMMYFUNCTION("""COMPUTED_VALUE"""),"Implementa analizadores lexicos mediante expresiones regulares y JFlex para tokenizar entradas definidas y manejar errores léxicos ")</f>
        <v>Implementa analizadores lexicos mediante expresiones regulares y JFlex para tokenizar entradas definidas y manejar errores léxicos </v>
      </c>
      <c r="D27" s="41" t="str">
        <f>IFERROR(__xludf.DUMMYFUNCTION("""COMPUTED_VALUE"""),"Herramientas de Compilación")</f>
        <v>Herramientas de Compilación</v>
      </c>
      <c r="E27" s="41" t="str">
        <f>IFERROR(__xludf.DUMMYFUNCTION("""COMPUTED_VALUE"""),"Ejemplo Practico de JFLEX y CUP")</f>
        <v>Ejemplo Practico de JFLEX y CUP</v>
      </c>
      <c r="F27" s="41" t="str">
        <f>IFERROR(__xludf.DUMMYFUNCTION("""COMPUTED_VALUE"""),"Comunicación con el entorno de programación")</f>
        <v>Comunicación con el entorno de programación</v>
      </c>
      <c r="G27" s="41" t="str">
        <f>IFERROR(__xludf.DUMMYFUNCTION("""COMPUTED_VALUE"""),"Agosto")</f>
        <v>Agosto</v>
      </c>
      <c r="H27" s="41">
        <f>IFERROR(__xludf.DUMMYFUNCTION("""COMPUTED_VALUE"""),6.0)</f>
        <v>6</v>
      </c>
    </row>
    <row r="28" ht="15.75" customHeight="1">
      <c r="B28" s="41">
        <f>IFERROR(__xludf.DUMMYFUNCTION("""COMPUTED_VALUE"""),22.0)</f>
        <v>22</v>
      </c>
      <c r="C28" s="60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28" s="41" t="str">
        <f>IFERROR(__xludf.DUMMYFUNCTION("""COMPUTED_VALUE"""),"Herramientas de Compilación")</f>
        <v>Herramientas de Compilación</v>
      </c>
      <c r="E28" s="41" t="str">
        <f>IFERROR(__xludf.DUMMYFUNCTION("""COMPUTED_VALUE"""),"Ejemplo Practico de JFLEX y CUP")</f>
        <v>Ejemplo Practico de JFLEX y CUP</v>
      </c>
      <c r="F28" s="41" t="str">
        <f>IFERROR(__xludf.DUMMYFUNCTION("""COMPUTED_VALUE"""),"Comunicación con el entorno de programación")</f>
        <v>Comunicación con el entorno de programación</v>
      </c>
      <c r="G28" s="41" t="str">
        <f>IFERROR(__xludf.DUMMYFUNCTION("""COMPUTED_VALUE"""),"Agosto")</f>
        <v>Agosto</v>
      </c>
      <c r="H28" s="41">
        <f>IFERROR(__xludf.DUMMYFUNCTION("""COMPUTED_VALUE"""),6.0)</f>
        <v>6</v>
      </c>
    </row>
    <row r="29" ht="15.75" customHeight="1">
      <c r="B29" s="41">
        <f>IFERROR(__xludf.DUMMYFUNCTION("""COMPUTED_VALUE"""),23.0)</f>
        <v>23</v>
      </c>
      <c r="C29" s="60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29" s="41" t="str">
        <f>IFERROR(__xludf.DUMMYFUNCTION("""COMPUTED_VALUE"""),"Herramientas de Compilación")</f>
        <v>Herramientas de Compilación</v>
      </c>
      <c r="E29" s="41" t="str">
        <f>IFERROR(__xludf.DUMMYFUNCTION("""COMPUTED_VALUE"""),"Ejemplo Practico de JFLEX y CUP")</f>
        <v>Ejemplo Practico de JFLEX y CUP</v>
      </c>
      <c r="F29" s="41" t="str">
        <f>IFERROR(__xludf.DUMMYFUNCTION("""COMPUTED_VALUE"""),"Acciones Gramaticales")</f>
        <v>Acciones Gramaticales</v>
      </c>
      <c r="G29" s="41" t="str">
        <f>IFERROR(__xludf.DUMMYFUNCTION("""COMPUTED_VALUE"""),"Agosto")</f>
        <v>Agosto</v>
      </c>
      <c r="H29" s="41">
        <f>IFERROR(__xludf.DUMMYFUNCTION("""COMPUTED_VALUE"""),6.0)</f>
        <v>6</v>
      </c>
    </row>
    <row r="30" ht="15.75" customHeight="1">
      <c r="B30" s="41">
        <f>IFERROR(__xludf.DUMMYFUNCTION("""COMPUTED_VALUE"""),24.0)</f>
        <v>24</v>
      </c>
      <c r="C30" s="60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30" s="41" t="str">
        <f>IFERROR(__xludf.DUMMYFUNCTION("""COMPUTED_VALUE"""),"Herramientas de Compilación")</f>
        <v>Herramientas de Compilación</v>
      </c>
      <c r="E30" s="41" t="str">
        <f>IFERROR(__xludf.DUMMYFUNCTION("""COMPUTED_VALUE"""),"Ejemplo Practico de JFLEX y CUP")</f>
        <v>Ejemplo Practico de JFLEX y CUP</v>
      </c>
      <c r="F30" s="41" t="str">
        <f>IFERROR(__xludf.DUMMYFUNCTION("""COMPUTED_VALUE"""),"Manejo de errores")</f>
        <v>Manejo de errores</v>
      </c>
      <c r="G30" s="41" t="str">
        <f>IFERROR(__xludf.DUMMYFUNCTION("""COMPUTED_VALUE"""),"Agosto")</f>
        <v>Agosto</v>
      </c>
      <c r="H30" s="41">
        <f>IFERROR(__xludf.DUMMYFUNCTION("""COMPUTED_VALUE"""),6.0)</f>
        <v>6</v>
      </c>
    </row>
    <row r="31" ht="15.75" customHeight="1">
      <c r="B31" s="41">
        <f>IFERROR(__xludf.DUMMYFUNCTION("""COMPUTED_VALUE"""),25.0)</f>
        <v>25</v>
      </c>
      <c r="C31" s="60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D31" s="41" t="str">
        <f>IFERROR(__xludf.DUMMYFUNCTION("""COMPUTED_VALUE"""),"Gramaticas ")</f>
        <v>Gramaticas </v>
      </c>
      <c r="E31" s="41" t="str">
        <f>IFERROR(__xludf.DUMMYFUNCTION("""COMPUTED_VALUE"""),"Gramáticas Independientes del Contexto")</f>
        <v>Gramáticas Independientes del Contexto</v>
      </c>
      <c r="F31" s="41" t="str">
        <f>IFERROR(__xludf.DUMMYFUNCTION("""COMPUTED_VALUE"""),"Definición")</f>
        <v>Definición</v>
      </c>
      <c r="G31" s="41" t="str">
        <f>IFERROR(__xludf.DUMMYFUNCTION("""COMPUTED_VALUE"""),"Agosto")</f>
        <v>Agosto</v>
      </c>
      <c r="H31" s="41">
        <f>IFERROR(__xludf.DUMMYFUNCTION("""COMPUTED_VALUE"""),7.0)</f>
        <v>7</v>
      </c>
    </row>
    <row r="32" ht="15.75" customHeight="1">
      <c r="B32" s="41">
        <f>IFERROR(__xludf.DUMMYFUNCTION("""COMPUTED_VALUE"""),26.0)</f>
        <v>26</v>
      </c>
      <c r="C32" s="60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D32" s="41" t="str">
        <f>IFERROR(__xludf.DUMMYFUNCTION("""COMPUTED_VALUE"""),"Gramaticas ")</f>
        <v>Gramaticas </v>
      </c>
      <c r="E32" s="41" t="str">
        <f>IFERROR(__xludf.DUMMYFUNCTION("""COMPUTED_VALUE"""),"Gramáticas Independientes del Contexto")</f>
        <v>Gramáticas Independientes del Contexto</v>
      </c>
      <c r="F32" s="41" t="str">
        <f>IFERROR(__xludf.DUMMYFUNCTION("""COMPUTED_VALUE"""),"Funciones Primero y Siguientes")</f>
        <v>Funciones Primero y Siguientes</v>
      </c>
      <c r="G32" s="41" t="str">
        <f>IFERROR(__xludf.DUMMYFUNCTION("""COMPUTED_VALUE"""),"Agosto")</f>
        <v>Agosto</v>
      </c>
      <c r="H32" s="41">
        <f>IFERROR(__xludf.DUMMYFUNCTION("""COMPUTED_VALUE"""),7.0)</f>
        <v>7</v>
      </c>
    </row>
    <row r="33" ht="15.75" customHeight="1">
      <c r="B33" s="41">
        <f>IFERROR(__xludf.DUMMYFUNCTION("""COMPUTED_VALUE"""),27.0)</f>
        <v>27</v>
      </c>
      <c r="C33" s="60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D33" s="41" t="str">
        <f>IFERROR(__xludf.DUMMYFUNCTION("""COMPUTED_VALUE"""),"Gramaticas ")</f>
        <v>Gramaticas </v>
      </c>
      <c r="E33" s="41" t="str">
        <f>IFERROR(__xludf.DUMMYFUNCTION("""COMPUTED_VALUE"""),"Gramáticas Independientes del Contexto")</f>
        <v>Gramáticas Independientes del Contexto</v>
      </c>
      <c r="F33" s="41" t="str">
        <f>IFERROR(__xludf.DUMMYFUNCTION("""COMPUTED_VALUE"""),"Gramáticas Descendentes")</f>
        <v>Gramáticas Descendentes</v>
      </c>
      <c r="G33" s="41" t="str">
        <f>IFERROR(__xludf.DUMMYFUNCTION("""COMPUTED_VALUE"""),"Agosto")</f>
        <v>Agosto</v>
      </c>
      <c r="H33" s="41">
        <f>IFERROR(__xludf.DUMMYFUNCTION("""COMPUTED_VALUE"""),7.0)</f>
        <v>7</v>
      </c>
    </row>
    <row r="34" ht="15.75" customHeight="1">
      <c r="B34" s="41">
        <f>IFERROR(__xludf.DUMMYFUNCTION("""COMPUTED_VALUE"""),28.0)</f>
        <v>28</v>
      </c>
      <c r="C34" s="60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D34" s="41" t="str">
        <f>IFERROR(__xludf.DUMMYFUNCTION("""COMPUTED_VALUE"""),"Gramaticas ")</f>
        <v>Gramaticas </v>
      </c>
      <c r="E34" s="41" t="str">
        <f>IFERROR(__xludf.DUMMYFUNCTION("""COMPUTED_VALUE"""),"Gramáticas Independientes del Contexto")</f>
        <v>Gramáticas Independientes del Contexto</v>
      </c>
      <c r="F34" s="41" t="str">
        <f>IFERROR(__xludf.DUMMYFUNCTION("""COMPUTED_VALUE"""),"Gramáticas Ascendentes")</f>
        <v>Gramáticas Ascendentes</v>
      </c>
      <c r="G34" s="41" t="str">
        <f>IFERROR(__xludf.DUMMYFUNCTION("""COMPUTED_VALUE"""),"Agosto")</f>
        <v>Agosto</v>
      </c>
      <c r="H34" s="41">
        <f>IFERROR(__xludf.DUMMYFUNCTION("""COMPUTED_VALUE"""),7.0)</f>
        <v>7</v>
      </c>
    </row>
    <row r="35" ht="15.75" customHeight="1">
      <c r="B35" s="41">
        <f>IFERROR(__xludf.DUMMYFUNCTION("""COMPUTED_VALUE"""),29.0)</f>
        <v>29</v>
      </c>
      <c r="C35" s="60" t="str">
        <f>IFERROR(__xludf.DUMMYFUNCTION("""COMPUTED_VALUE"""),"Investiga nuevas técnicas de análisis y síntesis de lenguajes empleando aprendizaje autónomo y revisión de literatura con actitud de mejora continua y adaptación tecnológica ")</f>
        <v>Investiga nuevas técnicas de análisis y síntesis de lenguajes empleando aprendizaje autónomo y revisión de literatura con actitud de mejora continua y adaptación tecnológica </v>
      </c>
      <c r="D35" s="41" t="str">
        <f>IFERROR(__xludf.DUMMYFUNCTION("""COMPUTED_VALUE"""),"Gramaticas ")</f>
        <v>Gramaticas </v>
      </c>
      <c r="E35" s="41" t="str">
        <f>IFERROR(__xludf.DUMMYFUNCTION("""COMPUTED_VALUE"""),"Gramáticas Independientes del Contexto")</f>
        <v>Gramáticas Independientes del Contexto</v>
      </c>
      <c r="F35" s="41" t="str">
        <f>IFERROR(__xludf.DUMMYFUNCTION("""COMPUTED_VALUE"""),"Reescrituras gramaticales")</f>
        <v>Reescrituras gramaticales</v>
      </c>
      <c r="G35" s="41" t="str">
        <f>IFERROR(__xludf.DUMMYFUNCTION("""COMPUTED_VALUE"""),"Agosto")</f>
        <v>Agosto</v>
      </c>
      <c r="H35" s="41">
        <f>IFERROR(__xludf.DUMMYFUNCTION("""COMPUTED_VALUE"""),7.0)</f>
        <v>7</v>
      </c>
    </row>
    <row r="36" ht="15.75" customHeight="1">
      <c r="B36" s="41">
        <f>IFERROR(__xludf.DUMMYFUNCTION("""COMPUTED_VALUE"""),30.0)</f>
        <v>30</v>
      </c>
      <c r="C36" s="60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36" s="41" t="str">
        <f>IFERROR(__xludf.DUMMYFUNCTION("""COMPUTED_VALUE"""),"Herramientas de Compilación")</f>
        <v>Herramientas de Compilación</v>
      </c>
      <c r="E36" s="41" t="str">
        <f>IFERROR(__xludf.DUMMYFUNCTION("""COMPUTED_VALUE"""),"Ejemplo Practico de JISON")</f>
        <v>Ejemplo Practico de JISON</v>
      </c>
      <c r="F36" s="41" t="str">
        <f>IFERROR(__xludf.DUMMYFUNCTION("""COMPUTED_VALUE"""),"Descarga e instalación de herramientas")</f>
        <v>Descarga e instalación de herramientas</v>
      </c>
      <c r="G36" s="41" t="str">
        <f>IFERROR(__xludf.DUMMYFUNCTION("""COMPUTED_VALUE"""),"Agosto")</f>
        <v>Agosto</v>
      </c>
      <c r="H36" s="41">
        <f>IFERROR(__xludf.DUMMYFUNCTION("""COMPUTED_VALUE"""),8.0)</f>
        <v>8</v>
      </c>
    </row>
    <row r="37" ht="15.75" customHeight="1">
      <c r="B37" s="41">
        <f>IFERROR(__xludf.DUMMYFUNCTION("""COMPUTED_VALUE"""),31.0)</f>
        <v>31</v>
      </c>
      <c r="C37" s="60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37" s="41" t="str">
        <f>IFERROR(__xludf.DUMMYFUNCTION("""COMPUTED_VALUE"""),"Herramientas de Compilación")</f>
        <v>Herramientas de Compilación</v>
      </c>
      <c r="E37" s="41" t="str">
        <f>IFERROR(__xludf.DUMMYFUNCTION("""COMPUTED_VALUE"""),"Ejemplo Practico de JISON")</f>
        <v>Ejemplo Practico de JISON</v>
      </c>
      <c r="F37" s="41" t="str">
        <f>IFERROR(__xludf.DUMMYFUNCTION("""COMPUTED_VALUE"""),"Escritura de expresiones regulares")</f>
        <v>Escritura de expresiones regulares</v>
      </c>
      <c r="G37" s="41" t="str">
        <f>IFERROR(__xludf.DUMMYFUNCTION("""COMPUTED_VALUE"""),"Agosto")</f>
        <v>Agosto</v>
      </c>
      <c r="H37" s="41">
        <f>IFERROR(__xludf.DUMMYFUNCTION("""COMPUTED_VALUE"""),8.0)</f>
        <v>8</v>
      </c>
    </row>
    <row r="38" ht="15.75" customHeight="1">
      <c r="B38" s="41">
        <f>IFERROR(__xludf.DUMMYFUNCTION("""COMPUTED_VALUE"""),32.0)</f>
        <v>32</v>
      </c>
      <c r="C38" s="60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38" s="41" t="str">
        <f>IFERROR(__xludf.DUMMYFUNCTION("""COMPUTED_VALUE"""),"Herramientas de Compilación")</f>
        <v>Herramientas de Compilación</v>
      </c>
      <c r="E38" s="41" t="str">
        <f>IFERROR(__xludf.DUMMYFUNCTION("""COMPUTED_VALUE"""),"Ejemplo Practico de JISON")</f>
        <v>Ejemplo Practico de JISON</v>
      </c>
      <c r="F38" s="41" t="str">
        <f>IFERROR(__xludf.DUMMYFUNCTION("""COMPUTED_VALUE"""),"Escritura de gramáticas")</f>
        <v>Escritura de gramáticas</v>
      </c>
      <c r="G38" s="41" t="str">
        <f>IFERROR(__xludf.DUMMYFUNCTION("""COMPUTED_VALUE"""),"Agosto")</f>
        <v>Agosto</v>
      </c>
      <c r="H38" s="41">
        <f>IFERROR(__xludf.DUMMYFUNCTION("""COMPUTED_VALUE"""),8.0)</f>
        <v>8</v>
      </c>
    </row>
    <row r="39" ht="15.75" customHeight="1">
      <c r="B39" s="41">
        <f>IFERROR(__xludf.DUMMYFUNCTION("""COMPUTED_VALUE"""),33.0)</f>
        <v>33</v>
      </c>
      <c r="C39" s="60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39" s="41" t="str">
        <f>IFERROR(__xludf.DUMMYFUNCTION("""COMPUTED_VALUE"""),"Herramientas de Compilación")</f>
        <v>Herramientas de Compilación</v>
      </c>
      <c r="E39" s="41" t="str">
        <f>IFERROR(__xludf.DUMMYFUNCTION("""COMPUTED_VALUE"""),"Ejemplo Practico de JISON")</f>
        <v>Ejemplo Practico de JISON</v>
      </c>
      <c r="F39" s="41" t="str">
        <f>IFERROR(__xludf.DUMMYFUNCTION("""COMPUTED_VALUE"""),"Comunicación con el entorno de programación")</f>
        <v>Comunicación con el entorno de programación</v>
      </c>
      <c r="G39" s="41" t="str">
        <f>IFERROR(__xludf.DUMMYFUNCTION("""COMPUTED_VALUE"""),"Agosto")</f>
        <v>Agosto</v>
      </c>
      <c r="H39" s="41">
        <f>IFERROR(__xludf.DUMMYFUNCTION("""COMPUTED_VALUE"""),8.0)</f>
        <v>8</v>
      </c>
    </row>
    <row r="40" ht="15.75" customHeight="1">
      <c r="B40" s="41">
        <f>IFERROR(__xludf.DUMMYFUNCTION("""COMPUTED_VALUE"""),34.0)</f>
        <v>34</v>
      </c>
      <c r="C40" s="60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40" s="41" t="str">
        <f>IFERROR(__xludf.DUMMYFUNCTION("""COMPUTED_VALUE"""),"Herramientas de Compilación")</f>
        <v>Herramientas de Compilación</v>
      </c>
      <c r="E40" s="41" t="str">
        <f>IFERROR(__xludf.DUMMYFUNCTION("""COMPUTED_VALUE"""),"Ejemplo Practico de JISON")</f>
        <v>Ejemplo Practico de JISON</v>
      </c>
      <c r="F40" s="41" t="str">
        <f>IFERROR(__xludf.DUMMYFUNCTION("""COMPUTED_VALUE"""),"Acciones Gramaticales")</f>
        <v>Acciones Gramaticales</v>
      </c>
      <c r="G40" s="41" t="str">
        <f>IFERROR(__xludf.DUMMYFUNCTION("""COMPUTED_VALUE"""),"Agosto")</f>
        <v>Agosto</v>
      </c>
      <c r="H40" s="41">
        <f>IFERROR(__xludf.DUMMYFUNCTION("""COMPUTED_VALUE"""),8.0)</f>
        <v>8</v>
      </c>
    </row>
    <row r="41" ht="15.75" customHeight="1">
      <c r="B41" s="41">
        <f>IFERROR(__xludf.DUMMYFUNCTION("""COMPUTED_VALUE"""),35.0)</f>
        <v>35</v>
      </c>
      <c r="C41" s="60" t="str">
        <f>IFERROR(__xludf.DUMMYFUNCTION("""COMPUTED_VALUE"""),"Desarrolla analizadores sintácticos con CUP y Jison, gramáticas LL/LR para validar la estructura de programas y construir AST ")</f>
        <v>Desarrolla analizadores sintácticos con CUP y Jison, gramáticas LL/LR para validar la estructura de programas y construir AST </v>
      </c>
      <c r="D41" s="41" t="str">
        <f>IFERROR(__xludf.DUMMYFUNCTION("""COMPUTED_VALUE"""),"Herramientas de Compilación")</f>
        <v>Herramientas de Compilación</v>
      </c>
      <c r="E41" s="41" t="str">
        <f>IFERROR(__xludf.DUMMYFUNCTION("""COMPUTED_VALUE"""),"Ejemplo Practico de JISON")</f>
        <v>Ejemplo Practico de JISON</v>
      </c>
      <c r="F41" s="41" t="str">
        <f>IFERROR(__xludf.DUMMYFUNCTION("""COMPUTED_VALUE"""),"Manejo de errores")</f>
        <v>Manejo de errores</v>
      </c>
      <c r="G41" s="41" t="str">
        <f>IFERROR(__xludf.DUMMYFUNCTION("""COMPUTED_VALUE"""),"Agosto")</f>
        <v>Agosto</v>
      </c>
      <c r="H41" s="41">
        <f>IFERROR(__xludf.DUMMYFUNCTION("""COMPUTED_VALUE"""),8.0)</f>
        <v>8</v>
      </c>
    </row>
    <row r="42" ht="15.75" customHeight="1">
      <c r="B42" s="41">
        <f>IFERROR(__xludf.DUMMYFUNCTION("""COMPUTED_VALUE"""),36.0)</f>
        <v>36</v>
      </c>
      <c r="C42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2" s="41" t="str">
        <f>IFERROR(__xludf.DUMMYFUNCTION("""COMPUTED_VALUE"""),"Conferencia")</f>
        <v>Conferencia</v>
      </c>
      <c r="E42" s="41" t="str">
        <f>IFERROR(__xludf.DUMMYFUNCTION("""COMPUTED_VALUE"""),"Conferencia del Laboratorio")</f>
        <v>Conferencia del Laboratorio</v>
      </c>
      <c r="F42" s="41"/>
      <c r="G42" s="41" t="str">
        <f>IFERROR(__xludf.DUMMYFUNCTION("""COMPUTED_VALUE"""),"Septiembre")</f>
        <v>Septiembre</v>
      </c>
      <c r="H42" s="41">
        <f>IFERROR(__xludf.DUMMYFUNCTION("""COMPUTED_VALUE"""),9.0)</f>
        <v>9</v>
      </c>
    </row>
    <row r="43" ht="15.75" customHeight="1">
      <c r="B43" s="41">
        <f>IFERROR(__xludf.DUMMYFUNCTION("""COMPUTED_VALUE"""),37.0)</f>
        <v>37</v>
      </c>
      <c r="C43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3" s="41" t="str">
        <f>IFERROR(__xludf.DUMMYFUNCTION("""COMPUTED_VALUE"""),"Diseño Interprete")</f>
        <v>Diseño Interprete</v>
      </c>
      <c r="E43" s="41" t="str">
        <f>IFERROR(__xludf.DUMMYFUNCTION("""COMPUTED_VALUE"""),"Interprete utilizando patron interprete")</f>
        <v>Interprete utilizando patron interprete</v>
      </c>
      <c r="F43" s="41" t="str">
        <f>IFERROR(__xludf.DUMMYFUNCTION("""COMPUTED_VALUE"""),"Patrones de diseño")</f>
        <v>Patrones de diseño</v>
      </c>
      <c r="G43" s="41" t="str">
        <f>IFERROR(__xludf.DUMMYFUNCTION("""COMPUTED_VALUE"""),"Septiembre")</f>
        <v>Septiembre</v>
      </c>
      <c r="H43" s="41">
        <f>IFERROR(__xludf.DUMMYFUNCTION("""COMPUTED_VALUE"""),9.0)</f>
        <v>9</v>
      </c>
    </row>
    <row r="44" ht="15.75" customHeight="1">
      <c r="B44" s="41">
        <f>IFERROR(__xludf.DUMMYFUNCTION("""COMPUTED_VALUE"""),38.0)</f>
        <v>38</v>
      </c>
      <c r="C44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4" s="41" t="str">
        <f>IFERROR(__xludf.DUMMYFUNCTION("""COMPUTED_VALUE"""),"Diseño Interprete")</f>
        <v>Diseño Interprete</v>
      </c>
      <c r="E44" s="41" t="str">
        <f>IFERROR(__xludf.DUMMYFUNCTION("""COMPUTED_VALUE"""),"Interprete utilizando patron interprete")</f>
        <v>Interprete utilizando patron interprete</v>
      </c>
      <c r="F44" s="41" t="str">
        <f>IFERROR(__xludf.DUMMYFUNCTION("""COMPUTED_VALUE"""),"Patron Interprete")</f>
        <v>Patron Interprete</v>
      </c>
      <c r="G44" s="41" t="str">
        <f>IFERROR(__xludf.DUMMYFUNCTION("""COMPUTED_VALUE"""),"Septiembre")</f>
        <v>Septiembre</v>
      </c>
      <c r="H44" s="41">
        <f>IFERROR(__xludf.DUMMYFUNCTION("""COMPUTED_VALUE"""),9.0)</f>
        <v>9</v>
      </c>
    </row>
    <row r="45" ht="15.75" customHeight="1">
      <c r="B45" s="41">
        <f>IFERROR(__xludf.DUMMYFUNCTION("""COMPUTED_VALUE"""),39.0)</f>
        <v>39</v>
      </c>
      <c r="C45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5" s="41" t="str">
        <f>IFERROR(__xludf.DUMMYFUNCTION("""COMPUTED_VALUE"""),"Diseño Interprete")</f>
        <v>Diseño Interprete</v>
      </c>
      <c r="E45" s="41" t="str">
        <f>IFERROR(__xludf.DUMMYFUNCTION("""COMPUTED_VALUE"""),"Interprete utilizando patron interprete")</f>
        <v>Interprete utilizando patron interprete</v>
      </c>
      <c r="F45" s="41" t="str">
        <f>IFERROR(__xludf.DUMMYFUNCTION("""COMPUTED_VALUE"""),"Expresiones Aritmeticas")</f>
        <v>Expresiones Aritmeticas</v>
      </c>
      <c r="G45" s="41" t="str">
        <f>IFERROR(__xludf.DUMMYFUNCTION("""COMPUTED_VALUE"""),"Octubre")</f>
        <v>Octubre</v>
      </c>
      <c r="H45" s="41">
        <f>IFERROR(__xludf.DUMMYFUNCTION("""COMPUTED_VALUE"""),10.0)</f>
        <v>10</v>
      </c>
    </row>
    <row r="46" ht="15.75" customHeight="1">
      <c r="B46" s="41">
        <f>IFERROR(__xludf.DUMMYFUNCTION("""COMPUTED_VALUE"""),40.0)</f>
        <v>40</v>
      </c>
      <c r="C46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6" s="41" t="str">
        <f>IFERROR(__xludf.DUMMYFUNCTION("""COMPUTED_VALUE"""),"Diseño Interprete")</f>
        <v>Diseño Interprete</v>
      </c>
      <c r="E46" s="41" t="str">
        <f>IFERROR(__xludf.DUMMYFUNCTION("""COMPUTED_VALUE"""),"Interprete utilizando patron interprete")</f>
        <v>Interprete utilizando patron interprete</v>
      </c>
      <c r="F46" s="41" t="str">
        <f>IFERROR(__xludf.DUMMYFUNCTION("""COMPUTED_VALUE"""),"Validaciones semanticas")</f>
        <v>Validaciones semanticas</v>
      </c>
      <c r="G46" s="41" t="str">
        <f>IFERROR(__xludf.DUMMYFUNCTION("""COMPUTED_VALUE"""),"Octubre")</f>
        <v>Octubre</v>
      </c>
      <c r="H46" s="41">
        <f>IFERROR(__xludf.DUMMYFUNCTION("""COMPUTED_VALUE"""),10.0)</f>
        <v>10</v>
      </c>
    </row>
    <row r="47" ht="15.75" customHeight="1">
      <c r="B47" s="41">
        <f>IFERROR(__xludf.DUMMYFUNCTION("""COMPUTED_VALUE"""),41.0)</f>
        <v>41</v>
      </c>
      <c r="C47" s="60" t="str">
        <f>IFERROR(__xludf.DUMMYFUNCTION("""COMPUTED_VALUE"""),"Diseña tablas de símbolos y entornos empleando estructuras de datos adecuadas con gestión de ámbitos, tipos y recuperación de errores ")</f>
        <v>Diseña tablas de símbolos y entornos empleando estructuras de datos adecuadas con gestión de ámbitos, tipos y recuperación de errores </v>
      </c>
      <c r="D47" s="41" t="str">
        <f>IFERROR(__xludf.DUMMYFUNCTION("""COMPUTED_VALUE"""),"Diseño Interprete")</f>
        <v>Diseño Interprete</v>
      </c>
      <c r="E47" s="41" t="str">
        <f>IFERROR(__xludf.DUMMYFUNCTION("""COMPUTED_VALUE"""),"Interprete utilizando patron interprete")</f>
        <v>Interprete utilizando patron interprete</v>
      </c>
      <c r="F47" s="41" t="str">
        <f>IFERROR(__xludf.DUMMYFUNCTION("""COMPUTED_VALUE"""),"Tabla de Simbolos")</f>
        <v>Tabla de Simbolos</v>
      </c>
      <c r="G47" s="41" t="str">
        <f>IFERROR(__xludf.DUMMYFUNCTION("""COMPUTED_VALUE"""),"Octubre")</f>
        <v>Octubre</v>
      </c>
      <c r="H47" s="41">
        <f>IFERROR(__xludf.DUMMYFUNCTION("""COMPUTED_VALUE"""),10.0)</f>
        <v>10</v>
      </c>
    </row>
    <row r="48" ht="15.75" customHeight="1">
      <c r="B48" s="41">
        <f>IFERROR(__xludf.DUMMYFUNCTION("""COMPUTED_VALUE"""),42.0)</f>
        <v>42</v>
      </c>
      <c r="C48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8" s="41" t="str">
        <f>IFERROR(__xludf.DUMMYFUNCTION("""COMPUTED_VALUE"""),"Diseño Interprete")</f>
        <v>Diseño Interprete</v>
      </c>
      <c r="E48" s="41" t="str">
        <f>IFERROR(__xludf.DUMMYFUNCTION("""COMPUTED_VALUE"""),"Interprete utilizando patron interprete")</f>
        <v>Interprete utilizando patron interprete</v>
      </c>
      <c r="F48" s="41" t="str">
        <f>IFERROR(__xludf.DUMMYFUNCTION("""COMPUTED_VALUE"""),"Declaración de variables")</f>
        <v>Declaración de variables</v>
      </c>
      <c r="G48" s="41" t="str">
        <f>IFERROR(__xludf.DUMMYFUNCTION("""COMPUTED_VALUE"""),"Octubre")</f>
        <v>Octubre</v>
      </c>
      <c r="H48" s="41">
        <f>IFERROR(__xludf.DUMMYFUNCTION("""COMPUTED_VALUE"""),10.0)</f>
        <v>10</v>
      </c>
    </row>
    <row r="49" ht="15.75" customHeight="1">
      <c r="B49" s="41">
        <f>IFERROR(__xludf.DUMMYFUNCTION("""COMPUTED_VALUE"""),43.0)</f>
        <v>43</v>
      </c>
      <c r="C49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49" s="41" t="str">
        <f>IFERROR(__xludf.DUMMYFUNCTION("""COMPUTED_VALUE"""),"Diseño Interprete")</f>
        <v>Diseño Interprete</v>
      </c>
      <c r="E49" s="41" t="str">
        <f>IFERROR(__xludf.DUMMYFUNCTION("""COMPUTED_VALUE"""),"Interprete utilizando patron interprete")</f>
        <v>Interprete utilizando patron interprete</v>
      </c>
      <c r="F49" s="41" t="str">
        <f>IFERROR(__xludf.DUMMYFUNCTION("""COMPUTED_VALUE"""),"Asignación de variables")</f>
        <v>Asignación de variables</v>
      </c>
      <c r="G49" s="41" t="str">
        <f>IFERROR(__xludf.DUMMYFUNCTION("""COMPUTED_VALUE"""),"Octubre")</f>
        <v>Octubre</v>
      </c>
      <c r="H49" s="41">
        <f>IFERROR(__xludf.DUMMYFUNCTION("""COMPUTED_VALUE"""),10.0)</f>
        <v>10</v>
      </c>
    </row>
    <row r="50" ht="15.75" customHeight="1">
      <c r="B50" s="41">
        <f>IFERROR(__xludf.DUMMYFUNCTION("""COMPUTED_VALUE"""),44.0)</f>
        <v>44</v>
      </c>
      <c r="C50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0" s="41" t="str">
        <f>IFERROR(__xludf.DUMMYFUNCTION("""COMPUTED_VALUE"""),"Diseño Interprete")</f>
        <v>Diseño Interprete</v>
      </c>
      <c r="E50" s="41" t="str">
        <f>IFERROR(__xludf.DUMMYFUNCTION("""COMPUTED_VALUE"""),"Interprete utilizando patron interprete")</f>
        <v>Interprete utilizando patron interprete</v>
      </c>
      <c r="F50" s="41" t="str">
        <f>IFERROR(__xludf.DUMMYFUNCTION("""COMPUTED_VALUE"""),"Acceso de variables")</f>
        <v>Acceso de variables</v>
      </c>
      <c r="G50" s="41" t="str">
        <f>IFERROR(__xludf.DUMMYFUNCTION("""COMPUTED_VALUE"""),"Octubre")</f>
        <v>Octubre</v>
      </c>
      <c r="H50" s="41">
        <f>IFERROR(__xludf.DUMMYFUNCTION("""COMPUTED_VALUE"""),10.0)</f>
        <v>10</v>
      </c>
    </row>
    <row r="51" ht="15.75" customHeight="1">
      <c r="B51" s="41">
        <f>IFERROR(__xludf.DUMMYFUNCTION("""COMPUTED_VALUE"""),45.0)</f>
        <v>45</v>
      </c>
      <c r="C51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1" s="41" t="str">
        <f>IFERROR(__xludf.DUMMYFUNCTION("""COMPUTED_VALUE"""),"Diseño Interprete")</f>
        <v>Diseño Interprete</v>
      </c>
      <c r="E51" s="41" t="str">
        <f>IFERROR(__xludf.DUMMYFUNCTION("""COMPUTED_VALUE"""),"Interprete utilizando patron interprete")</f>
        <v>Interprete utilizando patron interprete</v>
      </c>
      <c r="F51" s="41" t="str">
        <f>IFERROR(__xludf.DUMMYFUNCTION("""COMPUTED_VALUE"""),"Definición de entornos de programación")</f>
        <v>Definición de entornos de programación</v>
      </c>
      <c r="G51" s="41" t="str">
        <f>IFERROR(__xludf.DUMMYFUNCTION("""COMPUTED_VALUE"""),"Octubre")</f>
        <v>Octubre</v>
      </c>
      <c r="H51" s="41">
        <f>IFERROR(__xludf.DUMMYFUNCTION("""COMPUTED_VALUE"""),10.0)</f>
        <v>10</v>
      </c>
    </row>
    <row r="52" ht="15.75" customHeight="1">
      <c r="B52" s="41">
        <f>IFERROR(__xludf.DUMMYFUNCTION("""COMPUTED_VALUE"""),46.0)</f>
        <v>46</v>
      </c>
      <c r="C52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2" s="41" t="str">
        <f>IFERROR(__xludf.DUMMYFUNCTION("""COMPUTED_VALUE"""),"Diseño Interprete")</f>
        <v>Diseño Interprete</v>
      </c>
      <c r="E52" s="41" t="str">
        <f>IFERROR(__xludf.DUMMYFUNCTION("""COMPUTED_VALUE"""),"Interprete utilizando patron interprete")</f>
        <v>Interprete utilizando patron interprete</v>
      </c>
      <c r="F52" s="41" t="str">
        <f>IFERROR(__xludf.DUMMYFUNCTION("""COMPUTED_VALUE"""),"Funcionamiento de la tabla de simbolos")</f>
        <v>Funcionamiento de la tabla de simbolos</v>
      </c>
      <c r="G52" s="41" t="str">
        <f>IFERROR(__xludf.DUMMYFUNCTION("""COMPUTED_VALUE"""),"Octubre")</f>
        <v>Octubre</v>
      </c>
      <c r="H52" s="41">
        <f>IFERROR(__xludf.DUMMYFUNCTION("""COMPUTED_VALUE"""),11.0)</f>
        <v>11</v>
      </c>
    </row>
    <row r="53" ht="15.75" customHeight="1">
      <c r="B53" s="41">
        <f>IFERROR(__xludf.DUMMYFUNCTION("""COMPUTED_VALUE"""),47.0)</f>
        <v>47</v>
      </c>
      <c r="C53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3" s="41" t="str">
        <f>IFERROR(__xludf.DUMMYFUNCTION("""COMPUTED_VALUE"""),"Diseño Interprete")</f>
        <v>Diseño Interprete</v>
      </c>
      <c r="E53" s="41" t="str">
        <f>IFERROR(__xludf.DUMMYFUNCTION("""COMPUTED_VALUE"""),"Interprete utilizando patron interprete")</f>
        <v>Interprete utilizando patron interprete</v>
      </c>
      <c r="F53" s="41" t="str">
        <f>IFERROR(__xludf.DUMMYFUNCTION("""COMPUTED_VALUE"""),"Sentencia IF")</f>
        <v>Sentencia IF</v>
      </c>
      <c r="G53" s="41" t="str">
        <f>IFERROR(__xludf.DUMMYFUNCTION("""COMPUTED_VALUE"""),"Octubre")</f>
        <v>Octubre</v>
      </c>
      <c r="H53" s="41">
        <f>IFERROR(__xludf.DUMMYFUNCTION("""COMPUTED_VALUE"""),11.0)</f>
        <v>11</v>
      </c>
    </row>
    <row r="54" ht="15.75" customHeight="1">
      <c r="B54" s="41">
        <f>IFERROR(__xludf.DUMMYFUNCTION("""COMPUTED_VALUE"""),48.0)</f>
        <v>48</v>
      </c>
      <c r="C54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4" s="41" t="str">
        <f>IFERROR(__xludf.DUMMYFUNCTION("""COMPUTED_VALUE"""),"Diseño Interprete")</f>
        <v>Diseño Interprete</v>
      </c>
      <c r="E54" s="41" t="str">
        <f>IFERROR(__xludf.DUMMYFUNCTION("""COMPUTED_VALUE"""),"Interprete utilizando patron interprete")</f>
        <v>Interprete utilizando patron interprete</v>
      </c>
      <c r="F54" s="41" t="str">
        <f>IFERROR(__xludf.DUMMYFUNCTION("""COMPUTED_VALUE"""),"Sentencia While")</f>
        <v>Sentencia While</v>
      </c>
      <c r="G54" s="41" t="str">
        <f>IFERROR(__xludf.DUMMYFUNCTION("""COMPUTED_VALUE"""),"Octubre")</f>
        <v>Octubre</v>
      </c>
      <c r="H54" s="41">
        <f>IFERROR(__xludf.DUMMYFUNCTION("""COMPUTED_VALUE"""),11.0)</f>
        <v>11</v>
      </c>
    </row>
    <row r="55" ht="15.75" customHeight="1">
      <c r="B55" s="41">
        <f>IFERROR(__xludf.DUMMYFUNCTION("""COMPUTED_VALUE"""),49.0)</f>
        <v>49</v>
      </c>
      <c r="C55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5" s="41" t="str">
        <f>IFERROR(__xludf.DUMMYFUNCTION("""COMPUTED_VALUE"""),"Diseño Interprete")</f>
        <v>Diseño Interprete</v>
      </c>
      <c r="E55" s="41" t="str">
        <f>IFERROR(__xludf.DUMMYFUNCTION("""COMPUTED_VALUE"""),"Interprete utilizando patron interprete")</f>
        <v>Interprete utilizando patron interprete</v>
      </c>
      <c r="F55" s="41" t="str">
        <f>IFERROR(__xludf.DUMMYFUNCTION("""COMPUTED_VALUE"""),"Funcionamiento de las funciones y metodos")</f>
        <v>Funcionamiento de las funciones y metodos</v>
      </c>
      <c r="G55" s="41" t="str">
        <f>IFERROR(__xludf.DUMMYFUNCTION("""COMPUTED_VALUE"""),"Octubre")</f>
        <v>Octubre</v>
      </c>
      <c r="H55" s="41">
        <f>IFERROR(__xludf.DUMMYFUNCTION("""COMPUTED_VALUE"""),11.0)</f>
        <v>11</v>
      </c>
    </row>
    <row r="56" ht="15.75" customHeight="1">
      <c r="B56" s="41">
        <f>IFERROR(__xludf.DUMMYFUNCTION("""COMPUTED_VALUE"""),50.0)</f>
        <v>50</v>
      </c>
      <c r="C56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6" s="41" t="str">
        <f>IFERROR(__xludf.DUMMYFUNCTION("""COMPUTED_VALUE"""),"Diseño Interprete")</f>
        <v>Diseño Interprete</v>
      </c>
      <c r="E56" s="41" t="str">
        <f>IFERROR(__xludf.DUMMYFUNCTION("""COMPUTED_VALUE"""),"Interprete utilizando patron interprete")</f>
        <v>Interprete utilizando patron interprete</v>
      </c>
      <c r="F56" s="41" t="str">
        <f>IFERROR(__xludf.DUMMYFUNCTION("""COMPUTED_VALUE"""),"Llamada de funciones y metodos")</f>
        <v>Llamada de funciones y metodos</v>
      </c>
      <c r="G56" s="41" t="str">
        <f>IFERROR(__xludf.DUMMYFUNCTION("""COMPUTED_VALUE"""),"Octubre")</f>
        <v>Octubre</v>
      </c>
      <c r="H56" s="41">
        <f>IFERROR(__xludf.DUMMYFUNCTION("""COMPUTED_VALUE"""),11.0)</f>
        <v>11</v>
      </c>
    </row>
    <row r="57" ht="15.75" customHeight="1">
      <c r="B57" s="41">
        <f>IFERROR(__xludf.DUMMYFUNCTION("""COMPUTED_VALUE"""),51.0)</f>
        <v>51</v>
      </c>
      <c r="C57" s="60" t="str">
        <f>IFERROR(__xludf.DUMMYFUNCTION("""COMPUTED_VALUE"""),"Aplica el patrón Intérprete integrando validaciones semánticas y ejecución de sentencias para prototipar lenguajes de dominio específico ")</f>
        <v>Aplica el patrón Intérprete integrando validaciones semánticas y ejecución de sentencias para prototipar lenguajes de dominio específico </v>
      </c>
      <c r="D57" s="41" t="str">
        <f>IFERROR(__xludf.DUMMYFUNCTION("""COMPUTED_VALUE"""),"Diseño Interprete")</f>
        <v>Diseño Interprete</v>
      </c>
      <c r="E57" s="41" t="str">
        <f>IFERROR(__xludf.DUMMYFUNCTION("""COMPUTED_VALUE"""),"Interprete utilizando patron interprete")</f>
        <v>Interprete utilizando patron interprete</v>
      </c>
      <c r="F57" s="41" t="str">
        <f>IFERROR(__xludf.DUMMYFUNCTION("""COMPUTED_VALUE"""),"Llamada principal (main)")</f>
        <v>Llamada principal (main)</v>
      </c>
      <c r="G57" s="41" t="str">
        <f>IFERROR(__xludf.DUMMYFUNCTION("""COMPUTED_VALUE"""),"Octubre")</f>
        <v>Octubre</v>
      </c>
      <c r="H57" s="41">
        <f>IFERROR(__xludf.DUMMYFUNCTION("""COMPUTED_VALUE"""),11.0)</f>
        <v>11</v>
      </c>
    </row>
    <row r="58" ht="15.75" customHeight="1">
      <c r="B58" s="41"/>
      <c r="C58" s="60"/>
      <c r="D58" s="41"/>
      <c r="E58" s="41"/>
      <c r="F58" s="41"/>
      <c r="G58" s="41"/>
      <c r="H58" s="41"/>
    </row>
    <row r="59" ht="15.75" customHeight="1">
      <c r="B59" s="41"/>
      <c r="C59" s="60"/>
      <c r="D59" s="41"/>
      <c r="E59" s="41"/>
      <c r="F59" s="41"/>
      <c r="G59" s="41"/>
      <c r="H59" s="41"/>
    </row>
    <row r="60" ht="15.75" customHeight="1">
      <c r="B60" s="41"/>
      <c r="C60" s="60"/>
      <c r="D60" s="41"/>
      <c r="E60" s="41"/>
      <c r="F60" s="41"/>
      <c r="G60" s="41"/>
      <c r="H60" s="41"/>
    </row>
    <row r="61" ht="15.75" customHeight="1">
      <c r="B61" s="41"/>
      <c r="C61" s="60"/>
      <c r="D61" s="41"/>
      <c r="E61" s="41"/>
      <c r="F61" s="41"/>
      <c r="G61" s="41"/>
      <c r="H61" s="41"/>
    </row>
    <row r="62" ht="15.75" customHeight="1">
      <c r="B62" s="41"/>
      <c r="C62" s="60"/>
      <c r="D62" s="41"/>
      <c r="E62" s="41"/>
      <c r="F62" s="41"/>
      <c r="G62" s="41"/>
      <c r="H62" s="41"/>
    </row>
    <row r="63" ht="15.75" customHeight="1">
      <c r="B63" s="41"/>
      <c r="C63" s="60"/>
      <c r="D63" s="41"/>
      <c r="E63" s="41"/>
      <c r="F63" s="41"/>
      <c r="G63" s="41"/>
      <c r="H63" s="41"/>
    </row>
    <row r="64" ht="15.75" customHeight="1">
      <c r="B64" s="41"/>
      <c r="C64" s="60"/>
      <c r="D64" s="41"/>
      <c r="E64" s="41"/>
      <c r="F64" s="41"/>
      <c r="G64" s="41"/>
      <c r="H64" s="41"/>
    </row>
    <row r="65" ht="15.75" customHeight="1">
      <c r="B65" s="41"/>
      <c r="C65" s="60"/>
      <c r="D65" s="41"/>
      <c r="E65" s="41"/>
      <c r="F65" s="41"/>
      <c r="G65" s="41"/>
      <c r="H65" s="41"/>
    </row>
    <row r="66" ht="15.75" customHeight="1">
      <c r="B66" s="41"/>
      <c r="C66" s="60"/>
      <c r="D66" s="41"/>
      <c r="E66" s="41"/>
      <c r="F66" s="41"/>
      <c r="G66" s="41"/>
      <c r="H66" s="41"/>
    </row>
    <row r="67" ht="15.75" customHeight="1">
      <c r="B67" s="41"/>
      <c r="C67" s="60"/>
      <c r="D67" s="41"/>
      <c r="E67" s="41"/>
      <c r="F67" s="41"/>
      <c r="G67" s="41"/>
      <c r="H67" s="41"/>
    </row>
    <row r="68" ht="15.75" customHeight="1">
      <c r="B68" s="41"/>
      <c r="C68" s="60"/>
      <c r="D68" s="41"/>
      <c r="E68" s="41"/>
      <c r="F68" s="41"/>
      <c r="G68" s="41"/>
      <c r="H68" s="41"/>
    </row>
    <row r="69" ht="15.75" customHeight="1">
      <c r="B69" s="41"/>
      <c r="C69" s="60"/>
      <c r="D69" s="41"/>
      <c r="E69" s="41"/>
      <c r="F69" s="41"/>
      <c r="G69" s="41"/>
      <c r="H69" s="41"/>
    </row>
    <row r="70" ht="15.75" customHeight="1">
      <c r="B70" s="41"/>
      <c r="C70" s="60"/>
      <c r="D70" s="41"/>
      <c r="E70" s="41"/>
      <c r="F70" s="41"/>
      <c r="G70" s="41"/>
      <c r="H70" s="41"/>
    </row>
    <row r="71" ht="15.75" customHeight="1">
      <c r="B71" s="41"/>
      <c r="C71" s="60"/>
      <c r="D71" s="41"/>
      <c r="E71" s="41"/>
      <c r="F71" s="41"/>
      <c r="G71" s="41"/>
      <c r="H71" s="41"/>
    </row>
    <row r="72" ht="15.75" customHeight="1">
      <c r="B72" s="41"/>
      <c r="C72" s="60"/>
      <c r="D72" s="41"/>
      <c r="E72" s="41"/>
      <c r="F72" s="41"/>
      <c r="G72" s="41"/>
      <c r="H72" s="41"/>
    </row>
    <row r="73" ht="15.75" customHeight="1">
      <c r="B73" s="41"/>
      <c r="C73" s="60"/>
      <c r="D73" s="41"/>
      <c r="E73" s="41"/>
      <c r="F73" s="41"/>
      <c r="G73" s="41"/>
      <c r="H73" s="41"/>
    </row>
    <row r="74" ht="15.75" customHeight="1">
      <c r="B74" s="41"/>
      <c r="C74" s="60"/>
      <c r="D74" s="41"/>
      <c r="E74" s="41"/>
      <c r="F74" s="41"/>
      <c r="G74" s="41"/>
      <c r="H74" s="41"/>
    </row>
    <row r="75" ht="15.75" customHeight="1">
      <c r="B75" s="41"/>
      <c r="C75" s="60"/>
      <c r="D75" s="41"/>
      <c r="E75" s="41"/>
      <c r="F75" s="41"/>
      <c r="G75" s="41"/>
      <c r="H75" s="41"/>
    </row>
    <row r="76" ht="15.75" customHeight="1">
      <c r="B76" s="41"/>
      <c r="C76" s="60"/>
      <c r="D76" s="41"/>
      <c r="E76" s="41"/>
      <c r="F76" s="41"/>
      <c r="G76" s="41"/>
      <c r="H76" s="41"/>
    </row>
    <row r="77" ht="15.75" customHeight="1">
      <c r="B77" s="41"/>
      <c r="C77" s="60"/>
      <c r="D77" s="41"/>
      <c r="E77" s="41"/>
      <c r="F77" s="41"/>
      <c r="G77" s="41"/>
      <c r="H77" s="41"/>
    </row>
    <row r="78" ht="15.75" customHeight="1">
      <c r="B78" s="41"/>
      <c r="C78" s="60"/>
      <c r="D78" s="41"/>
      <c r="E78" s="41"/>
      <c r="F78" s="41"/>
      <c r="G78" s="41"/>
      <c r="H78" s="41"/>
    </row>
    <row r="79" ht="15.75" customHeight="1">
      <c r="B79" s="41"/>
      <c r="C79" s="60"/>
      <c r="D79" s="41"/>
      <c r="E79" s="41"/>
      <c r="F79" s="41"/>
      <c r="G79" s="41"/>
      <c r="H79" s="41"/>
    </row>
    <row r="80" ht="15.75" customHeight="1">
      <c r="B80" s="41"/>
      <c r="C80" s="60"/>
      <c r="D80" s="41"/>
      <c r="E80" s="41"/>
      <c r="F80" s="41"/>
      <c r="G80" s="41"/>
      <c r="H80" s="41"/>
    </row>
    <row r="81" ht="15.75" customHeight="1">
      <c r="B81" s="41"/>
      <c r="C81" s="60"/>
      <c r="D81" s="41"/>
      <c r="E81" s="41"/>
      <c r="F81" s="41"/>
      <c r="G81" s="41"/>
      <c r="H81" s="41"/>
    </row>
    <row r="82" ht="15.75" customHeight="1">
      <c r="B82" s="41"/>
      <c r="C82" s="60"/>
      <c r="D82" s="41"/>
      <c r="E82" s="41"/>
      <c r="F82" s="41"/>
      <c r="G82" s="41"/>
      <c r="H82" s="41"/>
    </row>
    <row r="83" ht="15.75" customHeight="1">
      <c r="B83" s="41"/>
      <c r="C83" s="60"/>
      <c r="D83" s="41"/>
      <c r="E83" s="41"/>
      <c r="F83" s="41"/>
      <c r="G83" s="41"/>
      <c r="H83" s="41"/>
    </row>
    <row r="84" ht="15.75" customHeight="1">
      <c r="B84" s="41"/>
      <c r="C84" s="60"/>
      <c r="D84" s="41"/>
      <c r="E84" s="41"/>
      <c r="F84" s="41"/>
      <c r="G84" s="41"/>
      <c r="H84" s="41"/>
    </row>
    <row r="85" ht="15.75" customHeight="1">
      <c r="B85" s="41"/>
      <c r="C85" s="60"/>
      <c r="D85" s="41"/>
      <c r="E85" s="41"/>
      <c r="F85" s="41"/>
      <c r="G85" s="41"/>
      <c r="H85" s="41"/>
    </row>
    <row r="86" ht="15.75" customHeight="1">
      <c r="B86" s="41"/>
      <c r="C86" s="60"/>
      <c r="D86" s="41"/>
      <c r="E86" s="41"/>
      <c r="F86" s="41"/>
      <c r="G86" s="41"/>
      <c r="H86" s="41"/>
    </row>
    <row r="87" ht="15.75" customHeight="1">
      <c r="B87" s="41"/>
      <c r="C87" s="60"/>
      <c r="D87" s="41"/>
      <c r="E87" s="41"/>
      <c r="F87" s="41"/>
      <c r="G87" s="41"/>
      <c r="H87" s="41"/>
    </row>
    <row r="88" ht="15.75" customHeight="1">
      <c r="B88" s="41"/>
      <c r="C88" s="60"/>
      <c r="D88" s="41"/>
      <c r="E88" s="41"/>
      <c r="F88" s="41"/>
      <c r="G88" s="41"/>
      <c r="H88" s="41"/>
    </row>
    <row r="89" ht="15.75" customHeight="1">
      <c r="B89" s="41"/>
      <c r="C89" s="60"/>
      <c r="D89" s="41"/>
      <c r="E89" s="41"/>
      <c r="F89" s="41"/>
      <c r="G89" s="41"/>
      <c r="H89" s="41"/>
    </row>
    <row r="90" ht="15.75" customHeight="1">
      <c r="B90" s="41"/>
      <c r="C90" s="60"/>
      <c r="D90" s="41"/>
      <c r="E90" s="41"/>
      <c r="F90" s="41"/>
      <c r="G90" s="41"/>
      <c r="H90" s="41"/>
    </row>
    <row r="91" ht="15.75" customHeight="1">
      <c r="B91" s="41"/>
      <c r="C91" s="60"/>
      <c r="D91" s="41"/>
      <c r="E91" s="41"/>
      <c r="F91" s="41"/>
      <c r="G91" s="41"/>
      <c r="H91" s="41"/>
    </row>
    <row r="92" ht="15.75" customHeight="1">
      <c r="B92" s="41"/>
      <c r="C92" s="60"/>
      <c r="D92" s="41"/>
      <c r="E92" s="41"/>
      <c r="F92" s="41"/>
      <c r="G92" s="41"/>
      <c r="H92" s="41"/>
    </row>
    <row r="93" ht="15.75" customHeight="1">
      <c r="B93" s="41"/>
      <c r="C93" s="60"/>
      <c r="D93" s="41"/>
      <c r="E93" s="41"/>
      <c r="F93" s="41"/>
      <c r="G93" s="41"/>
      <c r="H93" s="41"/>
    </row>
    <row r="94" ht="15.75" customHeight="1">
      <c r="B94" s="41"/>
      <c r="C94" s="60"/>
      <c r="D94" s="41"/>
      <c r="E94" s="41"/>
      <c r="F94" s="41"/>
      <c r="G94" s="41"/>
      <c r="H94" s="41"/>
    </row>
    <row r="95" ht="15.75" customHeight="1">
      <c r="B95" s="41"/>
      <c r="C95" s="60"/>
      <c r="D95" s="41"/>
      <c r="E95" s="41"/>
      <c r="F95" s="41"/>
      <c r="G95" s="41"/>
      <c r="H95" s="41"/>
    </row>
    <row r="96" ht="15.75" customHeight="1">
      <c r="B96" s="41"/>
      <c r="C96" s="60"/>
      <c r="D96" s="41"/>
      <c r="E96" s="41"/>
      <c r="F96" s="41"/>
      <c r="G96" s="41"/>
      <c r="H96" s="41"/>
    </row>
    <row r="97" ht="15.75" customHeight="1">
      <c r="B97" s="41"/>
      <c r="C97" s="60"/>
      <c r="D97" s="41"/>
      <c r="E97" s="41"/>
      <c r="F97" s="41"/>
      <c r="G97" s="41"/>
      <c r="H97" s="41"/>
    </row>
    <row r="98" ht="15.75" customHeight="1">
      <c r="B98" s="41"/>
      <c r="C98" s="60"/>
      <c r="D98" s="41"/>
      <c r="E98" s="41"/>
      <c r="F98" s="41"/>
      <c r="G98" s="41"/>
      <c r="H98" s="41"/>
    </row>
    <row r="99" ht="15.75" customHeight="1">
      <c r="B99" s="41"/>
      <c r="C99" s="60"/>
      <c r="D99" s="41"/>
      <c r="E99" s="41"/>
      <c r="F99" s="41"/>
      <c r="G99" s="41"/>
      <c r="H99" s="41"/>
    </row>
    <row r="100" ht="15.75" customHeight="1">
      <c r="B100" s="41"/>
      <c r="C100" s="60"/>
      <c r="D100" s="41"/>
      <c r="E100" s="41"/>
      <c r="F100" s="41"/>
      <c r="G100" s="41"/>
      <c r="H100" s="41"/>
    </row>
    <row r="101" ht="15.75" customHeight="1">
      <c r="B101" s="41"/>
      <c r="C101" s="60"/>
      <c r="D101" s="41"/>
      <c r="E101" s="41"/>
      <c r="F101" s="41"/>
      <c r="G101" s="41"/>
      <c r="H101" s="41"/>
    </row>
    <row r="102" ht="15.75" customHeight="1">
      <c r="B102" s="41"/>
      <c r="C102" s="60"/>
      <c r="D102" s="41"/>
      <c r="E102" s="41"/>
      <c r="F102" s="41"/>
      <c r="G102" s="41"/>
      <c r="H102" s="41"/>
    </row>
    <row r="103" ht="15.75" customHeight="1">
      <c r="B103" s="41"/>
      <c r="C103" s="60"/>
      <c r="D103" s="41"/>
      <c r="E103" s="41"/>
      <c r="F103" s="41"/>
      <c r="G103" s="41"/>
      <c r="H103" s="41"/>
    </row>
    <row r="104" ht="15.75" customHeight="1">
      <c r="B104" s="41"/>
      <c r="C104" s="60"/>
      <c r="D104" s="41"/>
      <c r="E104" s="41"/>
      <c r="F104" s="41"/>
      <c r="G104" s="41"/>
      <c r="H104" s="41"/>
    </row>
    <row r="105" ht="15.75" customHeight="1">
      <c r="B105" s="41"/>
      <c r="C105" s="60"/>
      <c r="D105" s="41"/>
      <c r="E105" s="41"/>
      <c r="F105" s="41"/>
      <c r="G105" s="41"/>
      <c r="H105" s="41"/>
    </row>
    <row r="106" ht="15.75" customHeight="1">
      <c r="B106" s="41"/>
      <c r="C106" s="60"/>
      <c r="D106" s="41"/>
      <c r="E106" s="41"/>
      <c r="F106" s="41"/>
      <c r="G106" s="41"/>
      <c r="H106" s="41"/>
    </row>
    <row r="107" ht="15.75" customHeight="1">
      <c r="B107" s="41"/>
      <c r="C107" s="60"/>
      <c r="D107" s="41"/>
      <c r="E107" s="41"/>
      <c r="F107" s="41"/>
      <c r="G107" s="41"/>
      <c r="H107" s="41"/>
    </row>
    <row r="108" ht="15.75" customHeight="1">
      <c r="B108" s="41"/>
      <c r="C108" s="60"/>
      <c r="D108" s="41"/>
      <c r="E108" s="41"/>
      <c r="F108" s="41"/>
      <c r="G108" s="41"/>
      <c r="H108" s="41"/>
    </row>
    <row r="109" ht="15.75" customHeight="1">
      <c r="B109" s="41"/>
      <c r="C109" s="60"/>
      <c r="D109" s="41"/>
      <c r="E109" s="41"/>
      <c r="F109" s="41"/>
      <c r="G109" s="41"/>
      <c r="H109" s="41"/>
    </row>
    <row r="110" ht="15.75" customHeight="1">
      <c r="B110" s="41"/>
      <c r="C110" s="60"/>
      <c r="D110" s="41"/>
      <c r="E110" s="41"/>
      <c r="F110" s="41"/>
      <c r="G110" s="41"/>
      <c r="H110" s="41"/>
    </row>
    <row r="111" ht="15.75" customHeight="1">
      <c r="B111" s="41"/>
      <c r="C111" s="60"/>
      <c r="D111" s="41"/>
      <c r="E111" s="41"/>
      <c r="F111" s="41"/>
      <c r="G111" s="41"/>
      <c r="H111" s="41"/>
    </row>
    <row r="112" ht="15.75" customHeight="1">
      <c r="B112" s="41"/>
      <c r="C112" s="60"/>
      <c r="D112" s="41"/>
      <c r="E112" s="41"/>
      <c r="F112" s="41"/>
      <c r="G112" s="41"/>
      <c r="H112" s="41"/>
    </row>
    <row r="113" ht="15.75" customHeight="1">
      <c r="B113" s="41"/>
      <c r="C113" s="60"/>
      <c r="D113" s="41"/>
      <c r="E113" s="41"/>
      <c r="F113" s="41"/>
      <c r="G113" s="41"/>
      <c r="H113" s="41"/>
    </row>
    <row r="114" ht="15.75" customHeight="1">
      <c r="B114" s="41"/>
      <c r="C114" s="60"/>
      <c r="D114" s="41"/>
      <c r="E114" s="41"/>
      <c r="F114" s="41"/>
      <c r="G114" s="41"/>
      <c r="H114" s="41"/>
    </row>
    <row r="115" ht="15.75" customHeight="1">
      <c r="B115" s="41"/>
      <c r="C115" s="60"/>
      <c r="D115" s="41"/>
      <c r="E115" s="41"/>
      <c r="F115" s="41"/>
      <c r="G115" s="41"/>
      <c r="H115" s="41"/>
    </row>
    <row r="116" ht="15.75" customHeight="1">
      <c r="B116" s="41"/>
      <c r="C116" s="60"/>
      <c r="D116" s="41"/>
      <c r="E116" s="41"/>
      <c r="F116" s="41"/>
      <c r="G116" s="41"/>
      <c r="H116" s="41"/>
    </row>
    <row r="117" ht="15.75" customHeight="1">
      <c r="B117" s="41"/>
      <c r="C117" s="60"/>
      <c r="D117" s="41"/>
      <c r="E117" s="41"/>
      <c r="F117" s="41"/>
      <c r="G117" s="41"/>
      <c r="H117" s="41"/>
    </row>
    <row r="118" ht="15.75" customHeight="1">
      <c r="B118" s="41"/>
      <c r="C118" s="60"/>
      <c r="D118" s="41"/>
      <c r="E118" s="41"/>
      <c r="F118" s="41"/>
      <c r="G118" s="41"/>
      <c r="H118" s="41"/>
    </row>
    <row r="119" ht="15.75" customHeight="1">
      <c r="B119" s="41"/>
      <c r="C119" s="60"/>
      <c r="D119" s="41"/>
      <c r="E119" s="41"/>
      <c r="F119" s="41"/>
      <c r="G119" s="41"/>
      <c r="H119" s="41"/>
    </row>
    <row r="120" ht="15.75" customHeight="1">
      <c r="B120" s="41"/>
      <c r="C120" s="60"/>
      <c r="D120" s="41"/>
      <c r="E120" s="41"/>
      <c r="F120" s="41"/>
      <c r="G120" s="41"/>
      <c r="H120" s="41"/>
    </row>
    <row r="121" ht="15.75" customHeight="1">
      <c r="B121" s="41"/>
      <c r="C121" s="60"/>
      <c r="D121" s="41"/>
      <c r="E121" s="41"/>
      <c r="F121" s="41"/>
      <c r="G121" s="41"/>
      <c r="H121" s="41"/>
    </row>
    <row r="122" ht="15.75" customHeight="1">
      <c r="B122" s="41"/>
      <c r="C122" s="60"/>
      <c r="D122" s="41"/>
      <c r="E122" s="41"/>
      <c r="F122" s="41"/>
      <c r="G122" s="41"/>
      <c r="H122" s="41"/>
    </row>
    <row r="123" ht="15.75" customHeight="1">
      <c r="B123" s="41"/>
      <c r="C123" s="60"/>
      <c r="D123" s="41"/>
      <c r="E123" s="41"/>
      <c r="F123" s="41"/>
      <c r="G123" s="41"/>
      <c r="H123" s="41"/>
    </row>
    <row r="124" ht="15.75" customHeight="1">
      <c r="B124" s="41"/>
      <c r="C124" s="60"/>
      <c r="D124" s="41"/>
      <c r="E124" s="41"/>
      <c r="F124" s="41"/>
      <c r="G124" s="41"/>
      <c r="H124" s="41"/>
    </row>
    <row r="125" ht="15.75" customHeight="1">
      <c r="B125" s="41"/>
      <c r="C125" s="60"/>
      <c r="D125" s="41"/>
      <c r="E125" s="41"/>
      <c r="F125" s="41"/>
      <c r="G125" s="41"/>
      <c r="H125" s="41"/>
    </row>
    <row r="126" ht="15.75" customHeight="1">
      <c r="B126" s="41"/>
      <c r="C126" s="60"/>
      <c r="D126" s="41"/>
      <c r="E126" s="41"/>
      <c r="F126" s="41"/>
      <c r="G126" s="41"/>
      <c r="H126" s="41"/>
    </row>
    <row r="127" ht="15.75" customHeight="1">
      <c r="B127" s="41"/>
      <c r="C127" s="60"/>
      <c r="D127" s="41"/>
      <c r="E127" s="41"/>
      <c r="F127" s="41"/>
      <c r="G127" s="41"/>
      <c r="H127" s="41"/>
    </row>
    <row r="128" ht="15.75" customHeight="1">
      <c r="B128" s="41"/>
      <c r="C128" s="60"/>
      <c r="D128" s="41"/>
      <c r="E128" s="41"/>
      <c r="F128" s="41"/>
      <c r="G128" s="41"/>
      <c r="H128" s="41"/>
    </row>
    <row r="129" ht="15.75" customHeight="1">
      <c r="B129" s="41"/>
      <c r="C129" s="60"/>
      <c r="D129" s="41"/>
      <c r="E129" s="41"/>
      <c r="F129" s="41"/>
      <c r="G129" s="41"/>
      <c r="H129" s="41"/>
    </row>
    <row r="130" ht="15.75" customHeight="1">
      <c r="B130" s="41"/>
      <c r="C130" s="60"/>
      <c r="D130" s="41"/>
      <c r="E130" s="41"/>
      <c r="F130" s="41"/>
      <c r="G130" s="41"/>
      <c r="H130" s="41"/>
    </row>
    <row r="131" ht="15.75" customHeight="1">
      <c r="B131" s="41"/>
      <c r="C131" s="60"/>
      <c r="D131" s="41"/>
      <c r="E131" s="41"/>
      <c r="F131" s="41"/>
      <c r="G131" s="41"/>
      <c r="H131" s="41"/>
    </row>
    <row r="132" ht="15.75" customHeight="1">
      <c r="B132" s="41"/>
      <c r="C132" s="60"/>
      <c r="D132" s="41"/>
      <c r="E132" s="41"/>
      <c r="F132" s="41"/>
      <c r="G132" s="41"/>
      <c r="H132" s="41"/>
    </row>
    <row r="133" ht="15.75" customHeight="1">
      <c r="B133" s="41"/>
      <c r="C133" s="60"/>
      <c r="D133" s="41"/>
      <c r="E133" s="41"/>
      <c r="F133" s="41"/>
      <c r="G133" s="41"/>
      <c r="H133" s="41"/>
    </row>
    <row r="134" ht="15.75" customHeight="1">
      <c r="B134" s="41"/>
      <c r="C134" s="60"/>
      <c r="D134" s="41"/>
      <c r="E134" s="41"/>
      <c r="F134" s="41"/>
      <c r="G134" s="41"/>
      <c r="H134" s="41"/>
    </row>
    <row r="135" ht="15.75" customHeight="1">
      <c r="B135" s="41"/>
      <c r="C135" s="60"/>
      <c r="D135" s="41"/>
      <c r="E135" s="41"/>
      <c r="F135" s="41"/>
      <c r="G135" s="41"/>
      <c r="H135" s="41"/>
    </row>
    <row r="136" ht="15.75" customHeight="1">
      <c r="B136" s="41"/>
      <c r="C136" s="60"/>
      <c r="D136" s="41"/>
      <c r="E136" s="41"/>
      <c r="F136" s="41"/>
      <c r="G136" s="41"/>
      <c r="H136" s="41"/>
    </row>
    <row r="137" ht="15.75" customHeight="1">
      <c r="B137" s="41"/>
      <c r="C137" s="60"/>
      <c r="D137" s="41"/>
      <c r="E137" s="41"/>
      <c r="F137" s="41"/>
      <c r="G137" s="41"/>
      <c r="H137" s="41"/>
    </row>
    <row r="138" ht="15.75" customHeight="1">
      <c r="B138" s="41"/>
      <c r="C138" s="60"/>
      <c r="D138" s="41"/>
      <c r="E138" s="41"/>
      <c r="F138" s="41"/>
      <c r="G138" s="41"/>
      <c r="H138" s="41"/>
    </row>
    <row r="139" ht="15.75" customHeight="1">
      <c r="B139" s="41"/>
      <c r="C139" s="60"/>
      <c r="D139" s="41"/>
      <c r="E139" s="41"/>
      <c r="F139" s="41"/>
      <c r="G139" s="41"/>
      <c r="H139" s="41"/>
    </row>
    <row r="140" ht="15.75" customHeight="1">
      <c r="B140" s="41"/>
      <c r="C140" s="60"/>
      <c r="D140" s="41"/>
      <c r="E140" s="41"/>
      <c r="F140" s="41"/>
      <c r="G140" s="41"/>
      <c r="H140" s="41"/>
    </row>
    <row r="141" ht="15.75" customHeight="1">
      <c r="B141" s="41"/>
      <c r="C141" s="60"/>
      <c r="D141" s="41"/>
      <c r="E141" s="41"/>
      <c r="F141" s="41"/>
      <c r="G141" s="41"/>
      <c r="H141" s="41"/>
    </row>
    <row r="142" ht="15.75" customHeight="1">
      <c r="B142" s="41"/>
      <c r="C142" s="60"/>
      <c r="D142" s="41"/>
      <c r="E142" s="41"/>
      <c r="F142" s="41"/>
      <c r="G142" s="41"/>
      <c r="H142" s="41"/>
    </row>
    <row r="143" ht="15.75" customHeight="1">
      <c r="B143" s="41"/>
      <c r="C143" s="60"/>
      <c r="D143" s="41"/>
      <c r="E143" s="41"/>
      <c r="F143" s="41"/>
      <c r="G143" s="41"/>
      <c r="H143" s="41"/>
    </row>
    <row r="144" ht="15.75" customHeight="1">
      <c r="B144" s="41"/>
      <c r="C144" s="60"/>
      <c r="D144" s="41"/>
      <c r="E144" s="41"/>
      <c r="F144" s="41"/>
      <c r="G144" s="41"/>
      <c r="H144" s="41"/>
    </row>
    <row r="145" ht="15.75" customHeight="1">
      <c r="B145" s="41"/>
      <c r="C145" s="60"/>
      <c r="D145" s="41"/>
      <c r="E145" s="41"/>
      <c r="F145" s="41"/>
      <c r="G145" s="41"/>
      <c r="H145" s="41"/>
    </row>
    <row r="146" ht="15.75" customHeight="1">
      <c r="B146" s="41"/>
      <c r="C146" s="60"/>
      <c r="D146" s="41"/>
      <c r="E146" s="41"/>
      <c r="F146" s="41"/>
      <c r="G146" s="41"/>
      <c r="H146" s="41"/>
    </row>
    <row r="147" ht="15.75" customHeight="1">
      <c r="B147" s="41"/>
      <c r="C147" s="60"/>
      <c r="D147" s="41"/>
      <c r="E147" s="41"/>
      <c r="F147" s="41"/>
      <c r="G147" s="41"/>
      <c r="H147" s="41"/>
    </row>
    <row r="148" ht="15.75" customHeight="1">
      <c r="B148" s="41"/>
      <c r="C148" s="60"/>
      <c r="D148" s="41"/>
      <c r="E148" s="41"/>
      <c r="F148" s="41"/>
      <c r="G148" s="41"/>
      <c r="H148" s="41"/>
    </row>
    <row r="149" ht="15.75" customHeight="1">
      <c r="B149" s="41"/>
      <c r="C149" s="60"/>
      <c r="D149" s="41"/>
      <c r="E149" s="41"/>
      <c r="F149" s="41"/>
      <c r="G149" s="41"/>
      <c r="H149" s="41"/>
    </row>
    <row r="150" ht="15.75" customHeight="1">
      <c r="B150" s="41"/>
      <c r="C150" s="60"/>
      <c r="D150" s="41"/>
      <c r="E150" s="41"/>
      <c r="F150" s="41"/>
      <c r="G150" s="41"/>
      <c r="H150" s="41"/>
    </row>
    <row r="151" ht="15.75" customHeight="1">
      <c r="B151" s="41"/>
      <c r="C151" s="60"/>
      <c r="D151" s="41"/>
      <c r="E151" s="41"/>
      <c r="F151" s="41"/>
      <c r="G151" s="41"/>
      <c r="H151" s="41"/>
    </row>
    <row r="152" ht="15.75" customHeight="1">
      <c r="B152" s="41"/>
      <c r="C152" s="60"/>
      <c r="D152" s="41"/>
      <c r="E152" s="41"/>
      <c r="F152" s="41"/>
      <c r="G152" s="41"/>
      <c r="H152" s="41"/>
    </row>
    <row r="153" ht="15.75" customHeight="1">
      <c r="B153" s="41"/>
      <c r="C153" s="60"/>
      <c r="D153" s="41"/>
      <c r="E153" s="41"/>
      <c r="F153" s="41"/>
      <c r="G153" s="41"/>
      <c r="H153" s="41"/>
    </row>
    <row r="154" ht="15.75" customHeight="1">
      <c r="B154" s="41"/>
      <c r="C154" s="60"/>
      <c r="D154" s="41"/>
      <c r="E154" s="41"/>
      <c r="F154" s="41"/>
      <c r="G154" s="41"/>
      <c r="H154" s="41"/>
    </row>
    <row r="155" ht="15.75" customHeight="1">
      <c r="B155" s="41"/>
      <c r="C155" s="60"/>
      <c r="D155" s="41"/>
      <c r="E155" s="41"/>
      <c r="F155" s="41"/>
      <c r="G155" s="41"/>
      <c r="H155" s="41"/>
    </row>
    <row r="156" ht="15.75" customHeight="1">
      <c r="B156" s="41"/>
      <c r="C156" s="60"/>
      <c r="D156" s="41"/>
      <c r="E156" s="41"/>
      <c r="F156" s="41"/>
      <c r="G156" s="41"/>
      <c r="H156" s="41"/>
    </row>
    <row r="157" ht="15.75" customHeight="1">
      <c r="B157" s="41"/>
      <c r="C157" s="60"/>
      <c r="D157" s="41"/>
      <c r="E157" s="41"/>
      <c r="F157" s="41"/>
      <c r="G157" s="41"/>
      <c r="H157" s="41"/>
    </row>
    <row r="158" ht="15.75" customHeight="1">
      <c r="B158" s="41"/>
      <c r="C158" s="60"/>
      <c r="D158" s="41"/>
      <c r="E158" s="41"/>
      <c r="F158" s="41"/>
      <c r="G158" s="41"/>
      <c r="H158" s="41"/>
    </row>
    <row r="159" ht="15.75" customHeight="1">
      <c r="B159" s="41"/>
      <c r="C159" s="60"/>
      <c r="D159" s="41"/>
      <c r="E159" s="41"/>
      <c r="F159" s="41"/>
      <c r="G159" s="41"/>
      <c r="H159" s="41"/>
    </row>
    <row r="160" ht="15.75" customHeight="1">
      <c r="B160" s="41"/>
      <c r="C160" s="60"/>
      <c r="D160" s="41"/>
      <c r="E160" s="41"/>
      <c r="F160" s="41"/>
      <c r="G160" s="41"/>
      <c r="H160" s="41"/>
    </row>
    <row r="161" ht="15.75" customHeight="1">
      <c r="B161" s="41"/>
      <c r="C161" s="60"/>
      <c r="D161" s="41"/>
      <c r="E161" s="41"/>
      <c r="F161" s="41"/>
      <c r="G161" s="41"/>
      <c r="H161" s="41"/>
    </row>
    <row r="162" ht="15.75" customHeight="1">
      <c r="B162" s="41"/>
      <c r="C162" s="60"/>
      <c r="D162" s="41"/>
      <c r="E162" s="41"/>
      <c r="F162" s="41"/>
      <c r="G162" s="41"/>
      <c r="H162" s="41"/>
    </row>
    <row r="163" ht="15.75" customHeight="1">
      <c r="B163" s="41"/>
      <c r="C163" s="60"/>
      <c r="D163" s="41"/>
      <c r="E163" s="41"/>
      <c r="F163" s="41"/>
      <c r="G163" s="41"/>
      <c r="H163" s="41"/>
    </row>
    <row r="164" ht="15.75" customHeight="1">
      <c r="B164" s="41"/>
      <c r="C164" s="60"/>
      <c r="D164" s="41"/>
      <c r="E164" s="41"/>
      <c r="F164" s="41"/>
      <c r="G164" s="41"/>
      <c r="H164" s="41"/>
    </row>
    <row r="165" ht="15.75" customHeight="1">
      <c r="B165" s="41"/>
      <c r="C165" s="60"/>
      <c r="D165" s="41"/>
      <c r="E165" s="41"/>
      <c r="F165" s="41"/>
      <c r="G165" s="41"/>
      <c r="H165" s="41"/>
    </row>
    <row r="166" ht="15.75" customHeight="1">
      <c r="B166" s="41"/>
      <c r="C166" s="60"/>
      <c r="D166" s="41"/>
      <c r="E166" s="41"/>
      <c r="F166" s="41"/>
      <c r="G166" s="41"/>
      <c r="H166" s="41"/>
    </row>
    <row r="167" ht="15.75" customHeight="1">
      <c r="B167" s="41"/>
      <c r="C167" s="60"/>
      <c r="D167" s="41"/>
      <c r="E167" s="41"/>
      <c r="F167" s="41"/>
      <c r="G167" s="41"/>
      <c r="H167" s="41"/>
    </row>
    <row r="168" ht="15.75" customHeight="1">
      <c r="B168" s="41"/>
      <c r="C168" s="60"/>
      <c r="D168" s="41"/>
      <c r="E168" s="41"/>
      <c r="F168" s="41"/>
      <c r="G168" s="41"/>
      <c r="H168" s="41"/>
    </row>
    <row r="169" ht="15.75" customHeight="1">
      <c r="B169" s="41"/>
      <c r="C169" s="60"/>
      <c r="D169" s="41"/>
      <c r="E169" s="41"/>
      <c r="F169" s="41"/>
      <c r="G169" s="41"/>
      <c r="H169" s="41"/>
    </row>
    <row r="170" ht="15.75" customHeight="1">
      <c r="B170" s="41"/>
      <c r="C170" s="60"/>
      <c r="D170" s="41"/>
      <c r="E170" s="41"/>
      <c r="F170" s="41"/>
      <c r="G170" s="41"/>
      <c r="H170" s="41"/>
    </row>
    <row r="171" ht="15.75" customHeight="1">
      <c r="B171" s="41"/>
      <c r="C171" s="60"/>
      <c r="D171" s="41"/>
      <c r="E171" s="41"/>
      <c r="F171" s="41"/>
      <c r="G171" s="41"/>
      <c r="H171" s="41"/>
    </row>
    <row r="172" ht="15.75" customHeight="1">
      <c r="B172" s="41"/>
      <c r="C172" s="60"/>
      <c r="D172" s="41"/>
      <c r="E172" s="41"/>
      <c r="F172" s="41"/>
      <c r="G172" s="41"/>
      <c r="H172" s="41"/>
    </row>
    <row r="173" ht="15.75" customHeight="1">
      <c r="B173" s="41"/>
      <c r="C173" s="60"/>
      <c r="D173" s="41"/>
      <c r="E173" s="41"/>
      <c r="F173" s="41"/>
      <c r="G173" s="41"/>
      <c r="H173" s="41"/>
    </row>
    <row r="174" ht="15.75" customHeight="1">
      <c r="B174" s="41"/>
      <c r="C174" s="60"/>
      <c r="D174" s="41"/>
      <c r="E174" s="41"/>
      <c r="F174" s="41"/>
      <c r="G174" s="41"/>
      <c r="H174" s="41"/>
    </row>
    <row r="175" ht="15.75" customHeight="1">
      <c r="B175" s="41"/>
      <c r="C175" s="60"/>
      <c r="D175" s="41"/>
      <c r="E175" s="41"/>
      <c r="F175" s="41"/>
      <c r="G175" s="41"/>
      <c r="H175" s="41"/>
    </row>
    <row r="176" ht="15.75" customHeight="1">
      <c r="B176" s="41"/>
      <c r="C176" s="60"/>
      <c r="D176" s="41"/>
      <c r="E176" s="41"/>
      <c r="F176" s="41"/>
      <c r="G176" s="41"/>
      <c r="H176" s="41"/>
    </row>
    <row r="177" ht="15.75" customHeight="1">
      <c r="B177" s="41"/>
      <c r="C177" s="60"/>
      <c r="D177" s="41"/>
      <c r="E177" s="41"/>
      <c r="F177" s="41"/>
      <c r="G177" s="41"/>
      <c r="H177" s="41"/>
    </row>
    <row r="178" ht="15.75" customHeight="1">
      <c r="B178" s="41"/>
      <c r="C178" s="60"/>
      <c r="D178" s="41"/>
      <c r="E178" s="41"/>
      <c r="F178" s="41"/>
      <c r="G178" s="41"/>
      <c r="H178" s="41"/>
    </row>
    <row r="179" ht="15.75" customHeight="1">
      <c r="B179" s="41"/>
      <c r="C179" s="60"/>
      <c r="D179" s="41"/>
      <c r="E179" s="41"/>
      <c r="F179" s="41"/>
      <c r="G179" s="41"/>
      <c r="H179" s="41"/>
    </row>
    <row r="180" ht="15.75" customHeight="1">
      <c r="B180" s="41"/>
      <c r="C180" s="60"/>
      <c r="D180" s="41"/>
      <c r="E180" s="41"/>
      <c r="F180" s="41"/>
      <c r="G180" s="41"/>
      <c r="H180" s="41"/>
    </row>
    <row r="181" ht="15.75" customHeight="1">
      <c r="B181" s="41"/>
      <c r="C181" s="60"/>
      <c r="D181" s="41"/>
      <c r="E181" s="41"/>
      <c r="F181" s="41"/>
      <c r="G181" s="41"/>
      <c r="H181" s="41"/>
    </row>
    <row r="182" ht="15.75" customHeight="1">
      <c r="B182" s="41"/>
      <c r="C182" s="60"/>
      <c r="D182" s="41"/>
      <c r="E182" s="41"/>
      <c r="F182" s="41"/>
      <c r="G182" s="41"/>
      <c r="H182" s="41"/>
    </row>
    <row r="183" ht="15.75" customHeight="1">
      <c r="B183" s="41"/>
      <c r="C183" s="60"/>
      <c r="D183" s="41"/>
      <c r="E183" s="41"/>
      <c r="F183" s="41"/>
      <c r="G183" s="41"/>
      <c r="H183" s="41"/>
    </row>
    <row r="184" ht="15.75" customHeight="1">
      <c r="B184" s="41"/>
      <c r="C184" s="60"/>
      <c r="D184" s="41"/>
      <c r="E184" s="41"/>
      <c r="F184" s="41"/>
      <c r="G184" s="41"/>
      <c r="H184" s="41"/>
    </row>
    <row r="185" ht="15.75" customHeight="1">
      <c r="B185" s="41"/>
      <c r="C185" s="60"/>
      <c r="D185" s="41"/>
      <c r="E185" s="41"/>
      <c r="F185" s="41"/>
      <c r="G185" s="41"/>
      <c r="H185" s="41"/>
    </row>
    <row r="186" ht="15.75" customHeight="1">
      <c r="B186" s="41"/>
      <c r="C186" s="60"/>
      <c r="D186" s="41"/>
      <c r="E186" s="41"/>
      <c r="F186" s="41"/>
      <c r="G186" s="41"/>
      <c r="H186" s="41"/>
    </row>
    <row r="187" ht="15.75" customHeight="1">
      <c r="B187" s="41"/>
      <c r="C187" s="60"/>
      <c r="D187" s="41"/>
      <c r="E187" s="41"/>
      <c r="F187" s="41"/>
      <c r="G187" s="41"/>
      <c r="H187" s="41"/>
    </row>
    <row r="188" ht="15.75" customHeight="1">
      <c r="B188" s="41"/>
      <c r="C188" s="60"/>
      <c r="D188" s="41"/>
      <c r="E188" s="41"/>
      <c r="F188" s="41"/>
      <c r="G188" s="41"/>
      <c r="H188" s="41"/>
    </row>
    <row r="189" ht="15.75" customHeight="1">
      <c r="B189" s="41"/>
      <c r="C189" s="60"/>
      <c r="D189" s="41"/>
      <c r="E189" s="41"/>
      <c r="F189" s="41"/>
      <c r="G189" s="41"/>
      <c r="H189" s="41"/>
    </row>
    <row r="190" ht="15.75" customHeight="1">
      <c r="B190" s="41"/>
      <c r="C190" s="60"/>
      <c r="D190" s="41"/>
      <c r="E190" s="41"/>
      <c r="F190" s="41"/>
      <c r="G190" s="41"/>
      <c r="H190" s="41"/>
    </row>
    <row r="191" ht="15.75" customHeight="1">
      <c r="B191" s="41"/>
      <c r="C191" s="60"/>
      <c r="D191" s="41"/>
      <c r="E191" s="41"/>
      <c r="F191" s="41"/>
      <c r="G191" s="41"/>
      <c r="H191" s="41"/>
    </row>
    <row r="192" ht="15.75" customHeight="1">
      <c r="B192" s="41"/>
      <c r="C192" s="60"/>
      <c r="D192" s="41"/>
      <c r="E192" s="41"/>
      <c r="F192" s="41"/>
      <c r="G192" s="41"/>
      <c r="H192" s="41"/>
    </row>
    <row r="193" ht="15.75" customHeight="1">
      <c r="B193" s="41"/>
      <c r="C193" s="60"/>
      <c r="D193" s="41"/>
      <c r="E193" s="41"/>
      <c r="F193" s="41"/>
      <c r="G193" s="41"/>
      <c r="H193" s="41"/>
    </row>
    <row r="194" ht="15.75" customHeight="1">
      <c r="B194" s="41"/>
      <c r="C194" s="60"/>
      <c r="D194" s="41"/>
      <c r="E194" s="41"/>
      <c r="F194" s="41"/>
      <c r="G194" s="41"/>
      <c r="H194" s="41"/>
    </row>
    <row r="195" ht="15.75" customHeight="1">
      <c r="B195" s="41"/>
      <c r="C195" s="60"/>
      <c r="D195" s="41"/>
      <c r="E195" s="41"/>
      <c r="F195" s="41"/>
      <c r="G195" s="41"/>
      <c r="H195" s="41"/>
    </row>
    <row r="196" ht="15.75" customHeight="1">
      <c r="B196" s="41"/>
      <c r="C196" s="60"/>
      <c r="D196" s="41"/>
      <c r="E196" s="41"/>
      <c r="F196" s="41"/>
      <c r="G196" s="41"/>
      <c r="H196" s="41"/>
    </row>
    <row r="197" ht="15.75" customHeight="1">
      <c r="B197" s="41"/>
      <c r="C197" s="60"/>
      <c r="D197" s="41"/>
      <c r="E197" s="41"/>
      <c r="F197" s="41"/>
      <c r="G197" s="41"/>
      <c r="H197" s="41"/>
    </row>
    <row r="198" ht="15.75" customHeight="1">
      <c r="B198" s="41"/>
      <c r="C198" s="60"/>
      <c r="D198" s="41"/>
      <c r="E198" s="41"/>
      <c r="F198" s="41"/>
      <c r="G198" s="41"/>
      <c r="H198" s="41"/>
    </row>
    <row r="199" ht="15.75" customHeight="1">
      <c r="B199" s="41"/>
      <c r="C199" s="60"/>
      <c r="D199" s="41"/>
      <c r="E199" s="41"/>
      <c r="F199" s="41"/>
      <c r="G199" s="41"/>
      <c r="H199" s="41"/>
    </row>
    <row r="200" ht="15.75" customHeight="1">
      <c r="B200" s="41"/>
      <c r="C200" s="60"/>
      <c r="D200" s="41"/>
      <c r="E200" s="41"/>
      <c r="F200" s="41"/>
      <c r="G200" s="41"/>
      <c r="H200" s="41"/>
    </row>
    <row r="201" ht="15.75" customHeight="1">
      <c r="B201" s="41"/>
      <c r="C201" s="60"/>
      <c r="D201" s="41"/>
      <c r="E201" s="41"/>
      <c r="F201" s="41"/>
      <c r="G201" s="41"/>
      <c r="H201" s="41"/>
    </row>
    <row r="202" ht="15.75" customHeight="1">
      <c r="B202" s="41"/>
      <c r="C202" s="60"/>
      <c r="D202" s="41"/>
      <c r="E202" s="41"/>
      <c r="F202" s="41"/>
      <c r="G202" s="41"/>
      <c r="H202" s="41"/>
    </row>
    <row r="203" ht="15.75" customHeight="1">
      <c r="B203" s="41"/>
      <c r="C203" s="60"/>
      <c r="D203" s="41"/>
      <c r="E203" s="41"/>
      <c r="F203" s="41"/>
      <c r="G203" s="41"/>
      <c r="H203" s="41"/>
    </row>
    <row r="204" ht="15.75" customHeight="1">
      <c r="B204" s="41"/>
      <c r="C204" s="60"/>
      <c r="D204" s="41"/>
      <c r="E204" s="41"/>
      <c r="F204" s="41"/>
      <c r="G204" s="41"/>
      <c r="H204" s="41"/>
    </row>
    <row r="205" ht="15.75" customHeight="1">
      <c r="B205" s="41"/>
      <c r="C205" s="60"/>
      <c r="D205" s="41"/>
      <c r="E205" s="41"/>
      <c r="F205" s="41"/>
      <c r="G205" s="41"/>
      <c r="H205" s="41"/>
    </row>
    <row r="206" ht="15.75" customHeight="1">
      <c r="B206" s="41"/>
      <c r="C206" s="60"/>
      <c r="D206" s="41"/>
      <c r="E206" s="41"/>
      <c r="F206" s="41"/>
      <c r="G206" s="41"/>
      <c r="H206" s="41"/>
    </row>
    <row r="207" ht="15.75" customHeight="1">
      <c r="B207" s="41"/>
      <c r="C207" s="60"/>
      <c r="D207" s="41"/>
      <c r="E207" s="41"/>
      <c r="F207" s="41"/>
      <c r="G207" s="41"/>
      <c r="H207" s="41"/>
    </row>
    <row r="208" ht="15.75" customHeight="1">
      <c r="B208" s="41"/>
      <c r="C208" s="60"/>
      <c r="D208" s="41"/>
      <c r="E208" s="41"/>
      <c r="F208" s="41"/>
      <c r="G208" s="41"/>
      <c r="H208" s="41"/>
    </row>
    <row r="209" ht="15.75" customHeight="1">
      <c r="B209" s="41"/>
      <c r="C209" s="60"/>
      <c r="D209" s="41"/>
      <c r="E209" s="41"/>
      <c r="F209" s="41"/>
      <c r="G209" s="41"/>
      <c r="H209" s="41"/>
    </row>
    <row r="210" ht="15.75" customHeight="1">
      <c r="B210" s="41"/>
      <c r="C210" s="60"/>
      <c r="D210" s="41"/>
      <c r="E210" s="41"/>
      <c r="F210" s="41"/>
      <c r="G210" s="41"/>
      <c r="H210" s="41"/>
    </row>
    <row r="211" ht="15.75" customHeight="1">
      <c r="B211" s="41"/>
      <c r="C211" s="60"/>
      <c r="D211" s="41"/>
      <c r="E211" s="41"/>
      <c r="F211" s="41"/>
      <c r="G211" s="41"/>
      <c r="H211" s="41"/>
    </row>
    <row r="212" ht="15.75" customHeight="1">
      <c r="B212" s="41"/>
      <c r="C212" s="60"/>
      <c r="D212" s="41"/>
      <c r="E212" s="41"/>
      <c r="F212" s="41"/>
      <c r="G212" s="41"/>
      <c r="H212" s="41"/>
    </row>
    <row r="213" ht="15.75" customHeight="1">
      <c r="B213" s="41"/>
      <c r="C213" s="60"/>
      <c r="D213" s="41"/>
      <c r="E213" s="41"/>
      <c r="F213" s="41"/>
      <c r="G213" s="41"/>
      <c r="H213" s="41"/>
    </row>
    <row r="214" ht="15.75" customHeight="1">
      <c r="B214" s="41"/>
      <c r="C214" s="60"/>
      <c r="D214" s="41"/>
      <c r="E214" s="41"/>
      <c r="F214" s="41"/>
      <c r="G214" s="41"/>
      <c r="H214" s="41"/>
    </row>
    <row r="215" ht="15.75" customHeight="1">
      <c r="B215" s="41"/>
      <c r="C215" s="60"/>
      <c r="D215" s="41"/>
      <c r="E215" s="41"/>
      <c r="F215" s="41"/>
      <c r="G215" s="41"/>
      <c r="H215" s="41"/>
    </row>
    <row r="216" ht="15.75" customHeight="1">
      <c r="B216" s="41"/>
      <c r="C216" s="60"/>
      <c r="D216" s="41"/>
      <c r="E216" s="41"/>
      <c r="F216" s="41"/>
      <c r="G216" s="41"/>
      <c r="H216" s="41"/>
    </row>
    <row r="217" ht="15.75" customHeight="1">
      <c r="B217" s="41"/>
      <c r="C217" s="60"/>
      <c r="D217" s="41"/>
      <c r="E217" s="41"/>
      <c r="F217" s="41"/>
      <c r="G217" s="41"/>
      <c r="H217" s="41"/>
    </row>
    <row r="218" ht="15.75" customHeight="1">
      <c r="B218" s="41"/>
      <c r="C218" s="60"/>
      <c r="D218" s="41"/>
      <c r="E218" s="41"/>
      <c r="F218" s="41"/>
      <c r="G218" s="41"/>
      <c r="H218" s="41"/>
    </row>
    <row r="219" ht="15.75" customHeight="1">
      <c r="B219" s="41"/>
      <c r="C219" s="60"/>
      <c r="D219" s="41"/>
      <c r="E219" s="41"/>
      <c r="F219" s="41"/>
      <c r="G219" s="41"/>
      <c r="H219" s="41"/>
    </row>
    <row r="220" ht="15.75" customHeight="1">
      <c r="B220" s="41"/>
      <c r="C220" s="60"/>
      <c r="D220" s="41"/>
      <c r="E220" s="41"/>
      <c r="F220" s="41"/>
      <c r="G220" s="41"/>
      <c r="H220" s="41"/>
    </row>
    <row r="221" ht="15.75" customHeight="1">
      <c r="B221" s="41"/>
      <c r="C221" s="60"/>
      <c r="D221" s="41"/>
      <c r="E221" s="41"/>
      <c r="F221" s="41"/>
      <c r="G221" s="41"/>
      <c r="H221" s="41"/>
    </row>
    <row r="222" ht="15.75" customHeight="1">
      <c r="B222" s="41"/>
      <c r="C222" s="60"/>
      <c r="D222" s="41"/>
      <c r="E222" s="41"/>
      <c r="F222" s="41"/>
      <c r="G222" s="41"/>
      <c r="H222" s="41"/>
    </row>
    <row r="223" ht="15.75" customHeight="1">
      <c r="B223" s="41"/>
      <c r="C223" s="60"/>
      <c r="D223" s="41"/>
      <c r="E223" s="41"/>
      <c r="F223" s="41"/>
      <c r="G223" s="41"/>
      <c r="H223" s="41"/>
    </row>
    <row r="224" ht="15.75" customHeight="1">
      <c r="B224" s="41"/>
      <c r="C224" s="60"/>
      <c r="D224" s="41"/>
      <c r="E224" s="41"/>
      <c r="F224" s="41"/>
      <c r="G224" s="41"/>
      <c r="H224" s="41"/>
    </row>
    <row r="225" ht="15.75" customHeight="1">
      <c r="B225" s="41"/>
      <c r="C225" s="60"/>
      <c r="D225" s="41"/>
      <c r="E225" s="41"/>
      <c r="F225" s="41"/>
      <c r="G225" s="41"/>
      <c r="H225" s="41"/>
    </row>
    <row r="226" ht="15.75" customHeight="1">
      <c r="B226" s="41"/>
      <c r="C226" s="60"/>
      <c r="D226" s="41"/>
      <c r="E226" s="41"/>
      <c r="F226" s="41"/>
      <c r="G226" s="41"/>
      <c r="H226" s="41"/>
    </row>
    <row r="227" ht="15.75" customHeight="1">
      <c r="B227" s="41"/>
      <c r="C227" s="60"/>
      <c r="D227" s="41"/>
      <c r="E227" s="41"/>
      <c r="F227" s="41"/>
      <c r="G227" s="41"/>
      <c r="H227" s="41"/>
    </row>
    <row r="228" ht="15.75" customHeight="1">
      <c r="B228" s="41"/>
      <c r="C228" s="60"/>
      <c r="D228" s="41"/>
      <c r="E228" s="41"/>
      <c r="F228" s="41"/>
      <c r="G228" s="41"/>
      <c r="H228" s="41"/>
    </row>
    <row r="229" ht="15.75" customHeight="1">
      <c r="B229" s="41"/>
      <c r="C229" s="60"/>
      <c r="D229" s="41"/>
      <c r="E229" s="41"/>
      <c r="F229" s="41"/>
      <c r="G229" s="41"/>
      <c r="H229" s="41"/>
    </row>
    <row r="230" ht="15.75" customHeight="1">
      <c r="B230" s="41"/>
      <c r="C230" s="60"/>
      <c r="D230" s="41"/>
      <c r="E230" s="41"/>
      <c r="F230" s="41"/>
      <c r="G230" s="41"/>
      <c r="H230" s="41"/>
    </row>
    <row r="231" ht="15.75" customHeight="1">
      <c r="B231" s="41"/>
      <c r="C231" s="60"/>
      <c r="D231" s="41"/>
      <c r="E231" s="41"/>
      <c r="F231" s="41"/>
      <c r="G231" s="41"/>
      <c r="H231" s="41"/>
    </row>
    <row r="232" ht="15.75" customHeight="1">
      <c r="B232" s="41"/>
      <c r="C232" s="60"/>
      <c r="D232" s="41"/>
      <c r="E232" s="41"/>
      <c r="F232" s="41"/>
      <c r="G232" s="41"/>
      <c r="H232" s="41"/>
    </row>
    <row r="233" ht="15.75" customHeight="1">
      <c r="B233" s="41"/>
      <c r="C233" s="60"/>
      <c r="D233" s="41"/>
      <c r="E233" s="41"/>
      <c r="F233" s="41"/>
      <c r="G233" s="41"/>
      <c r="H233" s="41"/>
    </row>
    <row r="234" ht="15.75" customHeight="1">
      <c r="B234" s="41"/>
      <c r="C234" s="60"/>
      <c r="D234" s="41"/>
      <c r="E234" s="41"/>
      <c r="F234" s="41"/>
      <c r="G234" s="41"/>
      <c r="H234" s="41"/>
    </row>
    <row r="235" ht="15.75" customHeight="1">
      <c r="B235" s="41"/>
      <c r="C235" s="60"/>
      <c r="D235" s="41"/>
      <c r="E235" s="41"/>
      <c r="F235" s="41"/>
      <c r="G235" s="41"/>
      <c r="H235" s="41"/>
    </row>
    <row r="236" ht="15.75" customHeight="1">
      <c r="B236" s="41"/>
      <c r="C236" s="60"/>
      <c r="D236" s="41"/>
      <c r="E236" s="41"/>
      <c r="F236" s="41"/>
      <c r="G236" s="41"/>
      <c r="H236" s="41"/>
    </row>
    <row r="237" ht="15.75" customHeight="1">
      <c r="B237" s="41"/>
      <c r="C237" s="60"/>
      <c r="D237" s="41"/>
      <c r="E237" s="41"/>
      <c r="F237" s="41"/>
      <c r="G237" s="41"/>
      <c r="H237" s="41"/>
    </row>
    <row r="238" ht="15.75" customHeight="1">
      <c r="B238" s="41"/>
      <c r="C238" s="60"/>
      <c r="D238" s="41"/>
      <c r="E238" s="41"/>
      <c r="F238" s="41"/>
      <c r="G238" s="41"/>
      <c r="H238" s="41"/>
    </row>
    <row r="239" ht="15.75" customHeight="1">
      <c r="B239" s="41"/>
      <c r="C239" s="60"/>
      <c r="D239" s="41"/>
      <c r="E239" s="41"/>
      <c r="F239" s="41"/>
      <c r="G239" s="41"/>
      <c r="H239" s="41"/>
    </row>
    <row r="240" ht="15.75" customHeight="1">
      <c r="B240" s="41"/>
      <c r="C240" s="60"/>
      <c r="D240" s="41"/>
      <c r="E240" s="41"/>
      <c r="F240" s="41"/>
      <c r="G240" s="41"/>
      <c r="H240" s="41"/>
    </row>
    <row r="241" ht="15.75" customHeight="1">
      <c r="B241" s="41"/>
      <c r="C241" s="60"/>
      <c r="D241" s="41"/>
      <c r="E241" s="41"/>
      <c r="F241" s="41"/>
      <c r="G241" s="41"/>
      <c r="H241" s="41"/>
    </row>
    <row r="242" ht="15.75" customHeight="1">
      <c r="B242" s="41"/>
      <c r="C242" s="60"/>
      <c r="D242" s="41"/>
      <c r="E242" s="41"/>
      <c r="F242" s="41"/>
      <c r="G242" s="41"/>
      <c r="H242" s="41"/>
    </row>
    <row r="243" ht="15.75" customHeight="1">
      <c r="B243" s="41"/>
      <c r="C243" s="60"/>
      <c r="D243" s="41"/>
      <c r="E243" s="41"/>
      <c r="F243" s="41"/>
      <c r="G243" s="41"/>
      <c r="H243" s="41"/>
    </row>
    <row r="244" ht="15.75" customHeight="1">
      <c r="B244" s="41"/>
      <c r="C244" s="60"/>
      <c r="D244" s="41"/>
      <c r="E244" s="41"/>
      <c r="F244" s="41"/>
      <c r="G244" s="41"/>
      <c r="H244" s="41"/>
    </row>
    <row r="245" ht="15.75" customHeight="1">
      <c r="B245" s="41"/>
      <c r="C245" s="60"/>
      <c r="D245" s="41"/>
      <c r="E245" s="41"/>
      <c r="F245" s="41"/>
      <c r="G245" s="41"/>
      <c r="H245" s="41"/>
    </row>
    <row r="246" ht="15.75" customHeight="1">
      <c r="B246" s="41"/>
      <c r="C246" s="60"/>
      <c r="D246" s="41"/>
      <c r="E246" s="41"/>
      <c r="F246" s="41"/>
      <c r="G246" s="41"/>
      <c r="H246" s="41"/>
    </row>
    <row r="247" ht="15.75" customHeight="1">
      <c r="B247" s="41"/>
      <c r="C247" s="60"/>
      <c r="D247" s="41"/>
      <c r="E247" s="41"/>
      <c r="F247" s="41"/>
      <c r="G247" s="41"/>
      <c r="H247" s="41"/>
    </row>
    <row r="248" ht="15.75" customHeight="1">
      <c r="B248" s="41"/>
      <c r="C248" s="60"/>
      <c r="D248" s="41"/>
      <c r="E248" s="41"/>
      <c r="F248" s="41"/>
      <c r="G248" s="41"/>
      <c r="H248" s="41"/>
    </row>
    <row r="249" ht="15.75" customHeight="1">
      <c r="B249" s="41"/>
      <c r="C249" s="60"/>
      <c r="D249" s="41"/>
      <c r="E249" s="41"/>
      <c r="F249" s="41"/>
      <c r="G249" s="41"/>
      <c r="H249" s="41"/>
    </row>
    <row r="250" ht="15.75" customHeight="1">
      <c r="B250" s="41"/>
      <c r="C250" s="60"/>
      <c r="D250" s="41"/>
      <c r="E250" s="41"/>
      <c r="F250" s="41"/>
      <c r="G250" s="41"/>
      <c r="H250" s="41"/>
    </row>
    <row r="251" ht="15.75" customHeight="1">
      <c r="B251" s="41"/>
      <c r="C251" s="60"/>
      <c r="D251" s="41"/>
      <c r="E251" s="41"/>
      <c r="F251" s="41"/>
      <c r="G251" s="41"/>
      <c r="H251" s="41"/>
    </row>
    <row r="252" ht="15.75" customHeight="1">
      <c r="B252" s="41"/>
      <c r="C252" s="60"/>
      <c r="D252" s="41"/>
      <c r="E252" s="41"/>
      <c r="F252" s="41"/>
      <c r="G252" s="41"/>
      <c r="H252" s="41"/>
    </row>
    <row r="253" ht="15.75" customHeight="1">
      <c r="B253" s="41"/>
      <c r="C253" s="60"/>
      <c r="D253" s="41"/>
      <c r="E253" s="41"/>
      <c r="F253" s="41"/>
      <c r="G253" s="41"/>
      <c r="H253" s="41"/>
    </row>
    <row r="254" ht="15.75" customHeight="1">
      <c r="B254" s="41"/>
      <c r="C254" s="60"/>
      <c r="D254" s="41"/>
      <c r="E254" s="41"/>
      <c r="F254" s="41"/>
      <c r="G254" s="41"/>
      <c r="H254" s="41"/>
    </row>
    <row r="255" ht="15.75" customHeight="1">
      <c r="B255" s="41"/>
      <c r="C255" s="60"/>
      <c r="D255" s="41"/>
      <c r="E255" s="41"/>
      <c r="F255" s="41"/>
      <c r="G255" s="41"/>
      <c r="H255" s="41"/>
    </row>
    <row r="256" ht="15.75" customHeight="1">
      <c r="B256" s="41"/>
      <c r="C256" s="60"/>
      <c r="D256" s="41"/>
      <c r="E256" s="41"/>
      <c r="F256" s="41"/>
      <c r="G256" s="41"/>
      <c r="H256" s="41"/>
    </row>
    <row r="257" ht="15.75" customHeight="1">
      <c r="B257" s="41"/>
      <c r="C257" s="60"/>
      <c r="D257" s="41"/>
      <c r="E257" s="41"/>
      <c r="F257" s="41"/>
      <c r="G257" s="41"/>
      <c r="H257" s="41"/>
    </row>
    <row r="258" ht="15.75" customHeight="1">
      <c r="B258" s="41"/>
      <c r="C258" s="60"/>
      <c r="D258" s="41"/>
      <c r="E258" s="41"/>
      <c r="F258" s="41"/>
      <c r="G258" s="41"/>
      <c r="H258" s="41"/>
    </row>
    <row r="259" ht="15.75" customHeight="1">
      <c r="B259" s="41"/>
      <c r="C259" s="60"/>
      <c r="D259" s="41"/>
      <c r="E259" s="41"/>
      <c r="F259" s="41"/>
      <c r="G259" s="41"/>
      <c r="H259" s="41"/>
    </row>
    <row r="260" ht="15.75" customHeight="1">
      <c r="B260" s="41"/>
      <c r="C260" s="60"/>
      <c r="D260" s="41"/>
      <c r="E260" s="41"/>
      <c r="F260" s="41"/>
      <c r="G260" s="41"/>
      <c r="H260" s="41"/>
    </row>
    <row r="261" ht="15.75" customHeight="1">
      <c r="B261" s="41"/>
      <c r="C261" s="60"/>
      <c r="D261" s="41"/>
      <c r="E261" s="41"/>
      <c r="F261" s="41"/>
      <c r="G261" s="41"/>
      <c r="H261" s="41"/>
    </row>
    <row r="262" ht="15.75" customHeight="1">
      <c r="B262" s="41"/>
      <c r="C262" s="60"/>
      <c r="D262" s="41"/>
      <c r="E262" s="41"/>
      <c r="F262" s="41"/>
      <c r="G262" s="41"/>
      <c r="H262" s="41"/>
    </row>
    <row r="263" ht="15.75" customHeight="1">
      <c r="B263" s="41"/>
      <c r="C263" s="60"/>
      <c r="D263" s="41"/>
      <c r="E263" s="41"/>
      <c r="F263" s="41"/>
      <c r="G263" s="41"/>
      <c r="H263" s="41"/>
    </row>
    <row r="264" ht="15.75" customHeight="1">
      <c r="B264" s="41"/>
      <c r="C264" s="60"/>
      <c r="D264" s="41"/>
      <c r="E264" s="41"/>
      <c r="F264" s="41"/>
      <c r="G264" s="41"/>
      <c r="H264" s="41"/>
    </row>
    <row r="265" ht="15.75" customHeight="1">
      <c r="B265" s="41"/>
      <c r="C265" s="60"/>
      <c r="D265" s="41"/>
      <c r="E265" s="41"/>
      <c r="F265" s="41"/>
      <c r="G265" s="41"/>
      <c r="H265" s="41"/>
    </row>
    <row r="266" ht="15.75" customHeight="1">
      <c r="B266" s="41"/>
      <c r="C266" s="60"/>
      <c r="D266" s="41"/>
      <c r="E266" s="41"/>
      <c r="F266" s="41"/>
      <c r="G266" s="41"/>
      <c r="H266" s="41"/>
    </row>
    <row r="267" ht="15.75" customHeight="1">
      <c r="B267" s="41"/>
      <c r="C267" s="60"/>
      <c r="D267" s="41"/>
      <c r="E267" s="41"/>
      <c r="F267" s="41"/>
      <c r="G267" s="41"/>
      <c r="H267" s="41"/>
    </row>
    <row r="268" ht="15.75" customHeight="1">
      <c r="B268" s="41"/>
      <c r="C268" s="60"/>
      <c r="D268" s="41"/>
      <c r="E268" s="41"/>
      <c r="F268" s="41"/>
      <c r="G268" s="41"/>
      <c r="H268" s="41"/>
    </row>
    <row r="269" ht="15.75" customHeight="1">
      <c r="B269" s="41"/>
      <c r="C269" s="60"/>
      <c r="D269" s="41"/>
      <c r="E269" s="41"/>
      <c r="F269" s="41"/>
      <c r="G269" s="41"/>
      <c r="H269" s="41"/>
    </row>
    <row r="270" ht="15.75" customHeight="1">
      <c r="B270" s="41"/>
      <c r="C270" s="60"/>
      <c r="D270" s="41"/>
      <c r="E270" s="41"/>
      <c r="F270" s="41"/>
      <c r="G270" s="41"/>
      <c r="H270" s="41"/>
    </row>
    <row r="271" ht="15.75" customHeight="1">
      <c r="B271" s="41"/>
      <c r="C271" s="60"/>
      <c r="D271" s="41"/>
      <c r="E271" s="41"/>
      <c r="F271" s="41"/>
      <c r="G271" s="41"/>
      <c r="H271" s="41"/>
    </row>
    <row r="272" ht="15.75" customHeight="1">
      <c r="B272" s="41"/>
      <c r="C272" s="60"/>
      <c r="D272" s="41"/>
      <c r="E272" s="41"/>
      <c r="F272" s="41"/>
      <c r="G272" s="41"/>
      <c r="H272" s="41"/>
    </row>
    <row r="273" ht="15.75" customHeight="1">
      <c r="B273" s="41"/>
      <c r="C273" s="60"/>
      <c r="D273" s="41"/>
      <c r="E273" s="41"/>
      <c r="F273" s="41"/>
      <c r="G273" s="41"/>
      <c r="H273" s="41"/>
    </row>
    <row r="274" ht="15.75" customHeight="1">
      <c r="B274" s="41"/>
      <c r="C274" s="60"/>
      <c r="D274" s="41"/>
      <c r="E274" s="41"/>
      <c r="F274" s="41"/>
      <c r="G274" s="41"/>
      <c r="H274" s="41"/>
    </row>
    <row r="275" ht="15.75" customHeight="1">
      <c r="B275" s="41"/>
      <c r="C275" s="60"/>
      <c r="D275" s="41"/>
      <c r="E275" s="41"/>
      <c r="F275" s="41"/>
      <c r="G275" s="41"/>
      <c r="H275" s="41"/>
    </row>
    <row r="276" ht="15.75" customHeight="1">
      <c r="B276" s="41"/>
      <c r="C276" s="60"/>
      <c r="D276" s="41"/>
      <c r="E276" s="41"/>
      <c r="F276" s="41"/>
      <c r="G276" s="41"/>
      <c r="H276" s="41"/>
    </row>
    <row r="277" ht="15.75" customHeight="1">
      <c r="B277" s="41"/>
      <c r="C277" s="60"/>
      <c r="D277" s="41"/>
      <c r="E277" s="41"/>
      <c r="F277" s="41"/>
      <c r="G277" s="41"/>
      <c r="H277" s="41"/>
    </row>
    <row r="278" ht="15.75" customHeight="1">
      <c r="B278" s="41"/>
      <c r="C278" s="60"/>
      <c r="D278" s="41"/>
      <c r="E278" s="41"/>
      <c r="F278" s="41"/>
      <c r="G278" s="41"/>
      <c r="H278" s="41"/>
    </row>
    <row r="279" ht="15.75" customHeight="1">
      <c r="B279" s="41"/>
      <c r="C279" s="60"/>
      <c r="D279" s="41"/>
      <c r="E279" s="41"/>
      <c r="F279" s="41"/>
      <c r="G279" s="41"/>
      <c r="H279" s="41"/>
    </row>
    <row r="280" ht="15.75" customHeight="1">
      <c r="B280" s="41"/>
      <c r="C280" s="60"/>
      <c r="D280" s="41"/>
      <c r="E280" s="41"/>
      <c r="F280" s="41"/>
      <c r="G280" s="41"/>
      <c r="H280" s="41"/>
    </row>
    <row r="281" ht="15.75" customHeight="1">
      <c r="B281" s="41"/>
      <c r="C281" s="60"/>
      <c r="D281" s="41"/>
      <c r="E281" s="41"/>
      <c r="F281" s="41"/>
      <c r="G281" s="41"/>
      <c r="H281" s="41"/>
    </row>
    <row r="282" ht="15.75" customHeight="1">
      <c r="B282" s="41"/>
      <c r="C282" s="60"/>
      <c r="D282" s="41"/>
      <c r="E282" s="41"/>
      <c r="F282" s="41"/>
      <c r="G282" s="41"/>
      <c r="H282" s="41"/>
    </row>
    <row r="283" ht="15.75" customHeight="1">
      <c r="B283" s="41"/>
      <c r="C283" s="60"/>
      <c r="D283" s="41"/>
      <c r="E283" s="41"/>
      <c r="F283" s="41"/>
      <c r="G283" s="41"/>
      <c r="H283" s="41"/>
    </row>
    <row r="284" ht="15.75" customHeight="1">
      <c r="B284" s="41"/>
      <c r="C284" s="60"/>
      <c r="D284" s="41"/>
      <c r="E284" s="41"/>
      <c r="F284" s="41"/>
      <c r="G284" s="41"/>
      <c r="H284" s="41"/>
    </row>
    <row r="285" ht="15.75" customHeight="1">
      <c r="B285" s="41"/>
      <c r="C285" s="60"/>
      <c r="D285" s="41"/>
      <c r="E285" s="41"/>
      <c r="F285" s="41"/>
      <c r="G285" s="41"/>
      <c r="H285" s="41"/>
    </row>
    <row r="286" ht="15.75" customHeight="1">
      <c r="B286" s="41"/>
      <c r="C286" s="60"/>
      <c r="D286" s="41"/>
      <c r="E286" s="41"/>
      <c r="F286" s="41"/>
      <c r="G286" s="41"/>
      <c r="H286" s="41"/>
    </row>
    <row r="287" ht="15.75" customHeight="1">
      <c r="B287" s="41"/>
      <c r="C287" s="60"/>
      <c r="D287" s="41"/>
      <c r="E287" s="41"/>
      <c r="F287" s="41"/>
      <c r="G287" s="41"/>
      <c r="H287" s="41"/>
    </row>
    <row r="288" ht="15.75" customHeight="1">
      <c r="B288" s="41"/>
      <c r="C288" s="60"/>
      <c r="D288" s="41"/>
      <c r="E288" s="41"/>
      <c r="F288" s="41"/>
      <c r="G288" s="41"/>
      <c r="H288" s="41"/>
    </row>
    <row r="289" ht="15.75" customHeight="1">
      <c r="B289" s="41"/>
      <c r="C289" s="60"/>
      <c r="D289" s="41"/>
      <c r="E289" s="41"/>
      <c r="F289" s="41"/>
      <c r="G289" s="41"/>
      <c r="H289" s="41"/>
    </row>
    <row r="290" ht="15.75" customHeight="1">
      <c r="B290" s="41"/>
      <c r="C290" s="60"/>
      <c r="D290" s="41"/>
      <c r="E290" s="41"/>
      <c r="F290" s="41"/>
      <c r="G290" s="41"/>
      <c r="H290" s="41"/>
    </row>
    <row r="291" ht="15.75" customHeight="1">
      <c r="B291" s="41"/>
      <c r="C291" s="60"/>
      <c r="D291" s="41"/>
      <c r="E291" s="41"/>
      <c r="F291" s="41"/>
      <c r="G291" s="41"/>
      <c r="H291" s="41"/>
    </row>
    <row r="292" ht="15.75" customHeight="1">
      <c r="B292" s="41"/>
      <c r="C292" s="60"/>
      <c r="D292" s="41"/>
      <c r="E292" s="41"/>
      <c r="F292" s="41"/>
      <c r="G292" s="41"/>
      <c r="H292" s="41"/>
    </row>
    <row r="293" ht="15.75" customHeight="1">
      <c r="B293" s="41"/>
      <c r="C293" s="60"/>
      <c r="D293" s="41"/>
      <c r="E293" s="41"/>
      <c r="F293" s="41"/>
      <c r="G293" s="41"/>
      <c r="H293" s="41"/>
    </row>
    <row r="294" ht="15.75" customHeight="1">
      <c r="B294" s="41"/>
      <c r="C294" s="60"/>
      <c r="D294" s="41"/>
      <c r="E294" s="41"/>
      <c r="F294" s="41"/>
      <c r="G294" s="41"/>
      <c r="H294" s="41"/>
    </row>
    <row r="295" ht="15.75" customHeight="1">
      <c r="B295" s="41"/>
      <c r="C295" s="60"/>
      <c r="D295" s="41"/>
      <c r="E295" s="41"/>
      <c r="F295" s="41"/>
      <c r="G295" s="41"/>
      <c r="H295" s="41"/>
    </row>
    <row r="296" ht="15.75" customHeight="1">
      <c r="B296" s="41"/>
      <c r="C296" s="60"/>
      <c r="D296" s="41"/>
      <c r="E296" s="41"/>
      <c r="F296" s="41"/>
      <c r="G296" s="41"/>
      <c r="H296" s="41"/>
    </row>
    <row r="297" ht="15.75" customHeight="1">
      <c r="B297" s="41"/>
      <c r="C297" s="60"/>
      <c r="D297" s="41"/>
      <c r="E297" s="41"/>
      <c r="F297" s="41"/>
      <c r="G297" s="41"/>
      <c r="H297" s="41"/>
    </row>
    <row r="298" ht="15.75" customHeight="1">
      <c r="B298" s="41"/>
      <c r="C298" s="60"/>
      <c r="D298" s="41"/>
      <c r="E298" s="41"/>
      <c r="F298" s="41"/>
      <c r="G298" s="41"/>
      <c r="H298" s="41"/>
    </row>
    <row r="299" ht="15.75" customHeight="1">
      <c r="B299" s="41"/>
      <c r="C299" s="60"/>
      <c r="D299" s="41"/>
      <c r="E299" s="41"/>
      <c r="F299" s="41"/>
      <c r="G299" s="41"/>
      <c r="H299" s="41"/>
    </row>
    <row r="300" ht="15.75" customHeight="1">
      <c r="B300" s="41"/>
      <c r="C300" s="60"/>
      <c r="D300" s="41"/>
      <c r="E300" s="41"/>
      <c r="F300" s="41"/>
      <c r="G300" s="41"/>
      <c r="H300" s="41"/>
    </row>
    <row r="301" ht="15.75" customHeight="1">
      <c r="B301" s="41"/>
      <c r="C301" s="60"/>
      <c r="D301" s="41"/>
      <c r="E301" s="41"/>
      <c r="F301" s="41"/>
      <c r="G301" s="41"/>
      <c r="H301" s="41"/>
    </row>
    <row r="302" ht="15.75" customHeight="1">
      <c r="B302" s="41"/>
      <c r="C302" s="60"/>
      <c r="D302" s="41"/>
      <c r="E302" s="41"/>
      <c r="F302" s="41"/>
      <c r="G302" s="41"/>
      <c r="H302" s="41"/>
    </row>
    <row r="303" ht="15.75" customHeight="1">
      <c r="B303" s="41"/>
      <c r="C303" s="60"/>
      <c r="D303" s="41"/>
      <c r="E303" s="41"/>
      <c r="F303" s="41"/>
      <c r="G303" s="41"/>
      <c r="H303" s="41"/>
    </row>
    <row r="304" ht="15.75" customHeight="1">
      <c r="B304" s="41"/>
      <c r="C304" s="60"/>
      <c r="D304" s="41"/>
      <c r="E304" s="41"/>
      <c r="F304" s="41"/>
      <c r="G304" s="41"/>
      <c r="H304" s="41"/>
    </row>
    <row r="305" ht="15.75" customHeight="1">
      <c r="B305" s="41"/>
      <c r="C305" s="60"/>
      <c r="D305" s="41"/>
      <c r="E305" s="41"/>
      <c r="F305" s="41"/>
      <c r="G305" s="41"/>
      <c r="H305" s="41"/>
    </row>
    <row r="306" ht="15.75" customHeight="1">
      <c r="B306" s="41"/>
      <c r="C306" s="60"/>
      <c r="D306" s="41"/>
      <c r="E306" s="41"/>
      <c r="F306" s="41"/>
      <c r="G306" s="41"/>
      <c r="H306" s="41"/>
    </row>
    <row r="307" ht="15.75" customHeight="1">
      <c r="B307" s="41"/>
      <c r="C307" s="60"/>
      <c r="D307" s="41"/>
      <c r="E307" s="41"/>
      <c r="F307" s="41"/>
      <c r="G307" s="41"/>
      <c r="H307" s="41"/>
    </row>
    <row r="308" ht="15.75" customHeight="1">
      <c r="B308" s="41"/>
      <c r="C308" s="60"/>
      <c r="D308" s="41"/>
      <c r="E308" s="41"/>
      <c r="F308" s="41"/>
      <c r="G308" s="41"/>
      <c r="H308" s="41"/>
    </row>
    <row r="309" ht="15.75" customHeight="1">
      <c r="B309" s="41"/>
      <c r="C309" s="60"/>
      <c r="D309" s="41"/>
      <c r="E309" s="41"/>
      <c r="F309" s="41"/>
      <c r="G309" s="41"/>
      <c r="H309" s="41"/>
    </row>
    <row r="310" ht="15.75" customHeight="1">
      <c r="B310" s="41"/>
      <c r="C310" s="60"/>
      <c r="D310" s="41"/>
      <c r="E310" s="41"/>
      <c r="F310" s="41"/>
      <c r="G310" s="41"/>
      <c r="H310" s="41"/>
    </row>
    <row r="311" ht="15.75" customHeight="1">
      <c r="B311" s="41"/>
      <c r="C311" s="60"/>
      <c r="D311" s="41"/>
      <c r="E311" s="41"/>
      <c r="F311" s="41"/>
      <c r="G311" s="41"/>
      <c r="H311" s="41"/>
    </row>
    <row r="312" ht="15.75" customHeight="1">
      <c r="B312" s="41"/>
      <c r="C312" s="60"/>
      <c r="D312" s="41"/>
      <c r="E312" s="41"/>
      <c r="F312" s="41"/>
      <c r="G312" s="41"/>
      <c r="H312" s="41"/>
    </row>
    <row r="313" ht="15.75" customHeight="1">
      <c r="B313" s="41"/>
      <c r="C313" s="60"/>
      <c r="D313" s="41"/>
      <c r="E313" s="41"/>
      <c r="F313" s="41"/>
      <c r="G313" s="41"/>
      <c r="H313" s="41"/>
    </row>
    <row r="314" ht="15.75" customHeight="1">
      <c r="B314" s="41"/>
      <c r="C314" s="60"/>
      <c r="D314" s="41"/>
      <c r="E314" s="41"/>
      <c r="F314" s="41"/>
      <c r="G314" s="41"/>
      <c r="H314" s="41"/>
    </row>
    <row r="315" ht="15.75" customHeight="1">
      <c r="B315" s="41"/>
      <c r="C315" s="60"/>
      <c r="D315" s="41"/>
      <c r="E315" s="41"/>
      <c r="F315" s="41"/>
      <c r="G315" s="41"/>
      <c r="H315" s="41"/>
    </row>
    <row r="316" ht="15.75" customHeight="1">
      <c r="B316" s="41"/>
      <c r="C316" s="60"/>
      <c r="D316" s="41"/>
      <c r="E316" s="41"/>
      <c r="F316" s="41"/>
      <c r="G316" s="41"/>
      <c r="H316" s="41"/>
    </row>
    <row r="317" ht="15.75" customHeight="1">
      <c r="B317" s="41"/>
      <c r="C317" s="60"/>
      <c r="D317" s="41"/>
      <c r="E317" s="41"/>
      <c r="F317" s="41"/>
      <c r="G317" s="41"/>
      <c r="H317" s="41"/>
    </row>
    <row r="318" ht="15.75" customHeight="1">
      <c r="B318" s="41"/>
      <c r="C318" s="60"/>
      <c r="D318" s="41"/>
      <c r="E318" s="41"/>
      <c r="F318" s="41"/>
      <c r="G318" s="41"/>
      <c r="H318" s="41"/>
    </row>
    <row r="319" ht="15.75" customHeight="1">
      <c r="B319" s="41"/>
      <c r="C319" s="60"/>
      <c r="D319" s="41"/>
      <c r="E319" s="41"/>
      <c r="F319" s="41"/>
      <c r="G319" s="41"/>
      <c r="H319" s="41"/>
    </row>
    <row r="320" ht="15.75" customHeight="1">
      <c r="B320" s="41"/>
      <c r="C320" s="60"/>
      <c r="D320" s="41"/>
      <c r="E320" s="41"/>
      <c r="F320" s="41"/>
      <c r="G320" s="41"/>
      <c r="H320" s="41"/>
    </row>
    <row r="321" ht="15.75" customHeight="1">
      <c r="B321" s="41"/>
      <c r="C321" s="60"/>
      <c r="D321" s="41"/>
      <c r="E321" s="41"/>
      <c r="F321" s="41"/>
      <c r="G321" s="41"/>
      <c r="H321" s="41"/>
    </row>
    <row r="322" ht="15.75" customHeight="1">
      <c r="B322" s="41"/>
      <c r="C322" s="60"/>
      <c r="D322" s="41"/>
      <c r="E322" s="41"/>
      <c r="F322" s="41"/>
      <c r="G322" s="41"/>
      <c r="H322" s="41"/>
    </row>
    <row r="323" ht="15.75" customHeight="1">
      <c r="B323" s="41"/>
      <c r="C323" s="60"/>
      <c r="D323" s="41"/>
      <c r="E323" s="41"/>
      <c r="F323" s="41"/>
      <c r="G323" s="41"/>
      <c r="H323" s="41"/>
    </row>
    <row r="324" ht="15.75" customHeight="1">
      <c r="B324" s="41"/>
      <c r="C324" s="60"/>
      <c r="D324" s="41"/>
      <c r="E324" s="41"/>
      <c r="F324" s="41"/>
      <c r="G324" s="41"/>
      <c r="H324" s="41"/>
    </row>
    <row r="325" ht="15.75" customHeight="1">
      <c r="B325" s="41"/>
      <c r="C325" s="60"/>
      <c r="D325" s="41"/>
      <c r="E325" s="41"/>
      <c r="F325" s="41"/>
      <c r="G325" s="41"/>
      <c r="H325" s="41"/>
    </row>
    <row r="326" ht="15.75" customHeight="1">
      <c r="B326" s="41"/>
      <c r="C326" s="60"/>
      <c r="D326" s="41"/>
      <c r="E326" s="41"/>
      <c r="F326" s="41"/>
      <c r="G326" s="41"/>
      <c r="H326" s="41"/>
    </row>
    <row r="327" ht="15.75" customHeight="1">
      <c r="B327" s="41"/>
      <c r="C327" s="60"/>
      <c r="D327" s="41"/>
      <c r="E327" s="41"/>
      <c r="F327" s="41"/>
      <c r="G327" s="41"/>
      <c r="H327" s="41"/>
    </row>
    <row r="328" ht="15.75" customHeight="1">
      <c r="B328" s="41"/>
      <c r="C328" s="60"/>
      <c r="D328" s="41"/>
      <c r="E328" s="41"/>
      <c r="F328" s="41"/>
      <c r="G328" s="41"/>
      <c r="H328" s="41"/>
    </row>
    <row r="329" ht="15.75" customHeight="1">
      <c r="B329" s="41"/>
      <c r="C329" s="60"/>
      <c r="D329" s="41"/>
      <c r="E329" s="41"/>
      <c r="F329" s="41"/>
      <c r="G329" s="41"/>
      <c r="H329" s="41"/>
    </row>
    <row r="330" ht="15.75" customHeight="1">
      <c r="B330" s="41"/>
      <c r="C330" s="60"/>
      <c r="D330" s="41"/>
      <c r="E330" s="41"/>
      <c r="F330" s="41"/>
      <c r="G330" s="41"/>
      <c r="H330" s="41"/>
    </row>
    <row r="331" ht="15.75" customHeight="1">
      <c r="B331" s="41"/>
      <c r="C331" s="60"/>
      <c r="D331" s="41"/>
      <c r="E331" s="41"/>
      <c r="F331" s="41"/>
      <c r="G331" s="41"/>
      <c r="H331" s="41"/>
    </row>
    <row r="332" ht="15.75" customHeight="1">
      <c r="B332" s="41"/>
      <c r="C332" s="60"/>
      <c r="D332" s="41"/>
      <c r="E332" s="41"/>
      <c r="F332" s="41"/>
      <c r="G332" s="41"/>
      <c r="H332" s="41"/>
    </row>
    <row r="333" ht="15.75" customHeight="1">
      <c r="B333" s="41"/>
      <c r="C333" s="60"/>
      <c r="D333" s="41"/>
      <c r="E333" s="41"/>
      <c r="F333" s="41"/>
      <c r="G333" s="41"/>
      <c r="H333" s="41"/>
    </row>
    <row r="334" ht="15.75" customHeight="1">
      <c r="B334" s="41"/>
      <c r="C334" s="60"/>
      <c r="D334" s="41"/>
      <c r="E334" s="41"/>
      <c r="F334" s="41"/>
      <c r="G334" s="41"/>
      <c r="H334" s="41"/>
    </row>
    <row r="335" ht="15.75" customHeight="1">
      <c r="B335" s="41"/>
      <c r="C335" s="60"/>
      <c r="D335" s="41"/>
      <c r="E335" s="41"/>
      <c r="F335" s="41"/>
      <c r="G335" s="41"/>
      <c r="H335" s="41"/>
    </row>
    <row r="336" ht="15.75" customHeight="1">
      <c r="B336" s="41"/>
      <c r="C336" s="60"/>
      <c r="D336" s="41"/>
      <c r="E336" s="41"/>
      <c r="F336" s="41"/>
      <c r="G336" s="41"/>
      <c r="H336" s="41"/>
    </row>
    <row r="337" ht="15.75" customHeight="1">
      <c r="B337" s="41"/>
      <c r="C337" s="60"/>
      <c r="D337" s="41"/>
      <c r="E337" s="41"/>
      <c r="F337" s="41"/>
      <c r="G337" s="41"/>
      <c r="H337" s="41"/>
    </row>
    <row r="338" ht="15.75" customHeight="1">
      <c r="B338" s="41"/>
      <c r="C338" s="60"/>
      <c r="D338" s="41"/>
      <c r="E338" s="41"/>
      <c r="F338" s="41"/>
      <c r="G338" s="41"/>
      <c r="H338" s="41"/>
    </row>
    <row r="339" ht="15.75" customHeight="1">
      <c r="B339" s="41"/>
      <c r="C339" s="60"/>
      <c r="D339" s="41"/>
      <c r="E339" s="41"/>
      <c r="F339" s="41"/>
      <c r="G339" s="41"/>
      <c r="H339" s="41"/>
    </row>
    <row r="340" ht="15.75" customHeight="1">
      <c r="B340" s="41"/>
      <c r="C340" s="60"/>
      <c r="D340" s="41"/>
      <c r="E340" s="41"/>
      <c r="F340" s="41"/>
      <c r="G340" s="41"/>
      <c r="H340" s="41"/>
    </row>
    <row r="341" ht="15.75" customHeight="1">
      <c r="B341" s="41"/>
      <c r="C341" s="60"/>
      <c r="D341" s="41"/>
      <c r="E341" s="41"/>
      <c r="F341" s="41"/>
      <c r="G341" s="41"/>
      <c r="H341" s="41"/>
    </row>
    <row r="342" ht="15.75" customHeight="1">
      <c r="B342" s="41"/>
      <c r="C342" s="60"/>
      <c r="D342" s="41"/>
      <c r="E342" s="41"/>
      <c r="F342" s="41"/>
      <c r="G342" s="41"/>
      <c r="H342" s="41"/>
    </row>
    <row r="343" ht="15.75" customHeight="1">
      <c r="B343" s="41"/>
      <c r="C343" s="60"/>
      <c r="D343" s="41"/>
      <c r="E343" s="41"/>
      <c r="F343" s="41"/>
      <c r="G343" s="41"/>
      <c r="H343" s="41"/>
    </row>
    <row r="344" ht="15.75" customHeight="1">
      <c r="B344" s="41"/>
      <c r="C344" s="60"/>
      <c r="D344" s="41"/>
      <c r="E344" s="41"/>
      <c r="F344" s="41"/>
      <c r="G344" s="41"/>
      <c r="H344" s="41"/>
    </row>
    <row r="345" ht="15.75" customHeight="1">
      <c r="B345" s="41"/>
      <c r="C345" s="60"/>
      <c r="D345" s="41"/>
      <c r="E345" s="41"/>
      <c r="F345" s="41"/>
      <c r="G345" s="41"/>
      <c r="H345" s="41"/>
    </row>
    <row r="346" ht="15.75" customHeight="1">
      <c r="B346" s="41"/>
      <c r="C346" s="60"/>
      <c r="D346" s="41"/>
      <c r="E346" s="41"/>
      <c r="F346" s="41"/>
      <c r="G346" s="41"/>
      <c r="H346" s="41"/>
    </row>
    <row r="347" ht="15.75" customHeight="1">
      <c r="B347" s="41"/>
      <c r="C347" s="60"/>
      <c r="D347" s="41"/>
      <c r="E347" s="41"/>
      <c r="F347" s="41"/>
      <c r="G347" s="41"/>
      <c r="H347" s="41"/>
    </row>
    <row r="348" ht="15.75" customHeight="1">
      <c r="B348" s="41"/>
      <c r="C348" s="60"/>
      <c r="D348" s="41"/>
      <c r="E348" s="41"/>
      <c r="F348" s="41"/>
      <c r="G348" s="41"/>
      <c r="H348" s="41"/>
    </row>
    <row r="349" ht="15.75" customHeight="1">
      <c r="B349" s="41"/>
      <c r="C349" s="60"/>
      <c r="D349" s="41"/>
      <c r="E349" s="41"/>
      <c r="F349" s="41"/>
      <c r="G349" s="41"/>
      <c r="H349" s="41"/>
    </row>
    <row r="350" ht="15.75" customHeight="1">
      <c r="B350" s="41"/>
      <c r="C350" s="60"/>
      <c r="D350" s="41"/>
      <c r="E350" s="41"/>
      <c r="F350" s="41"/>
      <c r="G350" s="41"/>
      <c r="H350" s="41"/>
    </row>
    <row r="351" ht="15.75" customHeight="1">
      <c r="B351" s="41"/>
      <c r="C351" s="60"/>
      <c r="D351" s="41"/>
      <c r="E351" s="41"/>
      <c r="F351" s="41"/>
      <c r="G351" s="41"/>
      <c r="H351" s="41"/>
    </row>
    <row r="352" ht="15.75" customHeight="1">
      <c r="B352" s="41"/>
      <c r="C352" s="60"/>
      <c r="D352" s="41"/>
      <c r="E352" s="41"/>
      <c r="F352" s="41"/>
      <c r="G352" s="41"/>
      <c r="H352" s="41"/>
    </row>
    <row r="353" ht="15.75" customHeight="1">
      <c r="B353" s="41"/>
      <c r="C353" s="60"/>
      <c r="D353" s="41"/>
      <c r="E353" s="41"/>
      <c r="F353" s="41"/>
      <c r="G353" s="41"/>
      <c r="H353" s="41"/>
    </row>
    <row r="354" ht="15.75" customHeight="1">
      <c r="B354" s="41"/>
      <c r="C354" s="60"/>
      <c r="D354" s="41"/>
      <c r="E354" s="41"/>
      <c r="F354" s="41"/>
      <c r="G354" s="41"/>
      <c r="H354" s="41"/>
    </row>
    <row r="355" ht="15.75" customHeight="1">
      <c r="B355" s="41"/>
      <c r="C355" s="60"/>
      <c r="D355" s="41"/>
      <c r="E355" s="41"/>
      <c r="F355" s="41"/>
      <c r="G355" s="41"/>
      <c r="H355" s="41"/>
    </row>
    <row r="356" ht="15.75" customHeight="1">
      <c r="B356" s="41"/>
      <c r="C356" s="60"/>
      <c r="D356" s="41"/>
      <c r="E356" s="41"/>
      <c r="F356" s="41"/>
      <c r="G356" s="41"/>
      <c r="H356" s="41"/>
    </row>
    <row r="357" ht="15.75" customHeight="1">
      <c r="B357" s="41"/>
      <c r="C357" s="60"/>
      <c r="D357" s="41"/>
      <c r="E357" s="41"/>
      <c r="F357" s="41"/>
      <c r="G357" s="41"/>
      <c r="H357" s="41"/>
    </row>
    <row r="358" ht="15.75" customHeight="1">
      <c r="B358" s="41"/>
      <c r="C358" s="60"/>
      <c r="D358" s="41"/>
      <c r="E358" s="41"/>
      <c r="F358" s="41"/>
      <c r="G358" s="41"/>
      <c r="H358" s="41"/>
    </row>
    <row r="359" ht="15.75" customHeight="1">
      <c r="B359" s="41"/>
      <c r="C359" s="60"/>
      <c r="D359" s="41"/>
      <c r="E359" s="41"/>
      <c r="F359" s="41"/>
      <c r="G359" s="41"/>
      <c r="H359" s="41"/>
    </row>
    <row r="360" ht="15.75" customHeight="1">
      <c r="B360" s="41"/>
      <c r="C360" s="60"/>
      <c r="D360" s="41"/>
      <c r="E360" s="41"/>
      <c r="F360" s="41"/>
      <c r="G360" s="41"/>
      <c r="H360" s="41"/>
    </row>
    <row r="361" ht="15.75" customHeight="1">
      <c r="B361" s="41"/>
      <c r="C361" s="60"/>
      <c r="D361" s="41"/>
      <c r="E361" s="41"/>
      <c r="F361" s="41"/>
      <c r="G361" s="41"/>
      <c r="H361" s="41"/>
    </row>
    <row r="362" ht="15.75" customHeight="1">
      <c r="B362" s="41"/>
      <c r="C362" s="60"/>
      <c r="D362" s="41"/>
      <c r="E362" s="41"/>
      <c r="F362" s="41"/>
      <c r="G362" s="41"/>
      <c r="H362" s="41"/>
    </row>
    <row r="363" ht="15.75" customHeight="1">
      <c r="B363" s="41"/>
      <c r="C363" s="60"/>
      <c r="D363" s="41"/>
      <c r="E363" s="41"/>
      <c r="F363" s="41"/>
      <c r="G363" s="41"/>
      <c r="H363" s="41"/>
    </row>
    <row r="364" ht="15.75" customHeight="1">
      <c r="B364" s="41"/>
      <c r="C364" s="60"/>
      <c r="D364" s="41"/>
      <c r="E364" s="41"/>
      <c r="F364" s="41"/>
      <c r="G364" s="41"/>
      <c r="H364" s="41"/>
    </row>
    <row r="365" ht="15.75" customHeight="1">
      <c r="B365" s="41"/>
      <c r="C365" s="60"/>
      <c r="D365" s="41"/>
      <c r="E365" s="41"/>
      <c r="F365" s="41"/>
      <c r="G365" s="41"/>
      <c r="H365" s="41"/>
    </row>
    <row r="366" ht="15.75" customHeight="1">
      <c r="B366" s="41"/>
      <c r="C366" s="60"/>
      <c r="D366" s="41"/>
      <c r="E366" s="41"/>
      <c r="F366" s="41"/>
      <c r="G366" s="41"/>
      <c r="H366" s="41"/>
    </row>
    <row r="367" ht="15.75" customHeight="1">
      <c r="B367" s="41"/>
      <c r="C367" s="60"/>
      <c r="D367" s="41"/>
      <c r="E367" s="41"/>
      <c r="F367" s="41"/>
      <c r="G367" s="41"/>
      <c r="H367" s="41"/>
    </row>
    <row r="368" ht="15.75" customHeight="1">
      <c r="B368" s="41"/>
      <c r="C368" s="60"/>
      <c r="D368" s="41"/>
      <c r="E368" s="41"/>
      <c r="F368" s="41"/>
      <c r="G368" s="41"/>
      <c r="H368" s="41"/>
    </row>
    <row r="369" ht="15.75" customHeight="1">
      <c r="B369" s="41"/>
      <c r="C369" s="60"/>
      <c r="D369" s="41"/>
      <c r="E369" s="41"/>
      <c r="F369" s="41"/>
      <c r="G369" s="41"/>
      <c r="H369" s="41"/>
    </row>
    <row r="370" ht="15.75" customHeight="1">
      <c r="B370" s="41"/>
      <c r="C370" s="60"/>
      <c r="D370" s="41"/>
      <c r="E370" s="41"/>
      <c r="F370" s="41"/>
      <c r="G370" s="41"/>
      <c r="H370" s="41"/>
    </row>
    <row r="371" ht="15.75" customHeight="1">
      <c r="B371" s="41"/>
      <c r="C371" s="60"/>
      <c r="D371" s="41"/>
      <c r="E371" s="41"/>
      <c r="F371" s="41"/>
      <c r="G371" s="41"/>
      <c r="H371" s="41"/>
    </row>
    <row r="372" ht="15.75" customHeight="1">
      <c r="B372" s="41"/>
      <c r="C372" s="60"/>
      <c r="D372" s="41"/>
      <c r="E372" s="41"/>
      <c r="F372" s="41"/>
      <c r="G372" s="41"/>
      <c r="H372" s="41"/>
    </row>
    <row r="373" ht="15.75" customHeight="1">
      <c r="B373" s="41"/>
      <c r="C373" s="60"/>
      <c r="D373" s="41"/>
      <c r="E373" s="41"/>
      <c r="F373" s="41"/>
      <c r="G373" s="41"/>
      <c r="H373" s="41"/>
    </row>
    <row r="374" ht="15.75" customHeight="1">
      <c r="B374" s="41"/>
      <c r="C374" s="60"/>
      <c r="D374" s="41"/>
      <c r="E374" s="41"/>
      <c r="F374" s="41"/>
      <c r="G374" s="41"/>
      <c r="H374" s="41"/>
    </row>
    <row r="375" ht="15.75" customHeight="1">
      <c r="B375" s="41"/>
      <c r="C375" s="60"/>
      <c r="D375" s="41"/>
      <c r="E375" s="41"/>
      <c r="F375" s="41"/>
      <c r="G375" s="41"/>
      <c r="H375" s="41"/>
    </row>
    <row r="376" ht="15.75" customHeight="1">
      <c r="B376" s="41"/>
      <c r="C376" s="60"/>
      <c r="D376" s="41"/>
      <c r="E376" s="41"/>
      <c r="F376" s="41"/>
      <c r="G376" s="41"/>
      <c r="H376" s="41"/>
    </row>
    <row r="377" ht="15.75" customHeight="1">
      <c r="B377" s="41"/>
      <c r="C377" s="60"/>
      <c r="D377" s="41"/>
      <c r="E377" s="41"/>
      <c r="F377" s="41"/>
      <c r="G377" s="41"/>
      <c r="H377" s="41"/>
    </row>
    <row r="378" ht="15.75" customHeight="1">
      <c r="B378" s="41"/>
      <c r="C378" s="60"/>
      <c r="D378" s="41"/>
      <c r="E378" s="41"/>
      <c r="F378" s="41"/>
      <c r="G378" s="41"/>
      <c r="H378" s="41"/>
    </row>
    <row r="379" ht="15.75" customHeight="1">
      <c r="B379" s="41"/>
      <c r="C379" s="60"/>
      <c r="D379" s="41"/>
      <c r="E379" s="41"/>
      <c r="F379" s="41"/>
      <c r="G379" s="41"/>
      <c r="H379" s="41"/>
    </row>
    <row r="380" ht="15.75" customHeight="1">
      <c r="B380" s="41"/>
      <c r="C380" s="60"/>
      <c r="D380" s="41"/>
      <c r="E380" s="41"/>
      <c r="F380" s="41"/>
      <c r="G380" s="41"/>
      <c r="H380" s="41"/>
    </row>
    <row r="381" ht="15.75" customHeight="1">
      <c r="B381" s="41"/>
      <c r="C381" s="60"/>
      <c r="D381" s="41"/>
      <c r="E381" s="41"/>
      <c r="F381" s="41"/>
      <c r="G381" s="41"/>
      <c r="H381" s="41"/>
    </row>
    <row r="382" ht="15.75" customHeight="1">
      <c r="B382" s="41"/>
      <c r="C382" s="60"/>
      <c r="D382" s="41"/>
      <c r="E382" s="41"/>
      <c r="F382" s="41"/>
      <c r="G382" s="41"/>
      <c r="H382" s="41"/>
    </row>
    <row r="383" ht="15.75" customHeight="1">
      <c r="B383" s="41"/>
      <c r="C383" s="60"/>
      <c r="D383" s="41"/>
      <c r="E383" s="41"/>
      <c r="F383" s="41"/>
      <c r="G383" s="41"/>
      <c r="H383" s="41"/>
    </row>
    <row r="384" ht="15.75" customHeight="1">
      <c r="B384" s="41"/>
      <c r="C384" s="60"/>
      <c r="D384" s="41"/>
      <c r="E384" s="41"/>
      <c r="F384" s="41"/>
      <c r="G384" s="41"/>
      <c r="H384" s="41"/>
    </row>
    <row r="385" ht="15.75" customHeight="1">
      <c r="B385" s="41"/>
      <c r="C385" s="60"/>
      <c r="D385" s="41"/>
      <c r="E385" s="41"/>
      <c r="F385" s="41"/>
      <c r="G385" s="41"/>
      <c r="H385" s="41"/>
    </row>
    <row r="386" ht="15.75" customHeight="1">
      <c r="B386" s="41"/>
      <c r="C386" s="60"/>
      <c r="D386" s="41"/>
      <c r="E386" s="41"/>
      <c r="F386" s="41"/>
      <c r="G386" s="41"/>
      <c r="H386" s="41"/>
    </row>
    <row r="387" ht="15.75" customHeight="1">
      <c r="B387" s="41"/>
      <c r="C387" s="60"/>
      <c r="D387" s="41"/>
      <c r="E387" s="41"/>
      <c r="F387" s="41"/>
      <c r="G387" s="41"/>
      <c r="H387" s="41"/>
    </row>
    <row r="388" ht="15.75" customHeight="1">
      <c r="B388" s="41"/>
      <c r="C388" s="60"/>
      <c r="D388" s="41"/>
      <c r="E388" s="41"/>
      <c r="F388" s="41"/>
      <c r="G388" s="41"/>
      <c r="H388" s="41"/>
    </row>
    <row r="389" ht="15.75" customHeight="1">
      <c r="B389" s="41"/>
      <c r="C389" s="60"/>
      <c r="D389" s="41"/>
      <c r="E389" s="41"/>
      <c r="F389" s="41"/>
      <c r="G389" s="41"/>
      <c r="H389" s="41"/>
    </row>
    <row r="390" ht="15.75" customHeight="1">
      <c r="B390" s="41"/>
      <c r="C390" s="60"/>
      <c r="D390" s="41"/>
      <c r="E390" s="41"/>
      <c r="F390" s="41"/>
      <c r="G390" s="41"/>
      <c r="H390" s="41"/>
    </row>
    <row r="391" ht="15.75" customHeight="1">
      <c r="B391" s="41"/>
      <c r="C391" s="60"/>
      <c r="D391" s="41"/>
      <c r="E391" s="41"/>
      <c r="F391" s="41"/>
      <c r="G391" s="41"/>
      <c r="H391" s="41"/>
    </row>
    <row r="392" ht="15.75" customHeight="1">
      <c r="B392" s="41"/>
      <c r="C392" s="60"/>
      <c r="D392" s="41"/>
      <c r="E392" s="41"/>
      <c r="F392" s="41"/>
      <c r="G392" s="41"/>
      <c r="H392" s="41"/>
    </row>
    <row r="393" ht="15.75" customHeight="1">
      <c r="B393" s="41"/>
      <c r="C393" s="60"/>
      <c r="D393" s="41"/>
      <c r="E393" s="41"/>
      <c r="F393" s="41"/>
      <c r="G393" s="41"/>
      <c r="H393" s="41"/>
    </row>
    <row r="394" ht="15.75" customHeight="1">
      <c r="B394" s="41"/>
      <c r="C394" s="60"/>
      <c r="D394" s="41"/>
      <c r="E394" s="41"/>
      <c r="F394" s="41"/>
      <c r="G394" s="41"/>
      <c r="H394" s="41"/>
    </row>
    <row r="395" ht="15.75" customHeight="1">
      <c r="B395" s="41"/>
      <c r="C395" s="60"/>
      <c r="D395" s="41"/>
      <c r="E395" s="41"/>
      <c r="F395" s="41"/>
      <c r="G395" s="41"/>
      <c r="H395" s="41"/>
    </row>
    <row r="396" ht="15.75" customHeight="1">
      <c r="B396" s="41"/>
      <c r="C396" s="60"/>
      <c r="D396" s="41"/>
      <c r="E396" s="41"/>
      <c r="F396" s="41"/>
      <c r="G396" s="41"/>
      <c r="H396" s="41"/>
    </row>
    <row r="397" ht="15.75" customHeight="1">
      <c r="B397" s="41"/>
      <c r="C397" s="60"/>
      <c r="D397" s="41"/>
      <c r="E397" s="41"/>
      <c r="F397" s="41"/>
      <c r="G397" s="41"/>
      <c r="H397" s="41"/>
    </row>
    <row r="398" ht="15.75" customHeight="1">
      <c r="B398" s="41"/>
      <c r="C398" s="60"/>
      <c r="D398" s="41"/>
      <c r="E398" s="41"/>
      <c r="F398" s="41"/>
      <c r="G398" s="41"/>
      <c r="H398" s="41"/>
    </row>
    <row r="399" ht="15.75" customHeight="1">
      <c r="B399" s="41"/>
      <c r="C399" s="60"/>
      <c r="D399" s="41"/>
      <c r="E399" s="41"/>
      <c r="F399" s="41"/>
      <c r="G399" s="41"/>
      <c r="H399" s="41"/>
    </row>
    <row r="400" ht="15.75" customHeight="1">
      <c r="B400" s="41"/>
      <c r="C400" s="60"/>
      <c r="D400" s="41"/>
      <c r="E400" s="41"/>
      <c r="F400" s="41"/>
      <c r="G400" s="41"/>
      <c r="H400" s="41"/>
    </row>
    <row r="401" ht="15.75" customHeight="1">
      <c r="B401" s="41"/>
      <c r="C401" s="60"/>
      <c r="D401" s="41"/>
      <c r="E401" s="41"/>
      <c r="F401" s="41"/>
      <c r="G401" s="41"/>
      <c r="H401" s="41"/>
    </row>
    <row r="402" ht="15.75" customHeight="1">
      <c r="B402" s="41"/>
      <c r="C402" s="60"/>
      <c r="D402" s="41"/>
      <c r="E402" s="41"/>
      <c r="F402" s="41"/>
      <c r="G402" s="41"/>
      <c r="H402" s="41"/>
    </row>
    <row r="403" ht="15.75" customHeight="1">
      <c r="B403" s="41"/>
      <c r="C403" s="60"/>
      <c r="D403" s="41"/>
      <c r="E403" s="41"/>
      <c r="F403" s="41"/>
      <c r="G403" s="41"/>
      <c r="H403" s="41"/>
    </row>
    <row r="404" ht="15.75" customHeight="1">
      <c r="B404" s="41"/>
      <c r="C404" s="60"/>
      <c r="D404" s="41"/>
      <c r="E404" s="41"/>
      <c r="F404" s="41"/>
      <c r="G404" s="41"/>
      <c r="H404" s="41"/>
    </row>
    <row r="405" ht="15.75" customHeight="1">
      <c r="B405" s="41"/>
      <c r="C405" s="60"/>
      <c r="D405" s="41"/>
      <c r="E405" s="41"/>
      <c r="F405" s="41"/>
      <c r="G405" s="41"/>
      <c r="H405" s="41"/>
    </row>
    <row r="406" ht="15.75" customHeight="1">
      <c r="B406" s="41"/>
      <c r="C406" s="60"/>
      <c r="D406" s="41"/>
      <c r="E406" s="41"/>
      <c r="F406" s="41"/>
      <c r="G406" s="41"/>
      <c r="H406" s="41"/>
    </row>
    <row r="407" ht="15.75" customHeight="1">
      <c r="B407" s="41"/>
      <c r="C407" s="60"/>
      <c r="D407" s="41"/>
      <c r="E407" s="41"/>
      <c r="F407" s="41"/>
      <c r="G407" s="41"/>
      <c r="H407" s="41"/>
    </row>
    <row r="408" ht="15.75" customHeight="1">
      <c r="B408" s="41"/>
      <c r="C408" s="60"/>
      <c r="D408" s="41"/>
      <c r="E408" s="41"/>
      <c r="F408" s="41"/>
      <c r="G408" s="41"/>
      <c r="H408" s="41"/>
    </row>
    <row r="409" ht="15.75" customHeight="1">
      <c r="B409" s="41"/>
      <c r="C409" s="60"/>
      <c r="D409" s="41"/>
      <c r="E409" s="41"/>
      <c r="F409" s="41"/>
      <c r="G409" s="41"/>
      <c r="H409" s="41"/>
    </row>
    <row r="410" ht="15.75" customHeight="1">
      <c r="B410" s="41"/>
      <c r="C410" s="60"/>
      <c r="D410" s="41"/>
      <c r="E410" s="41"/>
      <c r="F410" s="41"/>
      <c r="G410" s="41"/>
      <c r="H410" s="41"/>
    </row>
    <row r="411" ht="15.75" customHeight="1">
      <c r="B411" s="41"/>
      <c r="C411" s="60"/>
      <c r="D411" s="41"/>
      <c r="E411" s="41"/>
      <c r="F411" s="41"/>
      <c r="G411" s="41"/>
      <c r="H411" s="41"/>
    </row>
    <row r="412" ht="15.75" customHeight="1">
      <c r="B412" s="41"/>
      <c r="C412" s="60"/>
      <c r="D412" s="41"/>
      <c r="E412" s="41"/>
      <c r="F412" s="41"/>
      <c r="G412" s="41"/>
      <c r="H412" s="41"/>
    </row>
    <row r="413" ht="15.75" customHeight="1">
      <c r="B413" s="41"/>
      <c r="C413" s="60"/>
      <c r="D413" s="41"/>
      <c r="E413" s="41"/>
      <c r="F413" s="41"/>
      <c r="G413" s="41"/>
      <c r="H413" s="41"/>
    </row>
    <row r="414" ht="15.75" customHeight="1">
      <c r="B414" s="41"/>
      <c r="C414" s="60"/>
      <c r="D414" s="41"/>
      <c r="E414" s="41"/>
      <c r="F414" s="41"/>
      <c r="G414" s="41"/>
      <c r="H414" s="41"/>
    </row>
    <row r="415" ht="15.75" customHeight="1">
      <c r="B415" s="41"/>
      <c r="C415" s="60"/>
      <c r="D415" s="41"/>
      <c r="E415" s="41"/>
      <c r="F415" s="41"/>
      <c r="G415" s="41"/>
      <c r="H415" s="41"/>
    </row>
    <row r="416" ht="15.75" customHeight="1">
      <c r="B416" s="41"/>
      <c r="C416" s="60"/>
      <c r="D416" s="41"/>
      <c r="E416" s="41"/>
      <c r="F416" s="41"/>
      <c r="G416" s="41"/>
      <c r="H416" s="41"/>
    </row>
    <row r="417" ht="15.75" customHeight="1">
      <c r="B417" s="41"/>
      <c r="C417" s="60"/>
      <c r="D417" s="41"/>
      <c r="E417" s="41"/>
      <c r="F417" s="41"/>
      <c r="G417" s="41"/>
      <c r="H417" s="41"/>
    </row>
    <row r="418" ht="15.75" customHeight="1">
      <c r="B418" s="41"/>
      <c r="C418" s="60"/>
      <c r="D418" s="41"/>
      <c r="E418" s="41"/>
      <c r="F418" s="41"/>
      <c r="G418" s="41"/>
      <c r="H418" s="41"/>
    </row>
    <row r="419" ht="15.75" customHeight="1">
      <c r="B419" s="41"/>
      <c r="C419" s="60"/>
      <c r="D419" s="41"/>
      <c r="E419" s="41"/>
      <c r="F419" s="41"/>
      <c r="G419" s="41"/>
      <c r="H419" s="41"/>
    </row>
    <row r="420" ht="15.75" customHeight="1">
      <c r="B420" s="41"/>
      <c r="C420" s="60"/>
      <c r="D420" s="41"/>
      <c r="E420" s="41"/>
      <c r="F420" s="41"/>
      <c r="G420" s="41"/>
      <c r="H420" s="41"/>
    </row>
    <row r="421" ht="15.75" customHeight="1">
      <c r="B421" s="41"/>
      <c r="C421" s="60"/>
      <c r="D421" s="41"/>
      <c r="E421" s="41"/>
      <c r="F421" s="41"/>
      <c r="G421" s="41"/>
      <c r="H421" s="41"/>
    </row>
    <row r="422" ht="15.75" customHeight="1">
      <c r="B422" s="41"/>
      <c r="C422" s="60"/>
      <c r="D422" s="41"/>
      <c r="E422" s="41"/>
      <c r="F422" s="41"/>
      <c r="G422" s="41"/>
      <c r="H422" s="41"/>
    </row>
    <row r="423" ht="15.75" customHeight="1">
      <c r="B423" s="41"/>
      <c r="C423" s="60"/>
      <c r="D423" s="41"/>
      <c r="E423" s="41"/>
      <c r="F423" s="41"/>
      <c r="G423" s="41"/>
      <c r="H423" s="41"/>
    </row>
    <row r="424" ht="15.75" customHeight="1">
      <c r="B424" s="41"/>
      <c r="C424" s="60"/>
      <c r="D424" s="41"/>
      <c r="E424" s="41"/>
      <c r="F424" s="41"/>
      <c r="G424" s="41"/>
      <c r="H424" s="41"/>
    </row>
    <row r="425" ht="15.75" customHeight="1">
      <c r="B425" s="41"/>
      <c r="C425" s="60"/>
      <c r="D425" s="41"/>
      <c r="E425" s="41"/>
      <c r="F425" s="41"/>
      <c r="G425" s="41"/>
      <c r="H425" s="41"/>
    </row>
    <row r="426" ht="15.75" customHeight="1">
      <c r="B426" s="41"/>
      <c r="C426" s="60"/>
      <c r="D426" s="41"/>
      <c r="E426" s="41"/>
      <c r="F426" s="41"/>
      <c r="G426" s="41"/>
      <c r="H426" s="41"/>
    </row>
    <row r="427" ht="15.75" customHeight="1">
      <c r="B427" s="41"/>
      <c r="C427" s="60"/>
      <c r="D427" s="41"/>
      <c r="E427" s="41"/>
      <c r="F427" s="41"/>
      <c r="G427" s="41"/>
      <c r="H427" s="41"/>
    </row>
    <row r="428" ht="15.75" customHeight="1">
      <c r="B428" s="41"/>
      <c r="C428" s="60"/>
      <c r="D428" s="41"/>
      <c r="E428" s="41"/>
      <c r="F428" s="41"/>
      <c r="G428" s="41"/>
      <c r="H428" s="41"/>
    </row>
    <row r="429" ht="15.75" customHeight="1">
      <c r="B429" s="41"/>
      <c r="C429" s="60"/>
      <c r="D429" s="41"/>
      <c r="E429" s="41"/>
      <c r="F429" s="41"/>
      <c r="G429" s="41"/>
      <c r="H429" s="41"/>
    </row>
    <row r="430" ht="15.75" customHeight="1">
      <c r="B430" s="41"/>
      <c r="C430" s="60"/>
      <c r="D430" s="41"/>
      <c r="E430" s="41"/>
      <c r="F430" s="41"/>
      <c r="G430" s="41"/>
      <c r="H430" s="41"/>
    </row>
    <row r="431" ht="15.75" customHeight="1">
      <c r="B431" s="41"/>
      <c r="C431" s="60"/>
      <c r="D431" s="41"/>
      <c r="E431" s="41"/>
      <c r="F431" s="41"/>
      <c r="G431" s="41"/>
      <c r="H431" s="41"/>
    </row>
    <row r="432" ht="15.75" customHeight="1">
      <c r="B432" s="41"/>
      <c r="C432" s="60"/>
      <c r="D432" s="41"/>
      <c r="E432" s="41"/>
      <c r="F432" s="41"/>
      <c r="G432" s="41"/>
      <c r="H432" s="41"/>
    </row>
    <row r="433" ht="15.75" customHeight="1">
      <c r="B433" s="41"/>
      <c r="C433" s="60"/>
      <c r="D433" s="41"/>
      <c r="E433" s="41"/>
      <c r="F433" s="41"/>
      <c r="G433" s="41"/>
      <c r="H433" s="41"/>
    </row>
    <row r="434" ht="15.75" customHeight="1">
      <c r="B434" s="41"/>
      <c r="C434" s="60"/>
      <c r="D434" s="41"/>
      <c r="E434" s="41"/>
      <c r="F434" s="41"/>
      <c r="G434" s="41"/>
      <c r="H434" s="41"/>
    </row>
    <row r="435" ht="15.75" customHeight="1">
      <c r="B435" s="41"/>
      <c r="C435" s="60"/>
      <c r="D435" s="41"/>
      <c r="E435" s="41"/>
      <c r="F435" s="41"/>
      <c r="G435" s="41"/>
      <c r="H435" s="41"/>
    </row>
    <row r="436" ht="15.75" customHeight="1">
      <c r="B436" s="41"/>
      <c r="C436" s="60"/>
      <c r="D436" s="41"/>
      <c r="E436" s="41"/>
      <c r="F436" s="41"/>
      <c r="G436" s="41"/>
      <c r="H436" s="41"/>
    </row>
    <row r="437" ht="15.75" customHeight="1">
      <c r="B437" s="41"/>
      <c r="C437" s="60"/>
      <c r="D437" s="41"/>
      <c r="E437" s="41"/>
      <c r="F437" s="41"/>
      <c r="G437" s="41"/>
      <c r="H437" s="41"/>
    </row>
    <row r="438" ht="15.75" customHeight="1">
      <c r="B438" s="41"/>
      <c r="C438" s="60"/>
      <c r="D438" s="41"/>
      <c r="E438" s="41"/>
      <c r="F438" s="41"/>
      <c r="G438" s="41"/>
      <c r="H438" s="41"/>
    </row>
    <row r="439" ht="15.75" customHeight="1">
      <c r="B439" s="41"/>
      <c r="C439" s="60"/>
      <c r="D439" s="41"/>
      <c r="E439" s="41"/>
      <c r="F439" s="41"/>
      <c r="G439" s="41"/>
      <c r="H439" s="41"/>
    </row>
    <row r="440" ht="15.75" customHeight="1">
      <c r="B440" s="41"/>
      <c r="C440" s="60"/>
      <c r="D440" s="41"/>
      <c r="E440" s="41"/>
      <c r="F440" s="41"/>
      <c r="G440" s="41"/>
      <c r="H440" s="41"/>
    </row>
    <row r="441" ht="15.75" customHeight="1">
      <c r="B441" s="41"/>
      <c r="C441" s="60"/>
      <c r="D441" s="41"/>
      <c r="E441" s="41"/>
      <c r="F441" s="41"/>
      <c r="G441" s="41"/>
      <c r="H441" s="41"/>
    </row>
    <row r="442" ht="15.75" customHeight="1">
      <c r="B442" s="41"/>
      <c r="C442" s="60"/>
      <c r="D442" s="41"/>
      <c r="E442" s="41"/>
      <c r="F442" s="41"/>
      <c r="G442" s="41"/>
      <c r="H442" s="41"/>
    </row>
    <row r="443" ht="15.75" customHeight="1">
      <c r="B443" s="41"/>
      <c r="C443" s="60"/>
      <c r="D443" s="41"/>
      <c r="E443" s="41"/>
      <c r="F443" s="41"/>
      <c r="G443" s="41"/>
      <c r="H443" s="41"/>
    </row>
    <row r="444" ht="15.75" customHeight="1">
      <c r="B444" s="41"/>
      <c r="C444" s="60"/>
      <c r="D444" s="41"/>
      <c r="E444" s="41"/>
      <c r="F444" s="41"/>
      <c r="G444" s="41"/>
      <c r="H444" s="41"/>
    </row>
    <row r="445" ht="15.75" customHeight="1">
      <c r="B445" s="41"/>
      <c r="C445" s="60"/>
      <c r="D445" s="41"/>
      <c r="E445" s="41"/>
      <c r="F445" s="41"/>
      <c r="G445" s="41"/>
      <c r="H445" s="41"/>
    </row>
    <row r="446" ht="15.75" customHeight="1">
      <c r="B446" s="41"/>
      <c r="C446" s="60"/>
      <c r="D446" s="41"/>
      <c r="E446" s="41"/>
      <c r="F446" s="41"/>
      <c r="G446" s="41"/>
      <c r="H446" s="41"/>
    </row>
    <row r="447" ht="15.75" customHeight="1">
      <c r="B447" s="41"/>
      <c r="C447" s="60"/>
      <c r="D447" s="41"/>
      <c r="E447" s="41"/>
      <c r="F447" s="41"/>
      <c r="G447" s="41"/>
      <c r="H447" s="41"/>
    </row>
    <row r="448" ht="15.75" customHeight="1">
      <c r="B448" s="41"/>
      <c r="C448" s="60"/>
      <c r="D448" s="41"/>
      <c r="E448" s="41"/>
      <c r="F448" s="41"/>
      <c r="G448" s="41"/>
      <c r="H448" s="41"/>
    </row>
    <row r="449" ht="15.75" customHeight="1">
      <c r="B449" s="41"/>
      <c r="C449" s="60"/>
      <c r="D449" s="41"/>
      <c r="E449" s="41"/>
      <c r="F449" s="41"/>
      <c r="G449" s="41"/>
      <c r="H449" s="41"/>
    </row>
    <row r="450" ht="15.75" customHeight="1">
      <c r="B450" s="41"/>
      <c r="C450" s="60"/>
      <c r="D450" s="41"/>
      <c r="E450" s="41"/>
      <c r="F450" s="41"/>
      <c r="G450" s="41"/>
      <c r="H450" s="41"/>
    </row>
    <row r="451" ht="15.75" customHeight="1">
      <c r="B451" s="41"/>
      <c r="C451" s="60"/>
      <c r="D451" s="41"/>
      <c r="E451" s="41"/>
      <c r="F451" s="41"/>
      <c r="G451" s="41"/>
      <c r="H451" s="41"/>
    </row>
    <row r="452" ht="15.75" customHeight="1">
      <c r="B452" s="41"/>
      <c r="C452" s="60"/>
      <c r="D452" s="41"/>
      <c r="E452" s="41"/>
      <c r="F452" s="41"/>
      <c r="G452" s="41"/>
      <c r="H452" s="41"/>
    </row>
    <row r="453" ht="15.75" customHeight="1">
      <c r="B453" s="41"/>
      <c r="C453" s="60"/>
      <c r="D453" s="41"/>
      <c r="E453" s="41"/>
      <c r="F453" s="41"/>
      <c r="G453" s="41"/>
      <c r="H453" s="41"/>
    </row>
    <row r="454" ht="15.75" customHeight="1">
      <c r="B454" s="41"/>
      <c r="C454" s="60"/>
      <c r="D454" s="41"/>
      <c r="E454" s="41"/>
      <c r="F454" s="41"/>
      <c r="G454" s="41"/>
      <c r="H454" s="41"/>
    </row>
    <row r="455" ht="15.75" customHeight="1">
      <c r="B455" s="41"/>
      <c r="C455" s="60"/>
      <c r="D455" s="41"/>
      <c r="E455" s="41"/>
      <c r="F455" s="41"/>
      <c r="G455" s="41"/>
      <c r="H455" s="41"/>
    </row>
    <row r="456" ht="15.75" customHeight="1">
      <c r="B456" s="41"/>
      <c r="C456" s="60"/>
      <c r="D456" s="41"/>
      <c r="E456" s="41"/>
      <c r="F456" s="41"/>
      <c r="G456" s="41"/>
      <c r="H456" s="41"/>
    </row>
    <row r="457" ht="15.75" customHeight="1">
      <c r="B457" s="41"/>
      <c r="C457" s="60"/>
      <c r="D457" s="41"/>
      <c r="E457" s="41"/>
      <c r="F457" s="41"/>
      <c r="G457" s="41"/>
      <c r="H457" s="41"/>
    </row>
    <row r="458" ht="15.75" customHeight="1">
      <c r="B458" s="41"/>
      <c r="C458" s="60"/>
      <c r="D458" s="41"/>
      <c r="E458" s="41"/>
      <c r="F458" s="41"/>
      <c r="G458" s="41"/>
      <c r="H458" s="41"/>
    </row>
    <row r="459" ht="15.75" customHeight="1">
      <c r="B459" s="41"/>
      <c r="C459" s="60"/>
      <c r="D459" s="41"/>
      <c r="E459" s="41"/>
      <c r="F459" s="41"/>
      <c r="G459" s="41"/>
      <c r="H459" s="41"/>
    </row>
    <row r="460" ht="15.75" customHeight="1">
      <c r="B460" s="41"/>
      <c r="C460" s="60"/>
      <c r="D460" s="41"/>
      <c r="E460" s="41"/>
      <c r="F460" s="41"/>
      <c r="G460" s="41"/>
      <c r="H460" s="41"/>
    </row>
    <row r="461" ht="15.75" customHeight="1">
      <c r="B461" s="41"/>
      <c r="C461" s="60"/>
      <c r="D461" s="41"/>
      <c r="E461" s="41"/>
      <c r="F461" s="41"/>
      <c r="G461" s="41"/>
      <c r="H461" s="41"/>
    </row>
    <row r="462" ht="15.75" customHeight="1">
      <c r="B462" s="41"/>
      <c r="C462" s="60"/>
      <c r="D462" s="41"/>
      <c r="E462" s="41"/>
      <c r="F462" s="41"/>
      <c r="G462" s="41"/>
      <c r="H462" s="41"/>
    </row>
    <row r="463" ht="15.75" customHeight="1">
      <c r="B463" s="41"/>
      <c r="C463" s="60"/>
      <c r="D463" s="41"/>
      <c r="E463" s="41"/>
      <c r="F463" s="41"/>
      <c r="G463" s="41"/>
      <c r="H463" s="41"/>
    </row>
    <row r="464" ht="15.75" customHeight="1">
      <c r="B464" s="41"/>
      <c r="C464" s="60"/>
      <c r="D464" s="41"/>
      <c r="E464" s="41"/>
      <c r="F464" s="41"/>
      <c r="G464" s="41"/>
      <c r="H464" s="41"/>
    </row>
    <row r="465" ht="15.75" customHeight="1">
      <c r="B465" s="41"/>
      <c r="C465" s="60"/>
      <c r="D465" s="41"/>
      <c r="E465" s="41"/>
      <c r="F465" s="41"/>
      <c r="G465" s="41"/>
      <c r="H465" s="41"/>
    </row>
    <row r="466" ht="15.75" customHeight="1">
      <c r="B466" s="41"/>
      <c r="C466" s="60"/>
      <c r="D466" s="41"/>
      <c r="E466" s="41"/>
      <c r="F466" s="41"/>
      <c r="G466" s="41"/>
      <c r="H466" s="41"/>
    </row>
    <row r="467" ht="15.75" customHeight="1">
      <c r="B467" s="41"/>
      <c r="C467" s="60"/>
      <c r="D467" s="41"/>
      <c r="E467" s="41"/>
      <c r="F467" s="41"/>
      <c r="G467" s="41"/>
      <c r="H467" s="41"/>
    </row>
    <row r="468" ht="15.75" customHeight="1">
      <c r="B468" s="41"/>
      <c r="C468" s="60"/>
      <c r="D468" s="41"/>
      <c r="E468" s="41"/>
      <c r="F468" s="41"/>
      <c r="G468" s="41"/>
      <c r="H468" s="41"/>
    </row>
    <row r="469" ht="15.75" customHeight="1">
      <c r="B469" s="41"/>
      <c r="C469" s="60"/>
      <c r="D469" s="41"/>
      <c r="E469" s="41"/>
      <c r="F469" s="41"/>
      <c r="G469" s="41"/>
      <c r="H469" s="41"/>
    </row>
    <row r="470" ht="15.75" customHeight="1">
      <c r="B470" s="41"/>
      <c r="C470" s="60"/>
      <c r="D470" s="41"/>
      <c r="E470" s="41"/>
      <c r="F470" s="41"/>
      <c r="G470" s="41"/>
      <c r="H470" s="41"/>
    </row>
    <row r="471" ht="15.75" customHeight="1">
      <c r="B471" s="41"/>
      <c r="C471" s="60"/>
      <c r="D471" s="41"/>
      <c r="E471" s="41"/>
      <c r="F471" s="41"/>
      <c r="G471" s="41"/>
      <c r="H471" s="41"/>
    </row>
    <row r="472" ht="15.75" customHeight="1">
      <c r="B472" s="41"/>
      <c r="C472" s="60"/>
      <c r="D472" s="41"/>
      <c r="E472" s="41"/>
      <c r="F472" s="41"/>
      <c r="G472" s="41"/>
      <c r="H472" s="41"/>
    </row>
    <row r="473" ht="15.75" customHeight="1">
      <c r="B473" s="41"/>
      <c r="C473" s="60"/>
      <c r="D473" s="41"/>
      <c r="E473" s="41"/>
      <c r="F473" s="41"/>
      <c r="G473" s="41"/>
      <c r="H473" s="41"/>
    </row>
    <row r="474" ht="15.75" customHeight="1">
      <c r="B474" s="41"/>
      <c r="C474" s="60"/>
      <c r="D474" s="41"/>
      <c r="E474" s="41"/>
      <c r="F474" s="41"/>
      <c r="G474" s="41"/>
      <c r="H474" s="41"/>
    </row>
    <row r="475" ht="15.75" customHeight="1">
      <c r="B475" s="41"/>
      <c r="C475" s="60"/>
      <c r="D475" s="41"/>
      <c r="E475" s="41"/>
      <c r="F475" s="41"/>
      <c r="G475" s="41"/>
      <c r="H475" s="41"/>
    </row>
    <row r="476" ht="15.75" customHeight="1">
      <c r="B476" s="41"/>
      <c r="C476" s="60"/>
      <c r="D476" s="41"/>
      <c r="E476" s="41"/>
      <c r="F476" s="41"/>
      <c r="G476" s="41"/>
      <c r="H476" s="41"/>
    </row>
    <row r="477" ht="15.75" customHeight="1">
      <c r="B477" s="41"/>
      <c r="C477" s="60"/>
      <c r="D477" s="41"/>
      <c r="E477" s="41"/>
      <c r="F477" s="41"/>
      <c r="G477" s="41"/>
      <c r="H477" s="41"/>
    </row>
    <row r="478" ht="15.75" customHeight="1">
      <c r="B478" s="41"/>
      <c r="C478" s="60"/>
      <c r="D478" s="41"/>
      <c r="E478" s="41"/>
      <c r="F478" s="41"/>
      <c r="G478" s="41"/>
      <c r="H478" s="41"/>
    </row>
    <row r="479" ht="15.75" customHeight="1">
      <c r="B479" s="41"/>
      <c r="C479" s="60"/>
      <c r="D479" s="41"/>
      <c r="E479" s="41"/>
      <c r="F479" s="41"/>
      <c r="G479" s="41"/>
      <c r="H479" s="41"/>
    </row>
    <row r="480" ht="15.75" customHeight="1">
      <c r="B480" s="41"/>
      <c r="C480" s="60"/>
      <c r="D480" s="41"/>
      <c r="E480" s="41"/>
      <c r="F480" s="41"/>
      <c r="G480" s="41"/>
      <c r="H480" s="41"/>
    </row>
    <row r="481" ht="15.75" customHeight="1">
      <c r="B481" s="41"/>
      <c r="C481" s="60"/>
      <c r="D481" s="41"/>
      <c r="E481" s="41"/>
      <c r="F481" s="41"/>
      <c r="G481" s="41"/>
      <c r="H481" s="41"/>
    </row>
    <row r="482" ht="15.75" customHeight="1">
      <c r="B482" s="41"/>
      <c r="C482" s="60"/>
      <c r="D482" s="41"/>
      <c r="E482" s="41"/>
      <c r="F482" s="41"/>
      <c r="G482" s="41"/>
      <c r="H482" s="41"/>
    </row>
    <row r="483" ht="15.75" customHeight="1">
      <c r="B483" s="41"/>
      <c r="C483" s="60"/>
      <c r="D483" s="41"/>
      <c r="E483" s="41"/>
      <c r="F483" s="41"/>
      <c r="G483" s="41"/>
      <c r="H483" s="41"/>
    </row>
    <row r="484" ht="15.75" customHeight="1">
      <c r="B484" s="41"/>
      <c r="C484" s="60"/>
      <c r="D484" s="41"/>
      <c r="E484" s="41"/>
      <c r="F484" s="41"/>
      <c r="G484" s="41"/>
      <c r="H484" s="41"/>
    </row>
    <row r="485" ht="15.75" customHeight="1">
      <c r="B485" s="41"/>
      <c r="C485" s="60"/>
      <c r="D485" s="41"/>
      <c r="E485" s="41"/>
      <c r="F485" s="41"/>
      <c r="G485" s="41"/>
      <c r="H485" s="41"/>
    </row>
    <row r="486" ht="15.75" customHeight="1">
      <c r="B486" s="41"/>
      <c r="C486" s="60"/>
      <c r="D486" s="41"/>
      <c r="E486" s="41"/>
      <c r="F486" s="41"/>
      <c r="G486" s="41"/>
      <c r="H486" s="41"/>
    </row>
    <row r="487" ht="15.75" customHeight="1">
      <c r="B487" s="41"/>
      <c r="C487" s="60"/>
      <c r="D487" s="41"/>
      <c r="E487" s="41"/>
      <c r="F487" s="41"/>
      <c r="G487" s="41"/>
      <c r="H487" s="41"/>
    </row>
    <row r="488" ht="15.75" customHeight="1">
      <c r="B488" s="41"/>
      <c r="C488" s="60"/>
      <c r="D488" s="41"/>
      <c r="E488" s="41"/>
      <c r="F488" s="41"/>
      <c r="G488" s="41"/>
      <c r="H488" s="41"/>
    </row>
    <row r="489" ht="15.75" customHeight="1">
      <c r="B489" s="41"/>
      <c r="C489" s="60"/>
      <c r="D489" s="41"/>
      <c r="E489" s="41"/>
      <c r="F489" s="41"/>
      <c r="G489" s="41"/>
      <c r="H489" s="41"/>
    </row>
    <row r="490" ht="15.75" customHeight="1">
      <c r="B490" s="41"/>
      <c r="C490" s="60"/>
      <c r="D490" s="41"/>
      <c r="E490" s="41"/>
      <c r="F490" s="41"/>
      <c r="G490" s="41"/>
      <c r="H490" s="41"/>
    </row>
    <row r="491" ht="15.75" customHeight="1">
      <c r="B491" s="41"/>
      <c r="C491" s="60"/>
      <c r="D491" s="41"/>
      <c r="E491" s="41"/>
      <c r="F491" s="41"/>
      <c r="G491" s="41"/>
      <c r="H491" s="41"/>
    </row>
    <row r="492" ht="15.75" customHeight="1">
      <c r="B492" s="41"/>
      <c r="C492" s="60"/>
      <c r="D492" s="41"/>
      <c r="E492" s="41"/>
      <c r="F492" s="41"/>
      <c r="G492" s="41"/>
      <c r="H492" s="41"/>
    </row>
    <row r="493" ht="15.75" customHeight="1">
      <c r="B493" s="41"/>
      <c r="C493" s="60"/>
      <c r="D493" s="41"/>
      <c r="E493" s="41"/>
      <c r="F493" s="41"/>
      <c r="G493" s="41"/>
      <c r="H493" s="41"/>
    </row>
    <row r="494" ht="15.75" customHeight="1">
      <c r="B494" s="41"/>
      <c r="C494" s="60"/>
      <c r="D494" s="41"/>
      <c r="E494" s="41"/>
      <c r="F494" s="41"/>
      <c r="G494" s="41"/>
      <c r="H494" s="41"/>
    </row>
    <row r="495" ht="15.75" customHeight="1">
      <c r="B495" s="41"/>
      <c r="C495" s="60"/>
      <c r="D495" s="41"/>
      <c r="E495" s="41"/>
      <c r="F495" s="41"/>
      <c r="G495" s="41"/>
      <c r="H495" s="41"/>
    </row>
    <row r="496" ht="15.75" customHeight="1">
      <c r="B496" s="41"/>
      <c r="C496" s="60"/>
      <c r="D496" s="41"/>
      <c r="E496" s="41"/>
      <c r="F496" s="41"/>
      <c r="G496" s="41"/>
      <c r="H496" s="41"/>
    </row>
    <row r="497" ht="15.75" customHeight="1">
      <c r="B497" s="41"/>
      <c r="C497" s="60"/>
      <c r="D497" s="41"/>
      <c r="E497" s="41"/>
      <c r="F497" s="41"/>
      <c r="G497" s="41"/>
      <c r="H497" s="41"/>
    </row>
    <row r="498" ht="15.75" customHeight="1">
      <c r="B498" s="41"/>
      <c r="C498" s="60"/>
      <c r="D498" s="41"/>
      <c r="E498" s="41"/>
      <c r="F498" s="41"/>
      <c r="G498" s="41"/>
      <c r="H498" s="41"/>
    </row>
    <row r="499" ht="15.75" customHeight="1">
      <c r="B499" s="41"/>
      <c r="C499" s="60"/>
      <c r="D499" s="41"/>
      <c r="E499" s="41"/>
      <c r="F499" s="41"/>
      <c r="G499" s="41"/>
      <c r="H499" s="41"/>
    </row>
    <row r="500" ht="15.75" customHeight="1">
      <c r="B500" s="41"/>
      <c r="C500" s="60"/>
      <c r="D500" s="41"/>
      <c r="E500" s="41"/>
      <c r="F500" s="41"/>
      <c r="G500" s="41"/>
      <c r="H500" s="41"/>
    </row>
    <row r="501" ht="15.75" customHeight="1">
      <c r="B501" s="41"/>
      <c r="C501" s="60"/>
      <c r="D501" s="41"/>
      <c r="E501" s="41"/>
      <c r="F501" s="41"/>
      <c r="G501" s="41"/>
      <c r="H501" s="41"/>
    </row>
    <row r="502" ht="15.75" customHeight="1">
      <c r="B502" s="41"/>
      <c r="C502" s="60"/>
      <c r="D502" s="41"/>
      <c r="E502" s="41"/>
      <c r="F502" s="41"/>
      <c r="G502" s="41"/>
      <c r="H502" s="41"/>
    </row>
    <row r="503" ht="15.75" customHeight="1">
      <c r="B503" s="41"/>
      <c r="C503" s="60"/>
      <c r="D503" s="41"/>
      <c r="E503" s="41"/>
      <c r="F503" s="41"/>
      <c r="G503" s="41"/>
      <c r="H503" s="41"/>
    </row>
    <row r="504" ht="15.75" customHeight="1">
      <c r="C504" s="60"/>
    </row>
    <row r="505" ht="15.75" customHeight="1">
      <c r="C505" s="60"/>
    </row>
    <row r="506" ht="15.75" customHeight="1">
      <c r="C506" s="60"/>
    </row>
    <row r="507" ht="15.75" customHeight="1">
      <c r="C507" s="60"/>
    </row>
    <row r="508" ht="15.75" customHeight="1">
      <c r="C508" s="60"/>
    </row>
    <row r="509" ht="15.75" customHeight="1">
      <c r="C509" s="60"/>
    </row>
    <row r="510" ht="15.75" customHeight="1">
      <c r="C510" s="60"/>
    </row>
    <row r="511" ht="15.75" customHeight="1">
      <c r="C511" s="60"/>
    </row>
    <row r="512" ht="15.75" customHeight="1">
      <c r="C512" s="60"/>
    </row>
    <row r="513" ht="15.75" customHeight="1">
      <c r="C513" s="60"/>
    </row>
    <row r="514" ht="15.75" customHeight="1">
      <c r="C514" s="60"/>
    </row>
    <row r="515" ht="15.75" customHeight="1">
      <c r="C515" s="60"/>
    </row>
    <row r="516" ht="15.75" customHeight="1">
      <c r="C516" s="60"/>
    </row>
    <row r="517" ht="15.75" customHeight="1">
      <c r="C517" s="60"/>
    </row>
    <row r="518" ht="15.75" customHeight="1">
      <c r="C518" s="60"/>
    </row>
    <row r="519" ht="15.75" customHeight="1">
      <c r="C519" s="60"/>
    </row>
    <row r="520" ht="15.75" customHeight="1">
      <c r="C520" s="60"/>
    </row>
    <row r="521" ht="15.75" customHeight="1">
      <c r="C521" s="60"/>
    </row>
    <row r="522" ht="15.75" customHeight="1">
      <c r="C522" s="60"/>
    </row>
    <row r="523" ht="15.75" customHeight="1">
      <c r="C523" s="60"/>
    </row>
    <row r="524" ht="15.75" customHeight="1">
      <c r="C524" s="60"/>
    </row>
    <row r="525" ht="15.75" customHeight="1">
      <c r="C525" s="60"/>
    </row>
    <row r="526" ht="15.75" customHeight="1">
      <c r="C526" s="60"/>
    </row>
    <row r="527" ht="15.75" customHeight="1">
      <c r="C527" s="60"/>
    </row>
    <row r="528" ht="15.75" customHeight="1">
      <c r="C528" s="60"/>
    </row>
    <row r="529" ht="15.75" customHeight="1">
      <c r="C529" s="60"/>
    </row>
    <row r="530" ht="15.75" customHeight="1">
      <c r="C530" s="60"/>
    </row>
    <row r="531" ht="15.75" customHeight="1">
      <c r="C531" s="60"/>
    </row>
    <row r="532" ht="15.75" customHeight="1">
      <c r="C532" s="60"/>
    </row>
    <row r="533" ht="15.75" customHeight="1">
      <c r="C533" s="60"/>
    </row>
    <row r="534" ht="15.75" customHeight="1">
      <c r="C534" s="60"/>
    </row>
    <row r="535" ht="15.75" customHeight="1">
      <c r="C535" s="60"/>
    </row>
    <row r="536" ht="15.75" customHeight="1">
      <c r="C536" s="60"/>
    </row>
    <row r="537" ht="15.75" customHeight="1">
      <c r="C537" s="60"/>
    </row>
    <row r="538" ht="15.75" customHeight="1">
      <c r="C538" s="60"/>
    </row>
    <row r="539" ht="15.75" customHeight="1">
      <c r="C539" s="60"/>
    </row>
    <row r="540" ht="15.75" customHeight="1">
      <c r="C540" s="60"/>
    </row>
    <row r="541" ht="15.75" customHeight="1">
      <c r="C541" s="60"/>
    </row>
    <row r="542" ht="15.75" customHeight="1">
      <c r="C542" s="60"/>
    </row>
    <row r="543" ht="15.75" customHeight="1">
      <c r="C543" s="60"/>
    </row>
    <row r="544" ht="15.75" customHeight="1">
      <c r="C544" s="60"/>
    </row>
    <row r="545" ht="15.75" customHeight="1">
      <c r="C545" s="60"/>
    </row>
    <row r="546" ht="15.75" customHeight="1">
      <c r="C546" s="60"/>
    </row>
    <row r="547" ht="15.75" customHeight="1">
      <c r="C547" s="60"/>
    </row>
    <row r="548" ht="15.75" customHeight="1">
      <c r="C548" s="60"/>
    </row>
    <row r="549" ht="15.75" customHeight="1">
      <c r="C549" s="60"/>
    </row>
    <row r="550" ht="15.75" customHeight="1">
      <c r="C550" s="60"/>
    </row>
    <row r="551" ht="15.75" customHeight="1">
      <c r="C551" s="60"/>
    </row>
    <row r="552" ht="15.75" customHeight="1">
      <c r="C552" s="60"/>
    </row>
    <row r="553" ht="15.75" customHeight="1">
      <c r="C553" s="60"/>
    </row>
    <row r="554" ht="15.75" customHeight="1">
      <c r="C554" s="60"/>
    </row>
    <row r="555" ht="15.75" customHeight="1">
      <c r="C555" s="60"/>
    </row>
    <row r="556" ht="15.75" customHeight="1">
      <c r="C556" s="60"/>
    </row>
    <row r="557" ht="15.75" customHeight="1">
      <c r="C557" s="60"/>
    </row>
    <row r="558" ht="15.75" customHeight="1">
      <c r="C558" s="60"/>
    </row>
    <row r="559" ht="15.75" customHeight="1">
      <c r="C559" s="60"/>
    </row>
    <row r="560" ht="15.75" customHeight="1">
      <c r="C560" s="60"/>
    </row>
    <row r="561" ht="15.75" customHeight="1">
      <c r="C561" s="60"/>
    </row>
    <row r="562" ht="15.75" customHeight="1">
      <c r="C562" s="60"/>
    </row>
    <row r="563" ht="15.75" customHeight="1">
      <c r="C563" s="60"/>
    </row>
    <row r="564" ht="15.75" customHeight="1">
      <c r="C564" s="60"/>
    </row>
    <row r="565" ht="15.75" customHeight="1">
      <c r="C565" s="60"/>
    </row>
    <row r="566" ht="15.75" customHeight="1">
      <c r="C566" s="60"/>
    </row>
    <row r="567" ht="15.75" customHeight="1">
      <c r="C567" s="60"/>
    </row>
    <row r="568" ht="15.75" customHeight="1">
      <c r="C568" s="60"/>
    </row>
    <row r="569" ht="15.75" customHeight="1">
      <c r="C569" s="60"/>
    </row>
    <row r="570" ht="15.75" customHeight="1">
      <c r="C570" s="60"/>
    </row>
    <row r="571" ht="15.75" customHeight="1">
      <c r="C571" s="60"/>
    </row>
    <row r="572" ht="15.75" customHeight="1">
      <c r="C572" s="60"/>
    </row>
    <row r="573" ht="15.75" customHeight="1">
      <c r="C573" s="60"/>
    </row>
    <row r="574" ht="15.75" customHeight="1">
      <c r="C574" s="60"/>
    </row>
    <row r="575" ht="15.75" customHeight="1">
      <c r="C575" s="60"/>
    </row>
    <row r="576" ht="15.75" customHeight="1">
      <c r="C576" s="60"/>
    </row>
    <row r="577" ht="15.75" customHeight="1">
      <c r="C577" s="60"/>
    </row>
    <row r="578" ht="15.75" customHeight="1">
      <c r="C578" s="60"/>
    </row>
    <row r="579" ht="15.75" customHeight="1">
      <c r="C579" s="60"/>
    </row>
    <row r="580" ht="15.75" customHeight="1">
      <c r="C580" s="60"/>
    </row>
    <row r="581" ht="15.75" customHeight="1">
      <c r="C581" s="60"/>
    </row>
    <row r="582" ht="15.75" customHeight="1">
      <c r="C582" s="60"/>
    </row>
    <row r="583" ht="15.75" customHeight="1">
      <c r="C583" s="60"/>
    </row>
    <row r="584" ht="15.75" customHeight="1">
      <c r="C584" s="60"/>
    </row>
    <row r="585" ht="15.75" customHeight="1">
      <c r="C585" s="60"/>
    </row>
    <row r="586" ht="15.75" customHeight="1">
      <c r="C586" s="60"/>
    </row>
    <row r="587" ht="15.75" customHeight="1">
      <c r="C587" s="60"/>
    </row>
    <row r="588" ht="15.75" customHeight="1">
      <c r="C588" s="60"/>
    </row>
    <row r="589" ht="15.75" customHeight="1">
      <c r="C589" s="60"/>
    </row>
    <row r="590" ht="15.75" customHeight="1">
      <c r="C590" s="60"/>
    </row>
    <row r="591" ht="15.75" customHeight="1">
      <c r="C591" s="60"/>
    </row>
    <row r="592" ht="15.75" customHeight="1">
      <c r="C592" s="60"/>
    </row>
    <row r="593" ht="15.75" customHeight="1">
      <c r="C593" s="60"/>
    </row>
    <row r="594" ht="15.75" customHeight="1">
      <c r="C594" s="60"/>
    </row>
    <row r="595" ht="15.75" customHeight="1">
      <c r="C595" s="60"/>
    </row>
    <row r="596" ht="15.75" customHeight="1">
      <c r="C596" s="60"/>
    </row>
    <row r="597" ht="15.75" customHeight="1">
      <c r="C597" s="60"/>
    </row>
    <row r="598" ht="15.75" customHeight="1">
      <c r="C598" s="60"/>
    </row>
    <row r="599" ht="15.75" customHeight="1">
      <c r="C599" s="60"/>
    </row>
    <row r="600" ht="15.75" customHeight="1">
      <c r="C600" s="60"/>
    </row>
    <row r="601" ht="15.75" customHeight="1">
      <c r="C601" s="60"/>
    </row>
    <row r="602" ht="15.75" customHeight="1">
      <c r="C602" s="60"/>
    </row>
    <row r="603" ht="15.75" customHeight="1">
      <c r="C603" s="60"/>
    </row>
    <row r="604" ht="15.75" customHeight="1">
      <c r="C604" s="60"/>
    </row>
    <row r="605" ht="15.75" customHeight="1">
      <c r="C605" s="60"/>
    </row>
    <row r="606" ht="15.75" customHeight="1">
      <c r="C606" s="60"/>
    </row>
    <row r="607" ht="15.75" customHeight="1">
      <c r="C607" s="60"/>
    </row>
    <row r="608" ht="15.75" customHeight="1">
      <c r="C608" s="60"/>
    </row>
    <row r="609" ht="15.75" customHeight="1">
      <c r="C609" s="60"/>
    </row>
    <row r="610" ht="15.75" customHeight="1">
      <c r="C610" s="60"/>
    </row>
    <row r="611" ht="15.75" customHeight="1">
      <c r="C611" s="60"/>
    </row>
    <row r="612" ht="15.75" customHeight="1">
      <c r="C612" s="60"/>
    </row>
    <row r="613" ht="15.75" customHeight="1">
      <c r="C613" s="60"/>
    </row>
    <row r="614" ht="15.75" customHeight="1">
      <c r="C614" s="60"/>
    </row>
    <row r="615" ht="15.75" customHeight="1">
      <c r="C615" s="60"/>
    </row>
    <row r="616" ht="15.75" customHeight="1">
      <c r="C616" s="60"/>
    </row>
    <row r="617" ht="15.75" customHeight="1">
      <c r="C617" s="60"/>
    </row>
    <row r="618" ht="15.75" customHeight="1">
      <c r="C618" s="60"/>
    </row>
    <row r="619" ht="15.75" customHeight="1">
      <c r="C619" s="60"/>
    </row>
    <row r="620" ht="15.75" customHeight="1">
      <c r="C620" s="60"/>
    </row>
    <row r="621" ht="15.75" customHeight="1">
      <c r="C621" s="60"/>
    </row>
    <row r="622" ht="15.75" customHeight="1">
      <c r="C622" s="60"/>
    </row>
    <row r="623" ht="15.75" customHeight="1">
      <c r="C623" s="60"/>
    </row>
    <row r="624" ht="15.75" customHeight="1">
      <c r="C624" s="60"/>
    </row>
    <row r="625" ht="15.75" customHeight="1">
      <c r="C625" s="60"/>
    </row>
    <row r="626" ht="15.75" customHeight="1">
      <c r="C626" s="60"/>
    </row>
    <row r="627" ht="15.75" customHeight="1">
      <c r="C627" s="60"/>
    </row>
    <row r="628" ht="15.75" customHeight="1">
      <c r="C628" s="60"/>
    </row>
    <row r="629" ht="15.75" customHeight="1">
      <c r="C629" s="60"/>
    </row>
    <row r="630" ht="15.75" customHeight="1">
      <c r="C630" s="60"/>
    </row>
    <row r="631" ht="15.75" customHeight="1">
      <c r="C631" s="60"/>
    </row>
    <row r="632" ht="15.75" customHeight="1">
      <c r="C632" s="60"/>
    </row>
    <row r="633" ht="15.75" customHeight="1">
      <c r="C633" s="60"/>
    </row>
    <row r="634" ht="15.75" customHeight="1">
      <c r="C634" s="60"/>
    </row>
    <row r="635" ht="15.75" customHeight="1">
      <c r="C635" s="60"/>
    </row>
    <row r="636" ht="15.75" customHeight="1">
      <c r="C636" s="60"/>
    </row>
    <row r="637" ht="15.75" customHeight="1">
      <c r="C637" s="60"/>
    </row>
    <row r="638" ht="15.75" customHeight="1">
      <c r="C638" s="60"/>
    </row>
    <row r="639" ht="15.75" customHeight="1">
      <c r="C639" s="60"/>
    </row>
    <row r="640" ht="15.75" customHeight="1">
      <c r="C640" s="60"/>
    </row>
    <row r="641" ht="15.75" customHeight="1">
      <c r="C641" s="60"/>
    </row>
    <row r="642" ht="15.75" customHeight="1">
      <c r="C642" s="60"/>
    </row>
    <row r="643" ht="15.75" customHeight="1">
      <c r="C643" s="60"/>
    </row>
    <row r="644" ht="15.75" customHeight="1">
      <c r="C644" s="60"/>
    </row>
    <row r="645" ht="15.75" customHeight="1">
      <c r="C645" s="60"/>
    </row>
    <row r="646" ht="15.75" customHeight="1">
      <c r="C646" s="60"/>
    </row>
    <row r="647" ht="15.75" customHeight="1">
      <c r="C647" s="60"/>
    </row>
    <row r="648" ht="15.75" customHeight="1">
      <c r="C648" s="60"/>
    </row>
    <row r="649" ht="15.75" customHeight="1">
      <c r="C649" s="60"/>
    </row>
    <row r="650" ht="15.75" customHeight="1">
      <c r="C650" s="60"/>
    </row>
    <row r="651" ht="15.75" customHeight="1">
      <c r="C651" s="60"/>
    </row>
    <row r="652" ht="15.75" customHeight="1">
      <c r="C652" s="60"/>
    </row>
    <row r="653" ht="15.75" customHeight="1">
      <c r="C653" s="60"/>
    </row>
    <row r="654" ht="15.75" customHeight="1">
      <c r="C654" s="60"/>
    </row>
    <row r="655" ht="15.75" customHeight="1">
      <c r="C655" s="60"/>
    </row>
    <row r="656" ht="15.75" customHeight="1">
      <c r="C656" s="60"/>
    </row>
    <row r="657" ht="15.75" customHeight="1">
      <c r="C657" s="60"/>
    </row>
    <row r="658" ht="15.75" customHeight="1">
      <c r="C658" s="60"/>
    </row>
    <row r="659" ht="15.75" customHeight="1">
      <c r="C659" s="60"/>
    </row>
    <row r="660" ht="15.75" customHeight="1">
      <c r="C660" s="60"/>
    </row>
    <row r="661" ht="15.75" customHeight="1">
      <c r="C661" s="60"/>
    </row>
    <row r="662" ht="15.75" customHeight="1">
      <c r="C662" s="60"/>
    </row>
    <row r="663" ht="15.75" customHeight="1">
      <c r="C663" s="60"/>
    </row>
    <row r="664" ht="15.75" customHeight="1">
      <c r="C664" s="60"/>
    </row>
    <row r="665" ht="15.75" customHeight="1">
      <c r="C665" s="60"/>
    </row>
    <row r="666" ht="15.75" customHeight="1">
      <c r="C666" s="60"/>
    </row>
    <row r="667" ht="15.75" customHeight="1">
      <c r="C667" s="60"/>
    </row>
    <row r="668" ht="15.75" customHeight="1">
      <c r="C668" s="60"/>
    </row>
    <row r="669" ht="15.75" customHeight="1">
      <c r="C669" s="60"/>
    </row>
    <row r="670" ht="15.75" customHeight="1">
      <c r="C670" s="60"/>
    </row>
    <row r="671" ht="15.75" customHeight="1">
      <c r="C671" s="60"/>
    </row>
    <row r="672" ht="15.75" customHeight="1">
      <c r="C672" s="60"/>
    </row>
    <row r="673" ht="15.75" customHeight="1">
      <c r="C673" s="60"/>
    </row>
    <row r="674" ht="15.75" customHeight="1">
      <c r="C674" s="60"/>
    </row>
    <row r="675" ht="15.75" customHeight="1">
      <c r="C675" s="60"/>
    </row>
    <row r="676" ht="15.75" customHeight="1">
      <c r="C676" s="60"/>
    </row>
    <row r="677" ht="15.75" customHeight="1">
      <c r="C677" s="60"/>
    </row>
    <row r="678" ht="15.75" customHeight="1">
      <c r="C678" s="60"/>
    </row>
    <row r="679" ht="15.75" customHeight="1">
      <c r="C679" s="60"/>
    </row>
    <row r="680" ht="15.75" customHeight="1">
      <c r="C680" s="60"/>
    </row>
    <row r="681" ht="15.75" customHeight="1">
      <c r="C681" s="60"/>
    </row>
    <row r="682" ht="15.75" customHeight="1">
      <c r="C682" s="60"/>
    </row>
    <row r="683" ht="15.75" customHeight="1">
      <c r="C683" s="60"/>
    </row>
    <row r="684" ht="15.75" customHeight="1">
      <c r="C684" s="60"/>
    </row>
    <row r="685" ht="15.75" customHeight="1">
      <c r="C685" s="60"/>
    </row>
    <row r="686" ht="15.75" customHeight="1">
      <c r="C686" s="60"/>
    </row>
    <row r="687" ht="15.75" customHeight="1">
      <c r="C687" s="60"/>
    </row>
    <row r="688" ht="15.75" customHeight="1">
      <c r="C688" s="60"/>
    </row>
    <row r="689" ht="15.75" customHeight="1">
      <c r="C689" s="60"/>
    </row>
    <row r="690" ht="15.75" customHeight="1">
      <c r="C690" s="60"/>
    </row>
    <row r="691" ht="15.75" customHeight="1">
      <c r="C691" s="60"/>
    </row>
    <row r="692" ht="15.75" customHeight="1">
      <c r="C692" s="60"/>
    </row>
    <row r="693" ht="15.75" customHeight="1">
      <c r="C693" s="60"/>
    </row>
    <row r="694" ht="15.75" customHeight="1">
      <c r="C694" s="60"/>
    </row>
    <row r="695" ht="15.75" customHeight="1">
      <c r="C695" s="60"/>
    </row>
    <row r="696" ht="15.75" customHeight="1">
      <c r="C696" s="60"/>
    </row>
    <row r="697" ht="15.75" customHeight="1">
      <c r="C697" s="60"/>
    </row>
    <row r="698" ht="15.75" customHeight="1">
      <c r="C698" s="60"/>
    </row>
    <row r="699" ht="15.75" customHeight="1">
      <c r="C699" s="60"/>
    </row>
    <row r="700" ht="15.75" customHeight="1">
      <c r="C700" s="60"/>
    </row>
    <row r="701" ht="15.75" customHeight="1">
      <c r="C701" s="60"/>
    </row>
    <row r="702" ht="15.75" customHeight="1">
      <c r="C702" s="60"/>
    </row>
    <row r="703" ht="15.75" customHeight="1">
      <c r="C703" s="60"/>
    </row>
    <row r="704" ht="15.75" customHeight="1">
      <c r="C704" s="60"/>
    </row>
    <row r="705" ht="15.75" customHeight="1">
      <c r="C705" s="60"/>
    </row>
    <row r="706" ht="15.75" customHeight="1">
      <c r="C706" s="60"/>
    </row>
    <row r="707" ht="15.75" customHeight="1">
      <c r="C707" s="60"/>
    </row>
    <row r="708" ht="15.75" customHeight="1">
      <c r="C708" s="60"/>
    </row>
    <row r="709" ht="15.75" customHeight="1">
      <c r="C709" s="60"/>
    </row>
    <row r="710" ht="15.75" customHeight="1">
      <c r="C710" s="60"/>
    </row>
    <row r="711" ht="15.75" customHeight="1">
      <c r="C711" s="60"/>
    </row>
    <row r="712" ht="15.75" customHeight="1">
      <c r="C712" s="60"/>
    </row>
    <row r="713" ht="15.75" customHeight="1">
      <c r="C713" s="60"/>
    </row>
    <row r="714" ht="15.75" customHeight="1">
      <c r="C714" s="60"/>
    </row>
    <row r="715" ht="15.75" customHeight="1">
      <c r="C715" s="60"/>
    </row>
    <row r="716" ht="15.75" customHeight="1">
      <c r="C716" s="60"/>
    </row>
    <row r="717" ht="15.75" customHeight="1">
      <c r="C717" s="60"/>
    </row>
    <row r="718" ht="15.75" customHeight="1">
      <c r="C718" s="60"/>
    </row>
    <row r="719" ht="15.75" customHeight="1">
      <c r="C719" s="60"/>
    </row>
    <row r="720" ht="15.75" customHeight="1">
      <c r="C720" s="60"/>
    </row>
    <row r="721" ht="15.75" customHeight="1">
      <c r="C721" s="60"/>
    </row>
    <row r="722" ht="15.75" customHeight="1">
      <c r="C722" s="60"/>
    </row>
    <row r="723" ht="15.75" customHeight="1">
      <c r="C723" s="60"/>
    </row>
    <row r="724" ht="15.75" customHeight="1">
      <c r="C724" s="60"/>
    </row>
    <row r="725" ht="15.75" customHeight="1">
      <c r="C725" s="60"/>
    </row>
    <row r="726" ht="15.75" customHeight="1">
      <c r="C726" s="60"/>
    </row>
    <row r="727" ht="15.75" customHeight="1">
      <c r="C727" s="60"/>
    </row>
    <row r="728" ht="15.75" customHeight="1">
      <c r="C728" s="60"/>
    </row>
    <row r="729" ht="15.75" customHeight="1">
      <c r="C729" s="60"/>
    </row>
    <row r="730" ht="15.75" customHeight="1">
      <c r="C730" s="60"/>
    </row>
    <row r="731" ht="15.75" customHeight="1">
      <c r="C731" s="60"/>
    </row>
    <row r="732" ht="15.75" customHeight="1">
      <c r="C732" s="60"/>
    </row>
    <row r="733" ht="15.75" customHeight="1">
      <c r="C733" s="60"/>
    </row>
    <row r="734" ht="15.75" customHeight="1">
      <c r="C734" s="60"/>
    </row>
    <row r="735" ht="15.75" customHeight="1">
      <c r="C735" s="60"/>
    </row>
    <row r="736" ht="15.75" customHeight="1">
      <c r="C736" s="60"/>
    </row>
    <row r="737" ht="15.75" customHeight="1">
      <c r="C737" s="60"/>
    </row>
    <row r="738" ht="15.75" customHeight="1">
      <c r="C738" s="60"/>
    </row>
    <row r="739" ht="15.75" customHeight="1">
      <c r="C739" s="60"/>
    </row>
    <row r="740" ht="15.75" customHeight="1">
      <c r="C740" s="60"/>
    </row>
    <row r="741" ht="15.75" customHeight="1">
      <c r="C741" s="60"/>
    </row>
    <row r="742" ht="15.75" customHeight="1">
      <c r="C742" s="60"/>
    </row>
    <row r="743" ht="15.75" customHeight="1">
      <c r="C743" s="60"/>
    </row>
    <row r="744" ht="15.75" customHeight="1">
      <c r="C744" s="60"/>
    </row>
    <row r="745" ht="15.75" customHeight="1">
      <c r="C745" s="60"/>
    </row>
    <row r="746" ht="15.75" customHeight="1">
      <c r="C746" s="60"/>
    </row>
    <row r="747" ht="15.75" customHeight="1">
      <c r="C747" s="60"/>
    </row>
    <row r="748" ht="15.75" customHeight="1">
      <c r="C748" s="60"/>
    </row>
    <row r="749" ht="15.75" customHeight="1">
      <c r="C749" s="60"/>
    </row>
    <row r="750" ht="15.75" customHeight="1">
      <c r="C750" s="60"/>
    </row>
    <row r="751" ht="15.75" customHeight="1">
      <c r="C751" s="60"/>
    </row>
    <row r="752" ht="15.75" customHeight="1">
      <c r="C752" s="60"/>
    </row>
    <row r="753" ht="15.75" customHeight="1">
      <c r="C753" s="60"/>
    </row>
    <row r="754" ht="15.75" customHeight="1">
      <c r="C754" s="60"/>
    </row>
    <row r="755" ht="15.75" customHeight="1">
      <c r="C755" s="60"/>
    </row>
    <row r="756" ht="15.75" customHeight="1">
      <c r="C756" s="60"/>
    </row>
    <row r="757" ht="15.75" customHeight="1">
      <c r="C757" s="60"/>
    </row>
    <row r="758" ht="15.75" customHeight="1">
      <c r="C758" s="60"/>
    </row>
    <row r="759" ht="15.75" customHeight="1">
      <c r="C759" s="60"/>
    </row>
    <row r="760" ht="15.75" customHeight="1">
      <c r="C760" s="60"/>
    </row>
    <row r="761" ht="15.75" customHeight="1">
      <c r="C761" s="60"/>
    </row>
    <row r="762" ht="15.75" customHeight="1">
      <c r="C762" s="60"/>
    </row>
    <row r="763" ht="15.75" customHeight="1">
      <c r="C763" s="60"/>
    </row>
    <row r="764" ht="15.75" customHeight="1">
      <c r="C764" s="60"/>
    </row>
    <row r="765" ht="15.75" customHeight="1">
      <c r="C765" s="60"/>
    </row>
    <row r="766" ht="15.75" customHeight="1">
      <c r="C766" s="60"/>
    </row>
    <row r="767" ht="15.75" customHeight="1">
      <c r="C767" s="60"/>
    </row>
    <row r="768" ht="15.75" customHeight="1">
      <c r="C768" s="60"/>
    </row>
    <row r="769" ht="15.75" customHeight="1">
      <c r="C769" s="60"/>
    </row>
    <row r="770" ht="15.75" customHeight="1">
      <c r="C770" s="60"/>
    </row>
    <row r="771" ht="15.75" customHeight="1">
      <c r="C771" s="60"/>
    </row>
    <row r="772" ht="15.75" customHeight="1">
      <c r="C772" s="60"/>
    </row>
    <row r="773" ht="15.75" customHeight="1">
      <c r="C773" s="60"/>
    </row>
    <row r="774" ht="15.75" customHeight="1">
      <c r="C774" s="60"/>
    </row>
    <row r="775" ht="15.75" customHeight="1">
      <c r="C775" s="60"/>
    </row>
    <row r="776" ht="15.75" customHeight="1">
      <c r="C776" s="60"/>
    </row>
    <row r="777" ht="15.75" customHeight="1">
      <c r="C777" s="60"/>
    </row>
    <row r="778" ht="15.75" customHeight="1">
      <c r="C778" s="60"/>
    </row>
    <row r="779" ht="15.75" customHeight="1">
      <c r="C779" s="60"/>
    </row>
    <row r="780" ht="15.75" customHeight="1">
      <c r="C780" s="60"/>
    </row>
    <row r="781" ht="15.75" customHeight="1">
      <c r="C781" s="60"/>
    </row>
    <row r="782" ht="15.75" customHeight="1">
      <c r="C782" s="60"/>
    </row>
    <row r="783" ht="15.75" customHeight="1">
      <c r="C783" s="60"/>
    </row>
    <row r="784" ht="15.75" customHeight="1">
      <c r="C784" s="60"/>
    </row>
    <row r="785" ht="15.75" customHeight="1">
      <c r="C785" s="60"/>
    </row>
    <row r="786" ht="15.75" customHeight="1">
      <c r="C786" s="60"/>
    </row>
    <row r="787" ht="15.75" customHeight="1">
      <c r="C787" s="60"/>
    </row>
    <row r="788" ht="15.75" customHeight="1">
      <c r="C788" s="60"/>
    </row>
    <row r="789" ht="15.75" customHeight="1">
      <c r="C789" s="60"/>
    </row>
    <row r="790" ht="15.75" customHeight="1">
      <c r="C790" s="60"/>
    </row>
    <row r="791" ht="15.75" customHeight="1">
      <c r="C791" s="60"/>
    </row>
    <row r="792" ht="15.75" customHeight="1">
      <c r="C792" s="60"/>
    </row>
    <row r="793" ht="15.75" customHeight="1">
      <c r="C793" s="60"/>
    </row>
    <row r="794" ht="15.75" customHeight="1">
      <c r="C794" s="60"/>
    </row>
    <row r="795" ht="15.75" customHeight="1">
      <c r="C795" s="60"/>
    </row>
    <row r="796" ht="15.75" customHeight="1">
      <c r="C796" s="60"/>
    </row>
    <row r="797" ht="15.75" customHeight="1">
      <c r="C797" s="60"/>
    </row>
    <row r="798" ht="15.75" customHeight="1">
      <c r="C798" s="60"/>
    </row>
    <row r="799" ht="15.75" customHeight="1">
      <c r="C799" s="60"/>
    </row>
    <row r="800" ht="15.75" customHeight="1">
      <c r="C800" s="60"/>
    </row>
    <row r="801" ht="15.75" customHeight="1">
      <c r="C801" s="60"/>
    </row>
    <row r="802" ht="15.75" customHeight="1">
      <c r="C802" s="60"/>
    </row>
    <row r="803" ht="15.75" customHeight="1">
      <c r="C803" s="60"/>
    </row>
    <row r="804" ht="15.75" customHeight="1">
      <c r="C804" s="60"/>
    </row>
    <row r="805" ht="15.75" customHeight="1">
      <c r="C805" s="60"/>
    </row>
    <row r="806" ht="15.75" customHeight="1">
      <c r="C806" s="60"/>
    </row>
    <row r="807" ht="15.75" customHeight="1">
      <c r="C807" s="60"/>
    </row>
    <row r="808" ht="15.75" customHeight="1">
      <c r="C808" s="60"/>
    </row>
    <row r="809" ht="15.75" customHeight="1">
      <c r="C809" s="60"/>
    </row>
    <row r="810" ht="15.75" customHeight="1">
      <c r="C810" s="60"/>
    </row>
    <row r="811" ht="15.75" customHeight="1">
      <c r="C811" s="60"/>
    </row>
    <row r="812" ht="15.75" customHeight="1">
      <c r="C812" s="60"/>
    </row>
    <row r="813" ht="15.75" customHeight="1">
      <c r="C813" s="60"/>
    </row>
    <row r="814" ht="15.75" customHeight="1">
      <c r="C814" s="60"/>
    </row>
    <row r="815" ht="15.75" customHeight="1">
      <c r="C815" s="60"/>
    </row>
    <row r="816" ht="15.75" customHeight="1">
      <c r="C816" s="60"/>
    </row>
    <row r="817" ht="15.75" customHeight="1">
      <c r="C817" s="60"/>
    </row>
    <row r="818" ht="15.75" customHeight="1">
      <c r="C818" s="60"/>
    </row>
    <row r="819" ht="15.75" customHeight="1">
      <c r="C819" s="60"/>
    </row>
    <row r="820" ht="15.75" customHeight="1">
      <c r="C820" s="60"/>
    </row>
    <row r="821" ht="15.75" customHeight="1">
      <c r="C821" s="60"/>
    </row>
    <row r="822" ht="15.75" customHeight="1">
      <c r="C822" s="60"/>
    </row>
    <row r="823" ht="15.75" customHeight="1">
      <c r="C823" s="60"/>
    </row>
    <row r="824" ht="15.75" customHeight="1">
      <c r="C824" s="60"/>
    </row>
    <row r="825" ht="15.75" customHeight="1">
      <c r="C825" s="60"/>
    </row>
    <row r="826" ht="15.75" customHeight="1">
      <c r="C826" s="60"/>
    </row>
    <row r="827" ht="15.75" customHeight="1">
      <c r="C827" s="60"/>
    </row>
    <row r="828" ht="15.75" customHeight="1">
      <c r="C828" s="60"/>
    </row>
    <row r="829" ht="15.75" customHeight="1">
      <c r="C829" s="60"/>
    </row>
    <row r="830" ht="15.75" customHeight="1">
      <c r="C830" s="60"/>
    </row>
    <row r="831" ht="15.75" customHeight="1">
      <c r="C831" s="60"/>
    </row>
    <row r="832" ht="15.75" customHeight="1">
      <c r="C832" s="60"/>
    </row>
    <row r="833" ht="15.75" customHeight="1">
      <c r="C833" s="60"/>
    </row>
    <row r="834" ht="15.75" customHeight="1">
      <c r="C834" s="60"/>
    </row>
    <row r="835" ht="15.75" customHeight="1">
      <c r="C835" s="60"/>
    </row>
    <row r="836" ht="15.75" customHeight="1">
      <c r="C836" s="60"/>
    </row>
    <row r="837" ht="15.75" customHeight="1">
      <c r="C837" s="60"/>
    </row>
    <row r="838" ht="15.75" customHeight="1">
      <c r="C838" s="60"/>
    </row>
    <row r="839" ht="15.75" customHeight="1">
      <c r="C839" s="60"/>
    </row>
    <row r="840" ht="15.75" customHeight="1">
      <c r="C840" s="60"/>
    </row>
    <row r="841" ht="15.75" customHeight="1">
      <c r="C841" s="60"/>
    </row>
    <row r="842" ht="15.75" customHeight="1">
      <c r="C842" s="60"/>
    </row>
    <row r="843" ht="15.75" customHeight="1">
      <c r="C843" s="60"/>
    </row>
    <row r="844" ht="15.75" customHeight="1">
      <c r="C844" s="60"/>
    </row>
    <row r="845" ht="15.75" customHeight="1">
      <c r="C845" s="60"/>
    </row>
    <row r="846" ht="15.75" customHeight="1">
      <c r="C846" s="60"/>
    </row>
    <row r="847" ht="15.75" customHeight="1">
      <c r="C847" s="60"/>
    </row>
    <row r="848" ht="15.75" customHeight="1">
      <c r="C848" s="60"/>
    </row>
    <row r="849" ht="15.75" customHeight="1">
      <c r="C849" s="60"/>
    </row>
    <row r="850" ht="15.75" customHeight="1">
      <c r="C850" s="60"/>
    </row>
    <row r="851" ht="15.75" customHeight="1">
      <c r="C851" s="60"/>
    </row>
    <row r="852" ht="15.75" customHeight="1">
      <c r="C852" s="60"/>
    </row>
    <row r="853" ht="15.75" customHeight="1">
      <c r="C853" s="60"/>
    </row>
    <row r="854" ht="15.75" customHeight="1">
      <c r="C854" s="60"/>
    </row>
    <row r="855" ht="15.75" customHeight="1">
      <c r="C855" s="60"/>
    </row>
    <row r="856" ht="15.75" customHeight="1">
      <c r="C856" s="60"/>
    </row>
    <row r="857" ht="15.75" customHeight="1">
      <c r="C857" s="60"/>
    </row>
    <row r="858" ht="15.75" customHeight="1">
      <c r="C858" s="60"/>
    </row>
    <row r="859" ht="15.75" customHeight="1">
      <c r="C859" s="60"/>
    </row>
    <row r="860" ht="15.75" customHeight="1">
      <c r="C860" s="60"/>
    </row>
    <row r="861" ht="15.75" customHeight="1">
      <c r="C861" s="60"/>
    </row>
    <row r="862" ht="15.75" customHeight="1">
      <c r="C862" s="60"/>
    </row>
    <row r="863" ht="15.75" customHeight="1">
      <c r="C863" s="60"/>
    </row>
    <row r="864" ht="15.75" customHeight="1">
      <c r="C864" s="60"/>
    </row>
    <row r="865" ht="15.75" customHeight="1">
      <c r="C865" s="60"/>
    </row>
    <row r="866" ht="15.75" customHeight="1">
      <c r="C866" s="60"/>
    </row>
    <row r="867" ht="15.75" customHeight="1">
      <c r="C867" s="60"/>
    </row>
    <row r="868" ht="15.75" customHeight="1">
      <c r="C868" s="60"/>
    </row>
    <row r="869" ht="15.75" customHeight="1">
      <c r="C869" s="60"/>
    </row>
    <row r="870" ht="15.75" customHeight="1">
      <c r="C870" s="60"/>
    </row>
    <row r="871" ht="15.75" customHeight="1">
      <c r="C871" s="60"/>
    </row>
    <row r="872" ht="15.75" customHeight="1">
      <c r="C872" s="60"/>
    </row>
    <row r="873" ht="15.75" customHeight="1">
      <c r="C873" s="60"/>
    </row>
    <row r="874" ht="15.75" customHeight="1">
      <c r="C874" s="60"/>
    </row>
    <row r="875" ht="15.75" customHeight="1">
      <c r="C875" s="60"/>
    </row>
    <row r="876" ht="15.75" customHeight="1">
      <c r="C876" s="60"/>
    </row>
    <row r="877" ht="15.75" customHeight="1">
      <c r="C877" s="60"/>
    </row>
    <row r="878" ht="15.75" customHeight="1">
      <c r="C878" s="60"/>
    </row>
    <row r="879" ht="15.75" customHeight="1">
      <c r="C879" s="60"/>
    </row>
    <row r="880" ht="15.75" customHeight="1">
      <c r="C880" s="60"/>
    </row>
    <row r="881" ht="15.75" customHeight="1">
      <c r="C881" s="60"/>
    </row>
    <row r="882" ht="15.75" customHeight="1">
      <c r="C882" s="60"/>
    </row>
    <row r="883" ht="15.75" customHeight="1">
      <c r="C883" s="60"/>
    </row>
    <row r="884" ht="15.75" customHeight="1">
      <c r="C884" s="60"/>
    </row>
    <row r="885" ht="15.75" customHeight="1">
      <c r="C885" s="60"/>
    </row>
    <row r="886" ht="15.75" customHeight="1">
      <c r="C886" s="60"/>
    </row>
    <row r="887" ht="15.75" customHeight="1">
      <c r="C887" s="60"/>
    </row>
    <row r="888" ht="15.75" customHeight="1">
      <c r="C888" s="60"/>
    </row>
    <row r="889" ht="15.75" customHeight="1">
      <c r="C889" s="60"/>
    </row>
    <row r="890" ht="15.75" customHeight="1">
      <c r="C890" s="60"/>
    </row>
    <row r="891" ht="15.75" customHeight="1">
      <c r="C891" s="60"/>
    </row>
    <row r="892" ht="15.75" customHeight="1">
      <c r="C892" s="60"/>
    </row>
    <row r="893" ht="15.75" customHeight="1">
      <c r="C893" s="60"/>
    </row>
    <row r="894" ht="15.75" customHeight="1">
      <c r="C894" s="60"/>
    </row>
    <row r="895" ht="15.75" customHeight="1">
      <c r="C895" s="60"/>
    </row>
    <row r="896" ht="15.75" customHeight="1">
      <c r="C896" s="60"/>
    </row>
    <row r="897" ht="15.75" customHeight="1">
      <c r="C897" s="60"/>
    </row>
    <row r="898" ht="15.75" customHeight="1">
      <c r="C898" s="60"/>
    </row>
    <row r="899" ht="15.75" customHeight="1">
      <c r="C899" s="60"/>
    </row>
    <row r="900" ht="15.75" customHeight="1">
      <c r="C900" s="60"/>
    </row>
    <row r="901" ht="15.75" customHeight="1">
      <c r="C901" s="60"/>
    </row>
    <row r="902" ht="15.75" customHeight="1">
      <c r="C902" s="60"/>
    </row>
    <row r="903" ht="15.75" customHeight="1">
      <c r="C903" s="60"/>
    </row>
    <row r="904" ht="15.75" customHeight="1">
      <c r="C904" s="60"/>
    </row>
    <row r="905" ht="15.75" customHeight="1">
      <c r="C905" s="60"/>
    </row>
    <row r="906" ht="15.75" customHeight="1">
      <c r="C906" s="60"/>
    </row>
    <row r="907" ht="15.75" customHeight="1">
      <c r="C907" s="60"/>
    </row>
    <row r="908" ht="15.75" customHeight="1">
      <c r="C908" s="60"/>
    </row>
    <row r="909" ht="15.75" customHeight="1">
      <c r="C909" s="60"/>
    </row>
    <row r="910" ht="15.75" customHeight="1">
      <c r="C910" s="60"/>
    </row>
    <row r="911" ht="15.75" customHeight="1">
      <c r="C911" s="60"/>
    </row>
    <row r="912" ht="15.75" customHeight="1">
      <c r="C912" s="60"/>
    </row>
    <row r="913" ht="15.75" customHeight="1">
      <c r="C913" s="60"/>
    </row>
    <row r="914" ht="15.75" customHeight="1">
      <c r="C914" s="60"/>
    </row>
    <row r="915" ht="15.75" customHeight="1">
      <c r="C915" s="60"/>
    </row>
    <row r="916" ht="15.75" customHeight="1">
      <c r="C916" s="60"/>
    </row>
    <row r="917" ht="15.75" customHeight="1">
      <c r="C917" s="60"/>
    </row>
    <row r="918" ht="15.75" customHeight="1">
      <c r="C918" s="60"/>
    </row>
    <row r="919" ht="15.75" customHeight="1">
      <c r="C919" s="60"/>
    </row>
    <row r="920" ht="15.75" customHeight="1">
      <c r="C920" s="60"/>
    </row>
    <row r="921" ht="15.75" customHeight="1">
      <c r="C921" s="60"/>
    </row>
    <row r="922" ht="15.75" customHeight="1">
      <c r="C922" s="60"/>
    </row>
    <row r="923" ht="15.75" customHeight="1">
      <c r="C923" s="60"/>
    </row>
    <row r="924" ht="15.75" customHeight="1">
      <c r="C924" s="60"/>
    </row>
    <row r="925" ht="15.75" customHeight="1">
      <c r="C925" s="60"/>
    </row>
    <row r="926" ht="15.75" customHeight="1">
      <c r="C926" s="60"/>
    </row>
    <row r="927" ht="15.75" customHeight="1">
      <c r="C927" s="60"/>
    </row>
    <row r="928" ht="15.75" customHeight="1">
      <c r="C928" s="60"/>
    </row>
    <row r="929" ht="15.75" customHeight="1">
      <c r="C929" s="60"/>
    </row>
    <row r="930" ht="15.75" customHeight="1">
      <c r="C930" s="60"/>
    </row>
    <row r="931" ht="15.75" customHeight="1">
      <c r="C931" s="60"/>
    </row>
    <row r="932" ht="15.75" customHeight="1">
      <c r="C932" s="60"/>
    </row>
    <row r="933" ht="15.75" customHeight="1">
      <c r="C933" s="60"/>
    </row>
    <row r="934" ht="15.75" customHeight="1">
      <c r="C934" s="60"/>
    </row>
    <row r="935" ht="15.75" customHeight="1">
      <c r="C935" s="60"/>
    </row>
    <row r="936" ht="15.75" customHeight="1">
      <c r="C936" s="60"/>
    </row>
    <row r="937" ht="15.75" customHeight="1">
      <c r="C937" s="60"/>
    </row>
    <row r="938" ht="15.75" customHeight="1">
      <c r="C938" s="60"/>
    </row>
    <row r="939" ht="15.75" customHeight="1">
      <c r="C939" s="60"/>
    </row>
    <row r="940" ht="15.75" customHeight="1">
      <c r="C940" s="60"/>
    </row>
    <row r="941" ht="15.75" customHeight="1">
      <c r="C941" s="60"/>
    </row>
    <row r="942" ht="15.75" customHeight="1">
      <c r="C942" s="60"/>
    </row>
    <row r="943" ht="15.75" customHeight="1">
      <c r="C943" s="60"/>
    </row>
    <row r="944" ht="15.75" customHeight="1">
      <c r="C944" s="60"/>
    </row>
    <row r="945" ht="15.75" customHeight="1">
      <c r="C945" s="60"/>
    </row>
    <row r="946" ht="15.75" customHeight="1">
      <c r="C946" s="60"/>
    </row>
    <row r="947" ht="15.75" customHeight="1">
      <c r="C947" s="60"/>
    </row>
    <row r="948" ht="15.75" customHeight="1">
      <c r="C948" s="60"/>
    </row>
    <row r="949" ht="15.75" customHeight="1">
      <c r="C949" s="60"/>
    </row>
    <row r="950" ht="15.75" customHeight="1">
      <c r="C950" s="60"/>
    </row>
    <row r="951" ht="15.75" customHeight="1">
      <c r="C951" s="60"/>
    </row>
    <row r="952" ht="15.75" customHeight="1">
      <c r="C952" s="60"/>
    </row>
    <row r="953" ht="15.75" customHeight="1">
      <c r="C953" s="60"/>
    </row>
    <row r="954" ht="15.75" customHeight="1">
      <c r="C954" s="60"/>
    </row>
    <row r="955" ht="15.75" customHeight="1">
      <c r="C955" s="60"/>
    </row>
    <row r="956" ht="15.75" customHeight="1">
      <c r="C956" s="60"/>
    </row>
    <row r="957" ht="15.75" customHeight="1">
      <c r="C957" s="60"/>
    </row>
    <row r="958" ht="15.75" customHeight="1">
      <c r="C958" s="60"/>
    </row>
    <row r="959" ht="15.75" customHeight="1">
      <c r="C959" s="60"/>
    </row>
    <row r="960" ht="15.75" customHeight="1">
      <c r="C960" s="60"/>
    </row>
    <row r="961" ht="15.75" customHeight="1">
      <c r="C961" s="60"/>
    </row>
    <row r="962" ht="15.75" customHeight="1">
      <c r="C962" s="60"/>
    </row>
    <row r="963" ht="15.75" customHeight="1">
      <c r="C963" s="60"/>
    </row>
    <row r="964" ht="15.75" customHeight="1">
      <c r="C964" s="60"/>
    </row>
    <row r="965" ht="15.75" customHeight="1">
      <c r="C965" s="60"/>
    </row>
    <row r="966" ht="15.75" customHeight="1">
      <c r="C966" s="60"/>
    </row>
    <row r="967" ht="15.75" customHeight="1">
      <c r="C967" s="60"/>
    </row>
    <row r="968" ht="15.75" customHeight="1">
      <c r="C968" s="60"/>
    </row>
    <row r="969" ht="15.75" customHeight="1">
      <c r="C969" s="60"/>
    </row>
    <row r="970" ht="15.75" customHeight="1">
      <c r="C970" s="60"/>
    </row>
    <row r="971" ht="15.75" customHeight="1">
      <c r="C971" s="60"/>
    </row>
    <row r="972" ht="15.75" customHeight="1">
      <c r="C972" s="60"/>
    </row>
    <row r="973" ht="15.75" customHeight="1">
      <c r="C973" s="60"/>
    </row>
    <row r="974" ht="15.75" customHeight="1">
      <c r="C974" s="60"/>
    </row>
    <row r="975" ht="15.75" customHeight="1">
      <c r="C975" s="60"/>
    </row>
    <row r="976" ht="15.75" customHeight="1">
      <c r="C976" s="60"/>
    </row>
    <row r="977" ht="15.75" customHeight="1">
      <c r="C977" s="60"/>
    </row>
    <row r="978" ht="15.75" customHeight="1">
      <c r="C978" s="60"/>
    </row>
    <row r="979" ht="15.75" customHeight="1">
      <c r="C979" s="60"/>
    </row>
    <row r="980" ht="15.75" customHeight="1">
      <c r="C980" s="60"/>
    </row>
    <row r="981" ht="15.75" customHeight="1">
      <c r="C981" s="60"/>
    </row>
    <row r="982" ht="15.75" customHeight="1">
      <c r="C982" s="60"/>
    </row>
    <row r="983" ht="15.75" customHeight="1">
      <c r="C983" s="60"/>
    </row>
    <row r="984" ht="15.75" customHeight="1">
      <c r="C984" s="60"/>
    </row>
    <row r="985" ht="15.75" customHeight="1">
      <c r="C985" s="60"/>
    </row>
    <row r="986" ht="15.75" customHeight="1">
      <c r="C986" s="60"/>
    </row>
    <row r="987" ht="15.75" customHeight="1">
      <c r="C987" s="60"/>
    </row>
    <row r="988" ht="15.75" customHeight="1">
      <c r="C988" s="60"/>
    </row>
    <row r="989" ht="15.75" customHeight="1">
      <c r="C989" s="60"/>
    </row>
    <row r="990" ht="15.75" customHeight="1">
      <c r="C990" s="60"/>
    </row>
    <row r="991" ht="15.75" customHeight="1">
      <c r="C991" s="60"/>
    </row>
    <row r="992" ht="15.75" customHeight="1">
      <c r="C992" s="60"/>
    </row>
    <row r="993" ht="15.75" customHeight="1">
      <c r="C993" s="60"/>
    </row>
    <row r="994" ht="15.75" customHeight="1">
      <c r="C994" s="60"/>
    </row>
    <row r="995" ht="15.75" customHeight="1">
      <c r="C995" s="60"/>
    </row>
    <row r="996" ht="15.75" customHeight="1">
      <c r="C996" s="60"/>
    </row>
    <row r="997" ht="15.75" customHeight="1">
      <c r="C997" s="60"/>
    </row>
    <row r="998" ht="15.75" customHeight="1">
      <c r="C998" s="60"/>
    </row>
    <row r="999" ht="15.75" customHeight="1">
      <c r="C999" s="60"/>
    </row>
    <row r="1000" ht="15.75" customHeight="1">
      <c r="C1000" s="60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76" t="s">
        <v>66</v>
      </c>
    </row>
    <row r="2" ht="15.75" customHeight="1"/>
    <row r="3" ht="15.75" customHeight="1">
      <c r="B3" s="77" t="s">
        <v>67</v>
      </c>
      <c r="C3" s="9"/>
      <c r="D3" s="9"/>
      <c r="E3" s="9"/>
      <c r="F3" s="9"/>
      <c r="G3" s="7"/>
      <c r="H3" s="15"/>
      <c r="I3" s="77" t="s">
        <v>68</v>
      </c>
      <c r="J3" s="9"/>
      <c r="K3" s="9"/>
      <c r="L3" s="9"/>
      <c r="M3" s="9"/>
      <c r="N3" s="9"/>
      <c r="O3" s="9"/>
      <c r="P3" s="7"/>
    </row>
    <row r="4" ht="15.75" customHeight="1">
      <c r="B4" s="78">
        <v>1.0</v>
      </c>
      <c r="C4" s="44" t="s">
        <v>69</v>
      </c>
      <c r="D4" s="9"/>
      <c r="E4" s="9"/>
      <c r="F4" s="9"/>
      <c r="G4" s="7"/>
      <c r="H4" s="79"/>
      <c r="I4" s="78">
        <v>1.0</v>
      </c>
      <c r="J4" s="44" t="s">
        <v>70</v>
      </c>
      <c r="K4" s="9"/>
      <c r="L4" s="9"/>
      <c r="M4" s="9"/>
      <c r="N4" s="9"/>
      <c r="O4" s="9"/>
      <c r="P4" s="7"/>
    </row>
    <row r="5" ht="15.75" customHeight="1">
      <c r="B5" s="80">
        <v>2.0</v>
      </c>
      <c r="C5" s="44" t="s">
        <v>71</v>
      </c>
      <c r="D5" s="9"/>
      <c r="E5" s="9"/>
      <c r="F5" s="9"/>
      <c r="G5" s="7"/>
      <c r="H5" s="15"/>
      <c r="I5" s="81">
        <v>2.0</v>
      </c>
      <c r="J5" s="44" t="s">
        <v>72</v>
      </c>
      <c r="K5" s="9"/>
      <c r="L5" s="9"/>
      <c r="M5" s="9"/>
      <c r="N5" s="9"/>
      <c r="O5" s="9"/>
      <c r="P5" s="7"/>
    </row>
    <row r="6" ht="15.75" customHeight="1">
      <c r="B6" s="80">
        <v>3.0</v>
      </c>
      <c r="C6" s="44" t="s">
        <v>73</v>
      </c>
      <c r="D6" s="9"/>
      <c r="E6" s="9"/>
      <c r="F6" s="9"/>
      <c r="G6" s="7"/>
      <c r="H6" s="15"/>
      <c r="I6" s="81">
        <v>3.0</v>
      </c>
      <c r="J6" s="44" t="s">
        <v>74</v>
      </c>
      <c r="K6" s="9"/>
      <c r="L6" s="9"/>
      <c r="M6" s="9"/>
      <c r="N6" s="9"/>
      <c r="O6" s="9"/>
      <c r="P6" s="7"/>
    </row>
    <row r="7" ht="15.75" customHeight="1">
      <c r="G7" s="82"/>
    </row>
    <row r="8" ht="15.75" customHeight="1"/>
    <row r="9" ht="15.75" customHeight="1">
      <c r="B9" s="83" t="s">
        <v>56</v>
      </c>
      <c r="C9" s="83" t="s">
        <v>16</v>
      </c>
      <c r="D9" s="83" t="s">
        <v>75</v>
      </c>
      <c r="E9" s="84" t="s">
        <v>76</v>
      </c>
      <c r="F9" s="7"/>
      <c r="G9" s="85" t="s">
        <v>77</v>
      </c>
      <c r="H9" s="86" t="s">
        <v>78</v>
      </c>
      <c r="I9" s="7"/>
      <c r="J9" s="83" t="s">
        <v>79</v>
      </c>
    </row>
    <row r="10" ht="15.75" customHeight="1">
      <c r="B10" s="87">
        <v>1.0</v>
      </c>
      <c r="C10" s="88" t="s">
        <v>80</v>
      </c>
      <c r="D10" s="89" t="s">
        <v>81</v>
      </c>
      <c r="E10" s="90" t="s">
        <v>82</v>
      </c>
      <c r="F10" s="7"/>
      <c r="G10" s="91" t="s">
        <v>83</v>
      </c>
      <c r="H10" s="92" t="s">
        <v>84</v>
      </c>
      <c r="I10" s="7"/>
      <c r="J10" s="93" t="s">
        <v>81</v>
      </c>
    </row>
    <row r="11" ht="15.75" customHeight="1">
      <c r="B11" s="94"/>
      <c r="C11" s="95" t="str">
        <f>D10 &amp; " " &amp; E10 &amp; " " &amp;G10&amp; " " &amp;H10&amp; " " </f>
        <v>Analizar la evolución y clasificación de los lenguajes formales y de programación mediante la comparación de sus características, estructuras y herramientas para comprender su organización y funcionamiento </v>
      </c>
      <c r="D11" s="9"/>
      <c r="E11" s="9"/>
      <c r="F11" s="9"/>
      <c r="G11" s="9"/>
      <c r="H11" s="9"/>
      <c r="I11" s="9"/>
      <c r="J11" s="7"/>
    </row>
    <row r="12" ht="15.75" customHeight="1">
      <c r="B12" s="87">
        <v>2.0</v>
      </c>
      <c r="C12" s="88" t="s">
        <v>80</v>
      </c>
      <c r="D12" s="89" t="s">
        <v>85</v>
      </c>
      <c r="E12" s="90" t="s">
        <v>86</v>
      </c>
      <c r="F12" s="7"/>
      <c r="G12" s="91" t="s">
        <v>87</v>
      </c>
      <c r="H12" s="92" t="s">
        <v>88</v>
      </c>
      <c r="I12" s="7"/>
      <c r="J12" s="93" t="s">
        <v>89</v>
      </c>
    </row>
    <row r="13" ht="15.75" customHeight="1">
      <c r="B13" s="94"/>
      <c r="C13" s="95" t="str">
        <f>D12 &amp; " " &amp; E12 &amp; " " &amp;G12&amp; " " &amp;H12&amp; " " </f>
        <v>Generar gramáticas libres de contexto mediante el análisis sintáctico para reconocer lenguajes formales. </v>
      </c>
      <c r="D13" s="9"/>
      <c r="E13" s="9"/>
      <c r="F13" s="9"/>
      <c r="G13" s="9"/>
      <c r="H13" s="9"/>
      <c r="I13" s="9"/>
      <c r="J13" s="7"/>
    </row>
    <row r="14" ht="15.75" customHeight="1">
      <c r="B14" s="87">
        <v>3.0</v>
      </c>
      <c r="C14" s="96" t="s">
        <v>80</v>
      </c>
      <c r="D14" s="89" t="s">
        <v>90</v>
      </c>
      <c r="E14" s="90" t="s">
        <v>91</v>
      </c>
      <c r="F14" s="7"/>
      <c r="G14" s="91" t="s">
        <v>92</v>
      </c>
      <c r="H14" s="92" t="s">
        <v>93</v>
      </c>
      <c r="I14" s="7"/>
      <c r="J14" s="93" t="s">
        <v>89</v>
      </c>
    </row>
    <row r="15" ht="15.75" customHeight="1">
      <c r="B15" s="94"/>
      <c r="C15" s="95" t="str">
        <f>D14 &amp; " " &amp; E14 &amp; " " &amp;G14&amp; " " &amp;H14&amp; " " </f>
        <v>Construir analizadores léxicos utilizando conocimientos de AFD, POO, recursividad y programación imperativa para definir cada estado del AFD </v>
      </c>
      <c r="D15" s="9"/>
      <c r="E15" s="9"/>
      <c r="F15" s="9"/>
      <c r="G15" s="9"/>
      <c r="H15" s="9"/>
      <c r="I15" s="9"/>
      <c r="J15" s="7"/>
    </row>
    <row r="16" ht="15.75" customHeight="1">
      <c r="B16" s="87">
        <v>4.0</v>
      </c>
      <c r="C16" s="96" t="s">
        <v>80</v>
      </c>
      <c r="D16" s="89" t="s">
        <v>90</v>
      </c>
      <c r="E16" s="90" t="s">
        <v>94</v>
      </c>
      <c r="F16" s="7"/>
      <c r="G16" s="91" t="s">
        <v>95</v>
      </c>
      <c r="H16" s="92" t="s">
        <v>96</v>
      </c>
      <c r="I16" s="7"/>
      <c r="J16" s="93" t="s">
        <v>89</v>
      </c>
    </row>
    <row r="17" ht="15.75" customHeight="1">
      <c r="B17" s="94"/>
      <c r="C17" s="95" t="str">
        <f>D16 &amp; " " &amp; E16 &amp; " " &amp;G16&amp; " " &amp;H16&amp; " " </f>
        <v>Construir analizadores sintácticos utilizando conocimientos de Gramáticas Libres del Contexto, POO, recursividad y programación imperativa para definir cada regla sintáctica </v>
      </c>
      <c r="D17" s="9"/>
      <c r="E17" s="9"/>
      <c r="F17" s="9"/>
      <c r="G17" s="9"/>
      <c r="H17" s="9"/>
      <c r="I17" s="9"/>
      <c r="J17" s="7"/>
    </row>
    <row r="18" ht="15.75" customHeight="1">
      <c r="B18" s="87">
        <v>5.0</v>
      </c>
      <c r="C18" s="96" t="s">
        <v>80</v>
      </c>
      <c r="D18" s="89" t="s">
        <v>97</v>
      </c>
      <c r="E18" s="90" t="s">
        <v>98</v>
      </c>
      <c r="F18" s="7"/>
      <c r="G18" s="91" t="s">
        <v>99</v>
      </c>
      <c r="H18" s="92" t="s">
        <v>100</v>
      </c>
      <c r="I18" s="7"/>
      <c r="J18" s="93" t="s">
        <v>97</v>
      </c>
    </row>
    <row r="19" ht="15.75" customHeight="1">
      <c r="B19" s="94"/>
      <c r="C19" s="95" t="str">
        <f>D18 &amp; " " &amp; E18 &amp; " " &amp;G18&amp; " " &amp;H18&amp; " " </f>
        <v>Comprender aspectos importantes sobre el lenguaje utilizado a través de su aplicación para implementar lo aprendido durante las clases teóricas </v>
      </c>
      <c r="D19" s="9"/>
      <c r="E19" s="9"/>
      <c r="F19" s="9"/>
      <c r="G19" s="9"/>
      <c r="H19" s="9"/>
      <c r="I19" s="9"/>
      <c r="J19" s="7"/>
    </row>
    <row r="20" ht="15.75" customHeight="1">
      <c r="B20" s="87">
        <v>6.0</v>
      </c>
      <c r="C20" s="96" t="s">
        <v>80</v>
      </c>
      <c r="D20" s="89" t="s">
        <v>97</v>
      </c>
      <c r="E20" s="90" t="s">
        <v>101</v>
      </c>
      <c r="F20" s="7"/>
      <c r="G20" s="91" t="s">
        <v>99</v>
      </c>
      <c r="H20" s="92" t="s">
        <v>102</v>
      </c>
      <c r="I20" s="7"/>
      <c r="J20" s="93" t="s">
        <v>97</v>
      </c>
    </row>
    <row r="21" ht="15.75" customHeight="1">
      <c r="B21" s="94"/>
      <c r="C21" s="95" t="str">
        <f>D20 &amp; " " &amp; E20 &amp; " " &amp;G20&amp; " " &amp;H20&amp; " " </f>
        <v>Comprender el funcionamiento del lenguaje de programación a través de su aplicación para la resolución de problemas relacionados con las fases del compilador </v>
      </c>
      <c r="D21" s="9"/>
      <c r="E21" s="9"/>
      <c r="F21" s="9"/>
      <c r="G21" s="9"/>
      <c r="H21" s="9"/>
      <c r="I21" s="9"/>
      <c r="J21" s="7"/>
    </row>
    <row r="22" ht="15.75" customHeight="1">
      <c r="B22" s="87">
        <v>7.0</v>
      </c>
      <c r="C22" s="88" t="s">
        <v>103</v>
      </c>
      <c r="D22" s="89"/>
      <c r="E22" s="97"/>
      <c r="F22" s="7"/>
      <c r="G22" s="98"/>
      <c r="H22" s="99"/>
      <c r="I22" s="7"/>
      <c r="J22" s="100"/>
    </row>
    <row r="23" ht="15.75" customHeight="1">
      <c r="B23" s="94"/>
      <c r="C23" s="101" t="s">
        <v>104</v>
      </c>
      <c r="D23" s="9"/>
      <c r="E23" s="9"/>
      <c r="F23" s="9"/>
      <c r="G23" s="9"/>
      <c r="H23" s="9"/>
      <c r="I23" s="9"/>
      <c r="J23" s="7"/>
    </row>
    <row r="24" ht="15.75" customHeight="1"/>
    <row r="25" ht="15.75" customHeight="1">
      <c r="C25" s="102"/>
      <c r="D25" s="10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69" t="str">
        <f>IFERROR(__xludf.DUMMYFUNCTION("IMPORTRANGE(""1--DGkU5oDw3gpAa_rQkeu1olWCf2iv8Pm7BNjqiyiuY"",""Listado Cursos!H:J"")"),"Codigo - Nombre")</f>
        <v>Codigo - Nombre</v>
      </c>
      <c r="B1" s="103" t="str">
        <f>IFERROR(__xludf.DUMMYFUNCTION("""COMPUTED_VALUE"""),"Diseño Curricular")</f>
        <v>Diseño Curricular</v>
      </c>
      <c r="C1" s="103" t="str">
        <f>IFERROR(__xludf.DUMMYFUNCTION("""COMPUTED_VALUE"""),"Analisis de contexto")</f>
        <v>Analisis de contexto</v>
      </c>
      <c r="D1" s="41" t="str">
        <f>IFERROR(__xludf.DUMMYFUNCTION("IMPORTRANGE(VLOOKUP(Competencias_actuales!F4,A:C,3,FALSE),""Competencias!B21:J35"")"),"No")</f>
        <v>No</v>
      </c>
      <c r="E1" s="41" t="str">
        <f>IFERROR(__xludf.DUMMYFUNCTION("""COMPUTED_VALUE"""),"Tipo")</f>
        <v>Tipo</v>
      </c>
      <c r="F1" s="41" t="str">
        <f>IFERROR(__xludf.DUMMYFUNCTION("""COMPUTED_VALUE"""),"Verbo en Presente")</f>
        <v>Verbo en Presente</v>
      </c>
      <c r="G1" s="41" t="str">
        <f>IFERROR(__xludf.DUMMYFUNCTION("""COMPUTED_VALUE"""),"Objeto de la acción")</f>
        <v>Objeto de la acción</v>
      </c>
      <c r="H1" s="41"/>
      <c r="I1" s="41" t="str">
        <f>IFERROR(__xludf.DUMMYFUNCTION("""COMPUTED_VALUE"""),"[Palabras conectoreas] Herramientas o metodología")</f>
        <v>[Palabras conectoreas] Herramientas o metodología</v>
      </c>
      <c r="J1" s="41" t="str">
        <f>IFERROR(__xludf.DUMMYFUNCTION("""COMPUTED_VALUE"""),"[Palabras conectoreas] Condiciones específicas")</f>
        <v>[Palabras conectoreas] Condiciones específicas</v>
      </c>
      <c r="K1" s="41"/>
      <c r="L1" s="41" t="str">
        <f>IFERROR(__xludf.DUMMYFUNCTION("""COMPUTED_VALUE"""),"Nivel")</f>
        <v>Nivel</v>
      </c>
      <c r="V1" s="41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1" t="str">
        <f>IFERROR(__xludf.DUMMYFUNCTION("""COMPUTED_VALUE"""),"Descripcion")</f>
        <v>Descripcion</v>
      </c>
      <c r="Y1" s="41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1" t="str">
        <f>IFERROR(__xludf.DUMMYFUNCTION("""COMPUTED_VALUE"""),"Descripcion")</f>
        <v>Descripcion</v>
      </c>
    </row>
    <row r="2">
      <c r="A2" s="41" t="str">
        <f>IFERROR(__xludf.DUMMYFUNCTION("""COMPUTED_VALUE"""),"17 - Área Social Humanística 1")</f>
        <v>17 - Área Social Humanística 1</v>
      </c>
      <c r="B2" s="41"/>
      <c r="C2" s="41"/>
      <c r="D2" s="41">
        <f>IFERROR(__xludf.DUMMYFUNCTION("""COMPUTED_VALUE"""),1.0)</f>
        <v>1</v>
      </c>
      <c r="E2" s="41" t="str">
        <f>IFERROR(__xludf.DUMMYFUNCTION("""COMPUTED_VALUE"""),"Especifica")</f>
        <v>Especifica</v>
      </c>
      <c r="F2" s="41" t="str">
        <f>IFERROR(__xludf.DUMMYFUNCTION("""COMPUTED_VALUE"""),"El estudiante analiza")</f>
        <v>El estudiante analiza</v>
      </c>
      <c r="G2" s="41" t="str">
        <f>IFERROR(__xludf.DUMMYFUNCTION("""COMPUTED_VALUE"""),"la evolución y clasificación de los lenguajes formales y de programación")</f>
        <v>la evolución y clasificación de los lenguajes formales y de programación</v>
      </c>
      <c r="H2" s="41"/>
      <c r="I2" s="41" t="str">
        <f>IFERROR(__xludf.DUMMYFUNCTION("""COMPUTED_VALUE"""),"mediante la comparación de sus características, estructuras y herramientas")</f>
        <v>mediante la comparación de sus características, estructuras y herramientas</v>
      </c>
      <c r="J2" s="41" t="str">
        <f>IFERROR(__xludf.DUMMYFUNCTION("""COMPUTED_VALUE"""),"para comprender su organización y funcionamiento")</f>
        <v>para comprender su organización y funcionamiento</v>
      </c>
      <c r="K2" s="41"/>
      <c r="L2" s="41" t="str">
        <f>IFERROR(__xludf.DUMMYFUNCTION("""COMPUTED_VALUE"""),"Analizar")</f>
        <v>Analizar</v>
      </c>
      <c r="V2" s="41">
        <f>IFERROR(__xludf.DUMMYFUNCTION("""COMPUTED_VALUE"""),1.0)</f>
        <v>1</v>
      </c>
      <c r="W2" s="41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1">
        <f>IFERROR(__xludf.DUMMYFUNCTION("""COMPUTED_VALUE"""),1.0)</f>
        <v>1</v>
      </c>
      <c r="Z2" s="41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1" t="str">
        <f>IFERROR(__xludf.DUMMYFUNCTION("""COMPUTED_VALUE"""),"101 - Área Matemática Básica 1")</f>
        <v>101 - Área Matemática Básica 1</v>
      </c>
      <c r="B3" s="41"/>
      <c r="C3" s="41"/>
      <c r="D3" s="41"/>
      <c r="E3" s="41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F3" s="41"/>
      <c r="G3" s="41"/>
      <c r="H3" s="41"/>
      <c r="I3" s="41"/>
      <c r="J3" s="41"/>
      <c r="K3" s="41"/>
      <c r="L3" s="41"/>
      <c r="V3" s="41">
        <f>IFERROR(__xludf.DUMMYFUNCTION("""COMPUTED_VALUE"""),2.0)</f>
        <v>2</v>
      </c>
      <c r="W3" s="41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1">
        <f>IFERROR(__xludf.DUMMYFUNCTION("""COMPUTED_VALUE"""),2.0)</f>
        <v>2</v>
      </c>
      <c r="Z3" s="41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1" t="str">
        <f>IFERROR(__xludf.DUMMYFUNCTION("""COMPUTED_VALUE"""),"5 - Técnicas de Estudio e Investigación")</f>
        <v>5 - Técnicas de Estudio e Investigación</v>
      </c>
      <c r="B4" s="41"/>
      <c r="C4" s="41"/>
      <c r="D4" s="41">
        <f>IFERROR(__xludf.DUMMYFUNCTION("""COMPUTED_VALUE"""),2.0)</f>
        <v>2</v>
      </c>
      <c r="E4" s="41" t="str">
        <f>IFERROR(__xludf.DUMMYFUNCTION("""COMPUTED_VALUE"""),"Especifica")</f>
        <v>Especifica</v>
      </c>
      <c r="F4" s="41" t="str">
        <f>IFERROR(__xludf.DUMMYFUNCTION("""COMPUTED_VALUE"""),"El estudiante genera")</f>
        <v>El estudiante genera</v>
      </c>
      <c r="G4" s="41" t="str">
        <f>IFERROR(__xludf.DUMMYFUNCTION("""COMPUTED_VALUE"""),"gramáticas libres de contexto")</f>
        <v>gramáticas libres de contexto</v>
      </c>
      <c r="H4" s="41"/>
      <c r="I4" s="41" t="str">
        <f>IFERROR(__xludf.DUMMYFUNCTION("""COMPUTED_VALUE"""),"mediante el análisis sintáctico")</f>
        <v>mediante el análisis sintáctico</v>
      </c>
      <c r="J4" s="41" t="str">
        <f>IFERROR(__xludf.DUMMYFUNCTION("""COMPUTED_VALUE"""),"para reconocer lenguajes formales.")</f>
        <v>para reconocer lenguajes formales.</v>
      </c>
      <c r="K4" s="41"/>
      <c r="L4" s="41" t="str">
        <f>IFERROR(__xludf.DUMMYFUNCTION("""COMPUTED_VALUE"""),"Comprender")</f>
        <v>Comprender</v>
      </c>
      <c r="V4" s="41">
        <f>IFERROR(__xludf.DUMMYFUNCTION("""COMPUTED_VALUE"""),3.0)</f>
        <v>3</v>
      </c>
      <c r="W4" s="41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1">
        <f>IFERROR(__xludf.DUMMYFUNCTION("""COMPUTED_VALUE"""),3.0)</f>
        <v>3</v>
      </c>
      <c r="Z4" s="41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1" t="str">
        <f>IFERROR(__xludf.DUMMYFUNCTION("""COMPUTED_VALUE"""),"39 - Deportes 1")</f>
        <v>39 - Deportes 1</v>
      </c>
      <c r="B5" s="41"/>
      <c r="C5" s="41"/>
      <c r="D5" s="41"/>
      <c r="E5" s="41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F5" s="41"/>
      <c r="G5" s="41"/>
      <c r="H5" s="41"/>
      <c r="I5" s="41"/>
      <c r="J5" s="41"/>
      <c r="K5" s="41"/>
      <c r="L5" s="41"/>
      <c r="V5" s="41">
        <f>IFERROR(__xludf.DUMMYFUNCTION("""COMPUTED_VALUE"""),4.0)</f>
        <v>4</v>
      </c>
      <c r="W5" s="41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1">
        <f>IFERROR(__xludf.DUMMYFUNCTION("""COMPUTED_VALUE"""),4.0)</f>
        <v>4</v>
      </c>
      <c r="Z5" s="41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1" t="str">
        <f>IFERROR(__xludf.DUMMYFUNCTION("""COMPUTED_VALUE"""),"6 - Idioma Tecnico 1")</f>
        <v>6 - Idioma Tecnico 1</v>
      </c>
      <c r="B6" s="41"/>
      <c r="C6" s="41"/>
      <c r="D6" s="41">
        <f>IFERROR(__xludf.DUMMYFUNCTION("""COMPUTED_VALUE"""),3.0)</f>
        <v>3</v>
      </c>
      <c r="E6" s="41" t="str">
        <f>IFERROR(__xludf.DUMMYFUNCTION("""COMPUTED_VALUE"""),"General")</f>
        <v>General</v>
      </c>
      <c r="F6" s="41" t="str">
        <f>IFERROR(__xludf.DUMMYFUNCTION("""COMPUTED_VALUE"""),"El estudiante construye")</f>
        <v>El estudiante construye</v>
      </c>
      <c r="G6" s="41" t="str">
        <f>IFERROR(__xludf.DUMMYFUNCTION("""COMPUTED_VALUE"""),"aplicaciones")</f>
        <v>aplicaciones</v>
      </c>
      <c r="H6" s="41"/>
      <c r="I6" s="41" t="str">
        <f>IFERROR(__xludf.DUMMYFUNCTION("""COMPUTED_VALUE"""),"mediante el uso del análisis léxico y sintáctico utilizando herramientas de procesamiento de lenguajes formales")</f>
        <v>mediante el uso del análisis léxico y sintáctico utilizando herramientas de procesamiento de lenguajes formales</v>
      </c>
      <c r="J6" s="41" t="str">
        <f>IFERROR(__xludf.DUMMYFUNCTION("""COMPUTED_VALUE"""),"para dar solución a enunciados que requieren el reconocimiento de lenguajes.")</f>
        <v>para dar solución a enunciados que requieren el reconocimiento de lenguajes.</v>
      </c>
      <c r="K6" s="41"/>
      <c r="L6" s="41" t="str">
        <f>IFERROR(__xludf.DUMMYFUNCTION("""COMPUTED_VALUE"""),"Crear")</f>
        <v>Crear</v>
      </c>
      <c r="V6" s="41">
        <f>IFERROR(__xludf.DUMMYFUNCTION("""COMPUTED_VALUE"""),5.0)</f>
        <v>5</v>
      </c>
      <c r="W6" s="41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1">
        <f>IFERROR(__xludf.DUMMYFUNCTION("""COMPUTED_VALUE"""),5.0)</f>
        <v>5</v>
      </c>
      <c r="Z6" s="41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1" t="str">
        <f>IFERROR(__xludf.DUMMYFUNCTION("""COMPUTED_VALUE"""),"19 - Área Social Humanística 2")</f>
        <v>19 - Área Social Humanística 2</v>
      </c>
      <c r="B7" s="41"/>
      <c r="C7" s="41"/>
      <c r="D7" s="41"/>
      <c r="E7" s="41" t="str">
        <f>IFERROR(__xludf.DUMMYFUNCTION("""COMPUTED_VALUE"""),"El estudiante construye aplicaciones mediante el uso del análisis léxico y sintáctico utilizando herramientas de procesamiento de lenguajes formales para dar solución a enunciados que requieren el reconocimiento de lenguajes. ")</f>
        <v>El estudiante construye aplicaciones mediante el uso del análisis léxico y sintáctico utilizando herramientas de procesamiento de lenguajes formales para dar solución a enunciados que requieren el reconocimiento de lenguajes. </v>
      </c>
      <c r="F7" s="41"/>
      <c r="G7" s="41"/>
      <c r="H7" s="41"/>
      <c r="I7" s="41"/>
      <c r="J7" s="41"/>
      <c r="K7" s="41"/>
      <c r="L7" s="41"/>
      <c r="V7" s="41">
        <f>IFERROR(__xludf.DUMMYFUNCTION("""COMPUTED_VALUE"""),6.0)</f>
        <v>6</v>
      </c>
      <c r="W7" s="41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1">
        <f>IFERROR(__xludf.DUMMYFUNCTION("""COMPUTED_VALUE"""),6.0)</f>
        <v>6</v>
      </c>
      <c r="Z7" s="41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1" t="str">
        <f>IFERROR(__xludf.DUMMYFUNCTION("""COMPUTED_VALUE"""),"103 - Área Matemática Básica 2")</f>
        <v>103 - Área Matemática Básica 2</v>
      </c>
      <c r="B8" s="41"/>
      <c r="C8" s="41"/>
      <c r="D8" s="41">
        <f>IFERROR(__xludf.DUMMYFUNCTION("""COMPUTED_VALUE"""),4.0)</f>
        <v>4</v>
      </c>
      <c r="E8" s="41" t="str">
        <f>IFERROR(__xludf.DUMMYFUNCTION("""COMPUTED_VALUE"""),"Especifica")</f>
        <v>Especifica</v>
      </c>
      <c r="F8" s="41" t="str">
        <f>IFERROR(__xludf.DUMMYFUNCTION("""COMPUTED_VALUE"""),"El estudiante aplica")</f>
        <v>El estudiante aplica</v>
      </c>
      <c r="G8" s="41" t="str">
        <f>IFERROR(__xludf.DUMMYFUNCTION("""COMPUTED_VALUE"""),"el análisis léxico")</f>
        <v>el análisis léxico</v>
      </c>
      <c r="H8" s="41"/>
      <c r="I8" s="41" t="str">
        <f>IFERROR(__xludf.DUMMYFUNCTION("""COMPUTED_VALUE"""),"mediante el uso de expresiones regulares ")</f>
        <v>mediante el uso de expresiones regulares </v>
      </c>
      <c r="J8" s="41" t="str">
        <f>IFERROR(__xludf.DUMMYFUNCTION("""COMPUTED_VALUE"""),"para solucionar problemas que requieran el reconocimiento de lenguajes.")</f>
        <v>para solucionar problemas que requieran el reconocimiento de lenguajes.</v>
      </c>
      <c r="K8" s="41"/>
      <c r="L8" s="41" t="str">
        <f>IFERROR(__xludf.DUMMYFUNCTION("""COMPUTED_VALUE"""),"Aplicar")</f>
        <v>Aplicar</v>
      </c>
      <c r="V8" s="41">
        <f>IFERROR(__xludf.DUMMYFUNCTION("""COMPUTED_VALUE"""),7.0)</f>
        <v>7</v>
      </c>
      <c r="W8" s="41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1">
        <f>IFERROR(__xludf.DUMMYFUNCTION("""COMPUTED_VALUE"""),7.0)</f>
        <v>7</v>
      </c>
      <c r="Z8" s="41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1" t="str">
        <f>IFERROR(__xludf.DUMMYFUNCTION("""COMPUTED_VALUE"""),"960 - Matemática Para Computación 1")</f>
        <v>960 - Matemática Para Computación 1</v>
      </c>
      <c r="B9" s="41"/>
      <c r="C9" s="41"/>
      <c r="D9" s="41"/>
      <c r="E9" s="41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F9" s="41"/>
      <c r="G9" s="41"/>
      <c r="H9" s="41"/>
      <c r="I9" s="41"/>
      <c r="J9" s="41"/>
      <c r="K9" s="41"/>
      <c r="L9" s="41"/>
      <c r="V9" s="41">
        <f>IFERROR(__xludf.DUMMYFUNCTION("""COMPUTED_VALUE"""),8.0)</f>
        <v>8</v>
      </c>
      <c r="W9" s="41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1" t="str">
        <f>IFERROR(__xludf.DUMMYFUNCTION("""COMPUTED_VALUE"""),"147 - Física Básica")</f>
        <v>147 - Física Básica</v>
      </c>
      <c r="B10" s="41"/>
      <c r="C10" s="41"/>
      <c r="D10" s="41">
        <f>IFERROR(__xludf.DUMMYFUNCTION("""COMPUTED_VALUE"""),5.0)</f>
        <v>5</v>
      </c>
      <c r="E10" s="41" t="str">
        <f>IFERROR(__xludf.DUMMYFUNCTION("""COMPUTED_VALUE"""),"Especifica")</f>
        <v>Especifica</v>
      </c>
      <c r="F10" s="41" t="str">
        <f>IFERROR(__xludf.DUMMYFUNCTION("""COMPUTED_VALUE"""),"El estudiante aplica")</f>
        <v>El estudiante aplica</v>
      </c>
      <c r="G10" s="41" t="str">
        <f>IFERROR(__xludf.DUMMYFUNCTION("""COMPUTED_VALUE"""),"el analisis sintactico")</f>
        <v>el analisis sintactico</v>
      </c>
      <c r="H10" s="41"/>
      <c r="I10" s="41" t="str">
        <f>IFERROR(__xludf.DUMMYFUNCTION("""COMPUTED_VALUE"""),"mediante el uso de gramáticas formales y técnicas de parsing (descendente o ascendente)")</f>
        <v>mediante el uso de gramáticas formales y técnicas de parsing (descendente o ascendente)</v>
      </c>
      <c r="J10" s="41" t="str">
        <f>IFERROR(__xludf.DUMMYFUNCTION("""COMPUTED_VALUE"""),"para verificar la estructura gramatical y construir árboles sintácticos que permitan solucionar problemas relacionados con la interpretación de lenguajes formales.")</f>
        <v>para verificar la estructura gramatical y construir árboles sintácticos que permitan solucionar problemas relacionados con la interpretación de lenguajes formales.</v>
      </c>
      <c r="K10" s="41"/>
      <c r="L10" s="41" t="str">
        <f>IFERROR(__xludf.DUMMYFUNCTION("""COMPUTED_VALUE"""),"Aplicar")</f>
        <v>Aplicar</v>
      </c>
      <c r="V10" s="41">
        <f>IFERROR(__xludf.DUMMYFUNCTION("""COMPUTED_VALUE"""),9.0)</f>
        <v>9</v>
      </c>
      <c r="W10" s="41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1" t="str">
        <f>IFERROR(__xludf.DUMMYFUNCTION("""COMPUTED_VALUE"""),"40 - Deportes 2")</f>
        <v>40 - Deportes 2</v>
      </c>
      <c r="B11" s="41"/>
      <c r="C11" s="41"/>
      <c r="D11" s="41"/>
      <c r="E11" s="41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F11" s="41"/>
      <c r="G11" s="41"/>
      <c r="H11" s="41"/>
      <c r="I11" s="41"/>
      <c r="J11" s="41"/>
      <c r="K11" s="41"/>
      <c r="L11" s="41"/>
    </row>
    <row r="12">
      <c r="A12" s="41" t="str">
        <f>IFERROR(__xludf.DUMMYFUNCTION("""COMPUTED_VALUE"""),"8 - Idioma Técnico 2")</f>
        <v>8 - Idioma Técnico 2</v>
      </c>
      <c r="B12" s="41"/>
      <c r="C12" s="41"/>
      <c r="D12" s="41">
        <f>IFERROR(__xludf.DUMMYFUNCTION("""COMPUTED_VALUE"""),6.0)</f>
        <v>6</v>
      </c>
      <c r="E12" s="41" t="str">
        <f>IFERROR(__xludf.DUMMYFUNCTION("""COMPUTED_VALUE"""),"Especifica")</f>
        <v>Especifica</v>
      </c>
      <c r="F12" s="41" t="str">
        <f>IFERROR(__xludf.DUMMYFUNCTION("""COMPUTED_VALUE"""),"El estudiante comprende")</f>
        <v>El estudiante comprende</v>
      </c>
      <c r="G12" s="41" t="str">
        <f>IFERROR(__xludf.DUMMYFUNCTION("""COMPUTED_VALUE"""),"el funcionamiento del lenguaje de programación Java")</f>
        <v>el funcionamiento del lenguaje de programación Java</v>
      </c>
      <c r="H12" s="41"/>
      <c r="I12" s="41" t="str">
        <f>IFERROR(__xludf.DUMMYFUNCTION("""COMPUTED_VALUE"""),"a través de su aplicación")</f>
        <v>a través de su aplicación</v>
      </c>
      <c r="J12" s="41" t="str">
        <f>IFERROR(__xludf.DUMMYFUNCTION("""COMPUTED_VALUE"""),"para la resolución de problemas relacionados con las fases del compilador.")</f>
        <v>para la resolución de problemas relacionados con las fases del compilador.</v>
      </c>
      <c r="K12" s="41"/>
      <c r="L12" s="41" t="str">
        <f>IFERROR(__xludf.DUMMYFUNCTION("""COMPUTED_VALUE"""),"Comprende")</f>
        <v>Comprende</v>
      </c>
    </row>
    <row r="13">
      <c r="A13" s="41" t="str">
        <f>IFERROR(__xludf.DUMMYFUNCTION("""COMPUTED_VALUE"""),"795 - Logica de Sitemas")</f>
        <v>795 - Logica de Sitemas</v>
      </c>
      <c r="B13" s="41" t="str">
        <f>IFERROR(__xludf.DUMMYFUNCTION("""COMPUTED_VALUE"""),"1tGblVNcAY7QU_u00ZUgf5GJjDZOK39vXt9FvZeMfPKg")</f>
        <v>1tGblVNcAY7QU_u00ZUgf5GJjDZOK39vXt9FvZeMfPKg</v>
      </c>
      <c r="C13" s="41" t="str">
        <f>IFERROR(__xludf.DUMMYFUNCTION("""COMPUTED_VALUE"""),"1olpUmnSmvTLYIIWFmjmPX_CYPTPOprpPEwh7xMvm2WM")</f>
        <v>1olpUmnSmvTLYIIWFmjmPX_CYPTPOprpPEwh7xMvm2WM</v>
      </c>
      <c r="D13" s="41"/>
      <c r="E13" s="41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F13" s="41"/>
      <c r="G13" s="41"/>
      <c r="H13" s="41"/>
      <c r="I13" s="41"/>
      <c r="J13" s="41"/>
      <c r="K13" s="41"/>
      <c r="L13" s="41"/>
    </row>
    <row r="14">
      <c r="A14" s="41" t="str">
        <f>IFERROR(__xludf.DUMMYFUNCTION("""COMPUTED_VALUE"""),"962 - Matemática Para Computación 2")</f>
        <v>962 - Matemática Para Computación 2</v>
      </c>
      <c r="B14" s="41"/>
      <c r="C14" s="41"/>
      <c r="D14" s="41">
        <f>IFERROR(__xludf.DUMMYFUNCTION("""COMPUTED_VALUE"""),7.0)</f>
        <v>7</v>
      </c>
      <c r="E14" s="41" t="str">
        <f>IFERROR(__xludf.DUMMYFUNCTION("""COMPUTED_VALUE"""),"Especifica")</f>
        <v>Especifica</v>
      </c>
      <c r="F14" s="41" t="str">
        <f>IFERROR(__xludf.DUMMYFUNCTION("""COMPUTED_VALUE"""),"El estudiante aplica")</f>
        <v>El estudiante aplica</v>
      </c>
      <c r="G14" s="41" t="str">
        <f>IFERROR(__xludf.DUMMYFUNCTION("""COMPUTED_VALUE"""),"técnicas de minimización de autómatas finitos deterministas (AFD)")</f>
        <v>técnicas de minimización de autómatas finitos deterministas (AFD)</v>
      </c>
      <c r="H14" s="41"/>
      <c r="I14" s="41" t="str">
        <f>IFERROR(__xludf.DUMMYFUNCTION("""COMPUTED_VALUE"""),"mediante la identificación de estados equivalentes y particiones sucesivas")</f>
        <v>mediante la identificación de estados equivalentes y particiones sucesivas</v>
      </c>
      <c r="J14" s="41" t="str">
        <f>IFERROR(__xludf.DUMMYFUNCTION("""COMPUTED_VALUE"""),"para reducir el número de estados sin alterar el lenguaje reconocido")</f>
        <v>para reducir el número de estados sin alterar el lenguaje reconocido</v>
      </c>
      <c r="K14" s="41"/>
      <c r="L14" s="41" t="str">
        <f>IFERROR(__xludf.DUMMYFUNCTION("""COMPUTED_VALUE"""),"Aplicar")</f>
        <v>Aplicar</v>
      </c>
    </row>
    <row r="15">
      <c r="A15" s="41" t="str">
        <f>IFERROR(__xludf.DUMMYFUNCTION("""COMPUTED_VALUE"""),"770 - Introducción a ala programación y computación 1")</f>
        <v>770 - Introducción a ala programación y computación 1</v>
      </c>
      <c r="B15" s="41" t="str">
        <f>IFERROR(__xludf.DUMMYFUNCTION("""COMPUTED_VALUE"""),"1hnCz3e7R539DMJA_6KBromYXyQWjR5cbX4eUFYyZB78")</f>
        <v>1hnCz3e7R539DMJA_6KBromYXyQWjR5cbX4eUFYyZB78</v>
      </c>
      <c r="C15" s="41" t="str">
        <f>IFERROR(__xludf.DUMMYFUNCTION("""COMPUTED_VALUE"""),"13K0AQ2QyRJmkDL_B9YKTYVy3OKQyLCIBTe0sAqstrFI")</f>
        <v>13K0AQ2QyRJmkDL_B9YKTYVy3OKQyLCIBTe0sAqstrFI</v>
      </c>
      <c r="D15" s="41"/>
      <c r="E15" s="41" t="str">
        <f>IFERROR(__xludf.DUMMYFUNCTION("""COMPUTED_VALUE"""),"El estudiante aplica técnicas de minimización de autómatas finitos deterministas (AFD) mediante la identificación de estados equivalentes y particiones sucesivas para reducir el número de estados sin alterar el lenguaje reconocido ")</f>
        <v>El estudiante aplica técnicas de minimización de autómatas finitos deterministas (AFD) mediante la identificación de estados equivalentes y particiones sucesivas para reducir el número de estados sin alterar el lenguaje reconocido </v>
      </c>
      <c r="F15" s="41"/>
      <c r="G15" s="41"/>
      <c r="H15" s="41"/>
      <c r="I15" s="41"/>
      <c r="J15" s="41"/>
      <c r="K15" s="41"/>
      <c r="L15" s="41"/>
    </row>
    <row r="16">
      <c r="A16" s="41" t="str">
        <f>IFERROR(__xludf.DUMMYFUNCTION("""COMPUTED_VALUE"""),"107 - Área Matemática Intermedia 1")</f>
        <v>107 - Área Matemática Intermedia 1</v>
      </c>
      <c r="B16" s="41"/>
      <c r="C16" s="41"/>
    </row>
    <row r="17">
      <c r="A17" s="41" t="str">
        <f>IFERROR(__xludf.DUMMYFUNCTION("""COMPUTED_VALUE"""),"150 - Fisica 1")</f>
        <v>150 - Fisica 1</v>
      </c>
      <c r="B17" s="41"/>
      <c r="C17" s="41"/>
    </row>
    <row r="18">
      <c r="A18" s="41" t="str">
        <f>IFERROR(__xludf.DUMMYFUNCTION("""COMPUTED_VALUE"""),"1 - Ética Profesional")</f>
        <v>1 - Ética Profesional</v>
      </c>
      <c r="B18" s="41"/>
      <c r="C18" s="41"/>
    </row>
    <row r="19">
      <c r="A19" s="41" t="str">
        <f>IFERROR(__xludf.DUMMYFUNCTION("""COMPUTED_VALUE"""),"9 - Idioma Técnico 3")</f>
        <v>9 - Idioma Técnico 3</v>
      </c>
      <c r="B19" s="41"/>
      <c r="C19" s="41"/>
    </row>
    <row r="20">
      <c r="A20" s="41" t="str">
        <f>IFERROR(__xludf.DUMMYFUNCTION("""COMPUTED_VALUE"""),"796 - Lenguajes Formales y de Programación")</f>
        <v>796 - Lenguajes Formales y de Programación</v>
      </c>
      <c r="B20" s="41" t="str">
        <f>IFERROR(__xludf.DUMMYFUNCTION("""COMPUTED_VALUE"""),"1-dPQ2ZCWWgBi4gyaV8KmnDWxF063I-zfJutKPMwJjrw")</f>
        <v>1-dPQ2ZCWWgBi4gyaV8KmnDWxF063I-zfJutKPMwJjrw</v>
      </c>
      <c r="C20" s="41" t="str">
        <f>IFERROR(__xludf.DUMMYFUNCTION("""COMPUTED_VALUE"""),"14p5IrzE6q20i9mtWRrbgJgIQTyfVIS4RiO1JbrFY3Ng")</f>
        <v>14p5IrzE6q20i9mtWRrbgJgIQTyfVIS4RiO1JbrFY3Ng</v>
      </c>
    </row>
    <row r="21">
      <c r="A21" s="41" t="str">
        <f>IFERROR(__xludf.DUMMYFUNCTION("""COMPUTED_VALUE"""),"771 - Introducción a la Programación y Computación 2")</f>
        <v>771 - Introducción a la Programación y Computación 2</v>
      </c>
      <c r="B21" s="41" t="str">
        <f>IFERROR(__xludf.DUMMYFUNCTION("""COMPUTED_VALUE"""),"1__RmanO4MiKBpppCFzGzdDC2fWb5cD2m02xjOur_6nk")</f>
        <v>1__RmanO4MiKBpppCFzGzdDC2fWb5cD2m02xjOur_6nk</v>
      </c>
      <c r="C21" s="41" t="str">
        <f>IFERROR(__xludf.DUMMYFUNCTION("""COMPUTED_VALUE"""),"1hwyEeHtTnYmAXwVixwCmwcQ_1S6x1ID8qghxNj_2les")</f>
        <v>1hwyEeHtTnYmAXwVixwCmwcQ_1S6x1ID8qghxNj_2les</v>
      </c>
    </row>
    <row r="22">
      <c r="A22" s="41" t="str">
        <f>IFERROR(__xludf.DUMMYFUNCTION("""COMPUTED_VALUE"""),"112 - Área Matemática Intermedia 2")</f>
        <v>112 - Área Matemática Intermedia 2</v>
      </c>
      <c r="B22" s="41"/>
      <c r="C22" s="41"/>
    </row>
    <row r="23">
      <c r="A23" s="41" t="str">
        <f>IFERROR(__xludf.DUMMYFUNCTION("""COMPUTED_VALUE"""),"114 - Área Matemática Intermedia 3")</f>
        <v>114 - Área Matemática Intermedia 3</v>
      </c>
      <c r="B23" s="41"/>
      <c r="C23" s="41"/>
    </row>
    <row r="24">
      <c r="A24" s="41" t="str">
        <f>IFERROR(__xludf.DUMMYFUNCTION("""COMPUTED_VALUE"""),"152 - Física 2")</f>
        <v>152 - Física 2</v>
      </c>
      <c r="B24" s="41"/>
      <c r="C24" s="41"/>
    </row>
    <row r="25">
      <c r="A25" s="41" t="str">
        <f>IFERROR(__xludf.DUMMYFUNCTION("""COMPUTED_VALUE"""),"10 - Lógica")</f>
        <v>10 - Lógica</v>
      </c>
      <c r="B25" s="41"/>
      <c r="C25" s="41"/>
      <c r="E25" s="41" t="str">
        <f>E17</f>
        <v/>
      </c>
    </row>
    <row r="26">
      <c r="A26" s="41" t="str">
        <f>IFERROR(__xludf.DUMMYFUNCTION("""COMPUTED_VALUE"""),"11 - Idioma Técnico 4")</f>
        <v>11 - Idioma Técnico 4</v>
      </c>
      <c r="B26" s="41"/>
      <c r="C26" s="41"/>
    </row>
    <row r="27">
      <c r="A27" s="41" t="str">
        <f>IFERROR(__xludf.DUMMYFUNCTION("""COMPUTED_VALUE"""),"2025 - Prácticas Iniciales")</f>
        <v>2025 - Prácticas Iniciales</v>
      </c>
      <c r="B27" s="41"/>
      <c r="C27" s="41"/>
    </row>
    <row r="28">
      <c r="A28" s="41" t="str">
        <f>IFERROR(__xludf.DUMMYFUNCTION("""COMPUTED_VALUE"""),"732 - Estadística 1")</f>
        <v>732 - Estadística 1</v>
      </c>
      <c r="B28" s="41"/>
      <c r="C28" s="41"/>
    </row>
    <row r="29">
      <c r="A29" s="41" t="str">
        <f>IFERROR(__xludf.DUMMYFUNCTION("""COMPUTED_VALUE"""),"777 - Organización de Lenguajes y Compiladores 1")</f>
        <v>777 - Organización de Lenguajes y Compiladores 1</v>
      </c>
      <c r="B29" s="41" t="str">
        <f>IFERROR(__xludf.DUMMYFUNCTION("""COMPUTED_VALUE"""),"1sMJr8kYIDF7fR6Jn6GMDZp8CdJCeGqxbVA5UTdBCrkM")</f>
        <v>1sMJr8kYIDF7fR6Jn6GMDZp8CdJCeGqxbVA5UTdBCrkM</v>
      </c>
      <c r="C29" s="41" t="str">
        <f>IFERROR(__xludf.DUMMYFUNCTION("""COMPUTED_VALUE"""),"1sznB5glJmAKD25Jh38PR_uvVmYLeupPdQfr5Z_cGdy0")</f>
        <v>1sznB5glJmAKD25Jh38PR_uvVmYLeupPdQfr5Z_cGdy0</v>
      </c>
    </row>
    <row r="30">
      <c r="A30" s="41" t="str">
        <f>IFERROR(__xludf.DUMMYFUNCTION("""COMPUTED_VALUE"""),"964 - Organización Computacional")</f>
        <v>964 - Organización Computacional</v>
      </c>
      <c r="B30" s="41" t="str">
        <f>IFERROR(__xludf.DUMMYFUNCTION("""COMPUTED_VALUE"""),"1daYmFoqU1khKZXb4p_ygv5jH4tkv8-tTjdTDSUh72F0")</f>
        <v>1daYmFoqU1khKZXb4p_ygv5jH4tkv8-tTjdTDSUh72F0</v>
      </c>
      <c r="C30" s="41" t="str">
        <f>IFERROR(__xludf.DUMMYFUNCTION("""COMPUTED_VALUE"""),"1Iu2w--EUMRmqIHGvbgJsupMFeebEMTKXZFzhrwGZtOs")</f>
        <v>1Iu2w--EUMRmqIHGvbgJsupMFeebEMTKXZFzhrwGZtOs</v>
      </c>
    </row>
    <row r="31">
      <c r="A31" s="41" t="str">
        <f>IFERROR(__xludf.DUMMYFUNCTION("""COMPUTED_VALUE"""),"772 - Estructuras de Datos")</f>
        <v>772 - Estructuras de Datos</v>
      </c>
      <c r="B31" s="41" t="str">
        <f>IFERROR(__xludf.DUMMYFUNCTION("""COMPUTED_VALUE"""),"1rTNY7hLmB5N26Z2z6EtF0axcaKKizdu0eLKqLiwUhto")</f>
        <v>1rTNY7hLmB5N26Z2z6EtF0axcaKKizdu0eLKqLiwUhto</v>
      </c>
      <c r="C31" s="41" t="str">
        <f>IFERROR(__xludf.DUMMYFUNCTION("""COMPUTED_VALUE"""),"1e8AAZ395NIODTRjmbwP3Bvdb1OJlsJawLywq7NixwcM")</f>
        <v>1e8AAZ395NIODTRjmbwP3Bvdb1OJlsJawLywq7NixwcM</v>
      </c>
    </row>
    <row r="32">
      <c r="A32" s="41" t="str">
        <f>IFERROR(__xludf.DUMMYFUNCTION("""COMPUTED_VALUE"""),"116 - Matemática Aplicada 3")</f>
        <v>116 - Matemática Aplicada 3</v>
      </c>
      <c r="B32" s="41"/>
      <c r="C32" s="41"/>
    </row>
    <row r="33">
      <c r="A33" s="41" t="str">
        <f>IFERROR(__xludf.DUMMYFUNCTION("""COMPUTED_VALUE"""),"118 - Matemática Aplicada 1")</f>
        <v>118 - Matemática Aplicada 1</v>
      </c>
      <c r="B33" s="41"/>
      <c r="C33" s="41"/>
    </row>
    <row r="34">
      <c r="A34" s="41" t="str">
        <f>IFERROR(__xludf.DUMMYFUNCTION("""COMPUTED_VALUE"""),"18 - Filosofía de la Ciencia")</f>
        <v>18 - Filosofía de la Ciencia</v>
      </c>
      <c r="B34" s="41"/>
      <c r="C34" s="41"/>
    </row>
    <row r="35">
      <c r="A35" s="41" t="str">
        <f>IFERROR(__xludf.DUMMYFUNCTION("""COMPUTED_VALUE"""),"722 - Teoría de Sistemas 1")</f>
        <v>722 - Teoría de Sistemas 1</v>
      </c>
      <c r="B35" s="41" t="str">
        <f>IFERROR(__xludf.DUMMYFUNCTION("""COMPUTED_VALUE"""),"1npGvBttUX2JHkjnmDRQmNhZacltUudlNKCQsLV09BaU")</f>
        <v>1npGvBttUX2JHkjnmDRQmNhZacltUudlNKCQsLV09BaU</v>
      </c>
      <c r="C35" s="41" t="str">
        <f>IFERROR(__xludf.DUMMYFUNCTION("""COMPUTED_VALUE"""),"1hMUPf0qs2ca-iLxfgxe8cYMynK4MJCa34p7GqRHJXbE")</f>
        <v>1hMUPf0qs2ca-iLxfgxe8cYMynK4MJCa34p7GqRHJXbE</v>
      </c>
    </row>
    <row r="36">
      <c r="A36" s="41" t="str">
        <f>IFERROR(__xludf.DUMMYFUNCTION("""COMPUTED_VALUE"""),"601 - Investigación de Operaciones 1")</f>
        <v>601 - Investigación de Operaciones 1</v>
      </c>
      <c r="B36" s="41"/>
      <c r="C36" s="41"/>
    </row>
    <row r="37">
      <c r="A37" s="41" t="str">
        <f>IFERROR(__xludf.DUMMYFUNCTION("""COMPUTED_VALUE"""),"14 - Economía")</f>
        <v>14 - Economía</v>
      </c>
      <c r="B37" s="41" t="str">
        <f>IFERROR(__xludf.DUMMYFUNCTION("""COMPUTED_VALUE"""),"169ieOogZaXHMs_PddYQfqqWTOgqfbgT1NUf8dchmb4U")</f>
        <v>169ieOogZaXHMs_PddYQfqqWTOgqfbgT1NUf8dchmb4U</v>
      </c>
      <c r="C37" s="41" t="str">
        <f>IFERROR(__xludf.DUMMYFUNCTION("""COMPUTED_VALUE"""),"1aRV1pjb7CPc1NcugRe2l92I-OqNZYb_4YmhuHZtvXzs")</f>
        <v>1aRV1pjb7CPc1NcugRe2l92I-OqNZYb_4YmhuHZtvXzs</v>
      </c>
    </row>
    <row r="38">
      <c r="A38" s="41" t="str">
        <f>IFERROR(__xludf.DUMMYFUNCTION("""COMPUTED_VALUE"""),"781 - Organización de Lenguajes y Compiladores 2")</f>
        <v>781 - Organización de Lenguajes y Compiladores 2</v>
      </c>
      <c r="B38" s="41" t="str">
        <f>IFERROR(__xludf.DUMMYFUNCTION("""COMPUTED_VALUE"""),"18dQYgiKWkpI2wogupgHf8u3PbCa0cKqMH6-ZsAIhLPw")</f>
        <v>18dQYgiKWkpI2wogupgHf8u3PbCa0cKqMH6-ZsAIhLPw</v>
      </c>
      <c r="C38" s="41" t="str">
        <f>IFERROR(__xludf.DUMMYFUNCTION("""COMPUTED_VALUE"""),"1FvDr2nu5sW0gxDkpPanB4sWbi78KZCAhc6wrywlrvlE")</f>
        <v>1FvDr2nu5sW0gxDkpPanB4sWbi78KZCAhc6wrywlrvlE</v>
      </c>
    </row>
    <row r="39">
      <c r="A39" s="41" t="str">
        <f>IFERROR(__xludf.DUMMYFUNCTION("""COMPUTED_VALUE"""),"778 - Arquitectura de Computadoras y Ensambladores 1")</f>
        <v>778 - Arquitectura de Computadoras y Ensambladores 1</v>
      </c>
      <c r="B39" s="41" t="str">
        <f>IFERROR(__xludf.DUMMYFUNCTION("""COMPUTED_VALUE"""),"13gNb-7XS_aMptaL1TLnLB5k06Y_okRzOgjzOxLHNuiI")</f>
        <v>13gNb-7XS_aMptaL1TLnLB5k06Y_okRzOgjzOxLHNuiI</v>
      </c>
      <c r="C39" s="41" t="str">
        <f>IFERROR(__xludf.DUMMYFUNCTION("""COMPUTED_VALUE"""),"1dlO25kugHQowRwF3LcOkrFuLGg-hP9mn9OW7x7GssMc")</f>
        <v>1dlO25kugHQowRwF3LcOkrFuLGg-hP9mn9OW7x7GssMc</v>
      </c>
    </row>
    <row r="40">
      <c r="A40" s="41" t="str">
        <f>IFERROR(__xludf.DUMMYFUNCTION("""COMPUTED_VALUE"""),"773 - Manejo e Implementación de Archivos")</f>
        <v>773 - Manejo e Implementación de Archivos</v>
      </c>
      <c r="B40" s="41" t="str">
        <f>IFERROR(__xludf.DUMMYFUNCTION("""COMPUTED_VALUE"""),"1VDaIod2C3XfezxQfz50xvWZ9yVVdVvNIqd-1xbJmaD8")</f>
        <v>1VDaIod2C3XfezxQfz50xvWZ9yVVdVvNIqd-1xbJmaD8</v>
      </c>
      <c r="C40" s="41" t="str">
        <f>IFERROR(__xludf.DUMMYFUNCTION("""COMPUTED_VALUE"""),"1MkqyTtzzzyQyC--twNt__AoC_Sd0UBC67j0f9nktivE")</f>
        <v>1MkqyTtzzzyQyC--twNt__AoC_Sd0UBC67j0f9nktivE</v>
      </c>
    </row>
    <row r="41">
      <c r="A41" s="41" t="str">
        <f>IFERROR(__xludf.DUMMYFUNCTION("""COMPUTED_VALUE"""),"122 - Matemática Aplicada 4")</f>
        <v>122 - Matemática Aplicada 4</v>
      </c>
      <c r="B41" s="41"/>
      <c r="C41" s="41"/>
    </row>
    <row r="42">
      <c r="A42" s="41" t="str">
        <f>IFERROR(__xludf.DUMMYFUNCTION("""COMPUTED_VALUE"""),"120 - Matemática Aplicada 2")</f>
        <v>120 - Matemática Aplicada 2</v>
      </c>
      <c r="B42" s="41"/>
      <c r="C42" s="41"/>
    </row>
    <row r="43">
      <c r="A43" s="41" t="str">
        <f>IFERROR(__xludf.DUMMYFUNCTION("""COMPUTED_VALUE"""),"200 - Ingeniería Eléctrica 1")</f>
        <v>200 - Ingeniería Eléctrica 1</v>
      </c>
      <c r="B43" s="41"/>
      <c r="C43" s="41"/>
    </row>
    <row r="44">
      <c r="A44" s="41" t="str">
        <f>IFERROR(__xludf.DUMMYFUNCTION("""COMPUTED_VALUE"""),"724 - Teoría de Sistemas 2")</f>
        <v>724 - Teoría de Sistemas 2</v>
      </c>
      <c r="B44" s="41" t="str">
        <f>IFERROR(__xludf.DUMMYFUNCTION("""COMPUTED_VALUE"""),"1Oh-yJJ9oc8SdDPJao-u31YXfwOPrsifu2o1a7Sf2-9k")</f>
        <v>1Oh-yJJ9oc8SdDPJao-u31YXfwOPrsifu2o1a7Sf2-9k</v>
      </c>
      <c r="C44" s="41" t="str">
        <f>IFERROR(__xludf.DUMMYFUNCTION("""COMPUTED_VALUE"""),"1O2rxycdV4XrytI_g4llqenReY8-rYp3frKI7rd6fNMI")</f>
        <v>1O2rxycdV4XrytI_g4llqenReY8-rYp3frKI7rd6fNMI</v>
      </c>
    </row>
    <row r="45">
      <c r="A45" s="41" t="str">
        <f>IFERROR(__xludf.DUMMYFUNCTION("""COMPUTED_VALUE"""),"603 - Investigación de Operaciones 2")</f>
        <v>603 - Investigación de Operaciones 2</v>
      </c>
      <c r="B45" s="41"/>
      <c r="C45" s="41"/>
    </row>
    <row r="46">
      <c r="A46" s="41" t="str">
        <f>IFERROR(__xludf.DUMMYFUNCTION("""COMPUTED_VALUE"""),"734 - Estadística 2")</f>
        <v>734 - Estadística 2</v>
      </c>
      <c r="B46" s="41"/>
      <c r="C46" s="41"/>
    </row>
    <row r="47">
      <c r="A47" s="41" t="str">
        <f>IFERROR(__xludf.DUMMYFUNCTION("""COMPUTED_VALUE"""),"281 - Sistemas Operativos 1")</f>
        <v>281 - Sistemas Operativos 1</v>
      </c>
      <c r="B47" s="41" t="str">
        <f>IFERROR(__xludf.DUMMYFUNCTION("""COMPUTED_VALUE"""),"1RAzDRLQZEv8Ck7PxnFQbrklrekiw5bDJFX0wgP7vFSQ")</f>
        <v>1RAzDRLQZEv8Ck7PxnFQbrklrekiw5bDJFX0wgP7vFSQ</v>
      </c>
      <c r="C47" s="41" t="str">
        <f>IFERROR(__xludf.DUMMYFUNCTION("""COMPUTED_VALUE"""),"145JPmfq4pDEEE_ipNtWzYQNDVrAg9WOQ9ocmZu_NegE")</f>
        <v>145JPmfq4pDEEE_ipNtWzYQNDVrAg9WOQ9ocmZu_NegE</v>
      </c>
    </row>
    <row r="48">
      <c r="A48" s="41" t="str">
        <f>IFERROR(__xludf.DUMMYFUNCTION("""COMPUTED_VALUE"""),"779 - Arquitectura de Computadoras y Ensambladores 2")</f>
        <v>779 - Arquitectura de Computadoras y Ensambladores 2</v>
      </c>
      <c r="B48" s="41" t="str">
        <f>IFERROR(__xludf.DUMMYFUNCTION("""COMPUTED_VALUE"""),"1_uxBhWcRvgBlCjf2s6O-Hvly7rBvJyZdswUKwm6KP5Y")</f>
        <v>1_uxBhWcRvgBlCjf2s6O-Hvly7rBvJyZdswUKwm6KP5Y</v>
      </c>
      <c r="C48" s="41" t="str">
        <f>IFERROR(__xludf.DUMMYFUNCTION("""COMPUTED_VALUE"""),"1dqk67SNWBGb15fqe17ZBfmxUg9pla5H7nqVOrGHYEJ4")</f>
        <v>1dqk67SNWBGb15fqe17ZBfmxUg9pla5H7nqVOrGHYEJ4</v>
      </c>
    </row>
    <row r="49">
      <c r="A49" s="41" t="str">
        <f>IFERROR(__xludf.DUMMYFUNCTION("""COMPUTED_VALUE"""),"970 - Redes de Computadoras 1")</f>
        <v>970 - Redes de Computadoras 1</v>
      </c>
      <c r="B49" s="41" t="str">
        <f>IFERROR(__xludf.DUMMYFUNCTION("""COMPUTED_VALUE"""),"1z_6lSkIcVZpEVQ4tR8c-eSvVvTxWsXwhmFojsLWeBGc")</f>
        <v>1z_6lSkIcVZpEVQ4tR8c-eSvVvTxWsXwhmFojsLWeBGc</v>
      </c>
      <c r="C49" s="41" t="str">
        <f>IFERROR(__xludf.DUMMYFUNCTION("""COMPUTED_VALUE"""),"18wRQLI8Pz51ZFEFWKE1SD6XVhlxOdJa1PpxDFo2dRT4")</f>
        <v>18wRQLI8Pz51ZFEFWKE1SD6XVhlxOdJa1PpxDFo2dRT4</v>
      </c>
    </row>
    <row r="50">
      <c r="A50" s="41" t="str">
        <f>IFERROR(__xludf.DUMMYFUNCTION("""COMPUTED_VALUE"""),"774 - Sistemas de Bases de Datos 1")</f>
        <v>774 - Sistemas de Bases de Datos 1</v>
      </c>
      <c r="B50" s="41" t="str">
        <f>IFERROR(__xludf.DUMMYFUNCTION("""COMPUTED_VALUE"""),"1h1zzA1-Xq9ihet57bP4f0PLQnKeojJUanhgpuP67hKs")</f>
        <v>1h1zzA1-Xq9ihet57bP4f0PLQnKeojJUanhgpuP67hKs</v>
      </c>
      <c r="C50" s="41" t="str">
        <f>IFERROR(__xludf.DUMMYFUNCTION("""COMPUTED_VALUE"""),"1xYInTWRmhz45q5vjazDVsb1EGOCbYqibWRBgZMK1g2I")</f>
        <v>1xYInTWRmhz45q5vjazDVsb1EGOCbYqibWRBgZMK1g2I</v>
      </c>
    </row>
    <row r="51">
      <c r="A51" s="41" t="str">
        <f>IFERROR(__xludf.DUMMYFUNCTION("""COMPUTED_VALUE"""),"2036 - Prácticas Intermedias")</f>
        <v>2036 - Prácticas Intermedias</v>
      </c>
      <c r="B51" s="41"/>
      <c r="C51" s="41"/>
    </row>
    <row r="52">
      <c r="A52" s="41" t="str">
        <f>IFERROR(__xludf.DUMMYFUNCTION("""COMPUTED_VALUE"""),"285 - Sistemas Operativos 2")</f>
        <v>285 - Sistemas Operativos 2</v>
      </c>
      <c r="B52" s="41" t="str">
        <f>IFERROR(__xludf.DUMMYFUNCTION("""COMPUTED_VALUE"""),"1VCx3jdfVNJvtMfY5j_W624CAT1QxC-9qVw_ts_erFM8")</f>
        <v>1VCx3jdfVNJvtMfY5j_W624CAT1QxC-9qVw_ts_erFM8</v>
      </c>
      <c r="C52" s="41" t="str">
        <f>IFERROR(__xludf.DUMMYFUNCTION("""COMPUTED_VALUE"""),"1ssmi68Gibgtkl07Zn0H_wQWjqhj_SfcpUhCdmyvVjb4")</f>
        <v>1ssmi68Gibgtkl07Zn0H_wQWjqhj_SfcpUhCdmyvVjb4</v>
      </c>
    </row>
    <row r="53">
      <c r="A53" s="41" t="str">
        <f>IFERROR(__xludf.DUMMYFUNCTION("""COMPUTED_VALUE"""),"975 - Redes de Computadoras 2")</f>
        <v>975 - Redes de Computadoras 2</v>
      </c>
      <c r="B53" s="41" t="str">
        <f>IFERROR(__xludf.DUMMYFUNCTION("""COMPUTED_VALUE"""),"1JcTacSIMIoXQmOixc1cssvrK_MVzZYH-Yo4FFSny6Nk")</f>
        <v>1JcTacSIMIoXQmOixc1cssvrK_MVzZYH-Yo4FFSny6Nk</v>
      </c>
      <c r="C53" s="41" t="str">
        <f>IFERROR(__xludf.DUMMYFUNCTION("""COMPUTED_VALUE"""),"1JLgRGqqoVVNY2eFrI2m3ylhPGOUPiyZN7_tK8VnOywQ")</f>
        <v>1JLgRGqqoVVNY2eFrI2m3ylhPGOUPiyZN7_tK8VnOywQ</v>
      </c>
    </row>
    <row r="54">
      <c r="A54" s="41" t="str">
        <f>IFERROR(__xludf.DUMMYFUNCTION("""COMPUTED_VALUE"""),"775 - Sistemas de Bases de Datos 2")</f>
        <v>775 - Sistemas de Bases de Datos 2</v>
      </c>
      <c r="B54" s="41" t="str">
        <f>IFERROR(__xludf.DUMMYFUNCTION("""COMPUTED_VALUE"""),"1TCVGX95CGGMGYvyB2K8cDve9RSMthqD6Tc1-CrmctiM")</f>
        <v>1TCVGX95CGGMGYvyB2K8cDve9RSMthqD6Tc1-CrmctiM</v>
      </c>
      <c r="C54" s="41" t="str">
        <f>IFERROR(__xludf.DUMMYFUNCTION("""COMPUTED_VALUE"""),"1c8vA2_5i-ARXIPU3ZxB3bwcKRbWh46erGG5KH3wrJyU")</f>
        <v>1c8vA2_5i-ARXIPU3ZxB3bwcKRbWh46erGG5KH3wrJyU</v>
      </c>
    </row>
    <row r="55">
      <c r="A55" s="41" t="str">
        <f>IFERROR(__xludf.DUMMYFUNCTION("""COMPUTED_VALUE"""),"283 - Análisis y Diseño de Sistemas 1")</f>
        <v>283 - Análisis y Diseño de Sistemas 1</v>
      </c>
      <c r="B55" s="41" t="str">
        <f>IFERROR(__xludf.DUMMYFUNCTION("""COMPUTED_VALUE"""),"1Y3HF-OxPbgEhNi6pNhbpImrQsH3btlYO6xtsnryrunY")</f>
        <v>1Y3HF-OxPbgEhNi6pNhbpImrQsH3btlYO6xtsnryrunY</v>
      </c>
      <c r="C55" s="41" t="str">
        <f>IFERROR(__xludf.DUMMYFUNCTION("""COMPUTED_VALUE"""),"12umvxFMZmSLGZenSQOXCnUePgu7-gug8FmFRz5MKlkE")</f>
        <v>12umvxFMZmSLGZenSQOXCnUePgu7-gug8FmFRz5MKlkE</v>
      </c>
    </row>
    <row r="56">
      <c r="A56" s="41" t="str">
        <f>IFERROR(__xludf.DUMMYFUNCTION("""COMPUTED_VALUE"""),"797 - Seminario de Sistemas 1")</f>
        <v>797 - Seminario de Sistemas 1</v>
      </c>
      <c r="B56" s="41" t="str">
        <f>IFERROR(__xludf.DUMMYFUNCTION("""COMPUTED_VALUE"""),"1VXfuZgL8iNYOe8XfW_5s4rVnIq-_Xurqk8xlOGGexqY")</f>
        <v>1VXfuZgL8iNYOe8XfW_5s4rVnIq-_Xurqk8xlOGGexqY</v>
      </c>
      <c r="C56" s="41" t="str">
        <f>IFERROR(__xludf.DUMMYFUNCTION("""COMPUTED_VALUE"""),"1eWOPuodcZlQ4YNCFI3CQ-Zpw7nxkVx7vi3XlMdj8he4")</f>
        <v>1eWOPuodcZlQ4YNCFI3CQ-Zpw7nxkVx7vi3XlMdj8he4</v>
      </c>
    </row>
    <row r="57">
      <c r="A57" s="41" t="str">
        <f>IFERROR(__xludf.DUMMYFUNCTION("""COMPUTED_VALUE"""),"700 - Ingeniería Económica 1")</f>
        <v>700 - Ingeniería Económica 1</v>
      </c>
      <c r="B57" s="41"/>
      <c r="C57" s="41"/>
    </row>
    <row r="58">
      <c r="A58" s="41" t="str">
        <f>IFERROR(__xludf.DUMMYFUNCTION("""COMPUTED_VALUE"""),"729 - Modelación y Simulación 1")</f>
        <v>729 - Modelación y Simulación 1</v>
      </c>
      <c r="B58" s="41" t="str">
        <f>IFERROR(__xludf.DUMMYFUNCTION("""COMPUTED_VALUE"""),"17u8GNz3HZ-i9KS-yxFiuJx9u7OawTwjyLcvLoG_x6W8")</f>
        <v>17u8GNz3HZ-i9KS-yxFiuJx9u7OawTwjyLcvLoG_x6W8</v>
      </c>
      <c r="C58" s="41" t="str">
        <f>IFERROR(__xludf.DUMMYFUNCTION("""COMPUTED_VALUE"""),"1NFJSyWLsOrGAG7qFKpXyw79GRTTb4abmj-M6aBddS5U")</f>
        <v>1NFJSyWLsOrGAG7qFKpXyw79GRTTb4abmj-M6aBddS5U</v>
      </c>
    </row>
    <row r="59">
      <c r="A59" s="41" t="str">
        <f>IFERROR(__xludf.DUMMYFUNCTION("""COMPUTED_VALUE"""),"786 - Sistemas Organizacionales y Gerenciales 1")</f>
        <v>786 - Sistemas Organizacionales y Gerenciales 1</v>
      </c>
      <c r="B59" s="41" t="str">
        <f>IFERROR(__xludf.DUMMYFUNCTION("""COMPUTED_VALUE"""),"1VTtCckO64u9REDx8UoxNJrYiavZGQU_hh4HvsOUiqlc")</f>
        <v>1VTtCckO64u9REDx8UoxNJrYiavZGQU_hh4HvsOUiqlc</v>
      </c>
      <c r="C59" s="41" t="str">
        <f>IFERROR(__xludf.DUMMYFUNCTION("""COMPUTED_VALUE"""),"1dMwVEKpg3j4uCN3CqoVXOWkBQbHNw7DIhtU8Bhc5Mqc")</f>
        <v>1dMwVEKpg3j4uCN3CqoVXOWkBQbHNw7DIhtU8Bhc5Mqc</v>
      </c>
    </row>
    <row r="60">
      <c r="A60" s="41" t="str">
        <f>IFERROR(__xludf.DUMMYFUNCTION("""COMPUTED_VALUE"""),"972 - Inteligencia Artificial 1")</f>
        <v>972 - Inteligencia Artificial 1</v>
      </c>
      <c r="B60" s="41" t="str">
        <f>IFERROR(__xludf.DUMMYFUNCTION("""COMPUTED_VALUE"""),"1C04a6qH3d2zJVb1hJwa6tsRQVM9LUb_nwyxMovG5tdI")</f>
        <v>1C04a6qH3d2zJVb1hJwa6tsRQVM9LUb_nwyxMovG5tdI</v>
      </c>
      <c r="C60" s="41" t="str">
        <f>IFERROR(__xludf.DUMMYFUNCTION("""COMPUTED_VALUE"""),"1CEh1GcUg3ntzgPT9yUocLDlrLJKmZCCl1MWUrEyfwzg")</f>
        <v>1CEh1GcUg3ntzgPT9yUocLDlrLJKmZCCl1MWUrEyfwzg</v>
      </c>
    </row>
    <row r="61">
      <c r="A61" s="41" t="str">
        <f>IFERROR(__xludf.DUMMYFUNCTION("""COMPUTED_VALUE"""),"966 - Seguridad y Auditoría de Redes de Computadoras")</f>
        <v>966 - Seguridad y Auditoría de Redes de Computadoras</v>
      </c>
      <c r="B61" s="41"/>
      <c r="C61" s="41"/>
    </row>
    <row r="62">
      <c r="A62" s="41" t="str">
        <f>IFERROR(__xludf.DUMMYFUNCTION("""COMPUTED_VALUE"""),"785 - Análisis y Diseño de Sistemas 2")</f>
        <v>785 - Análisis y Diseño de Sistemas 2</v>
      </c>
      <c r="B62" s="41" t="str">
        <f>IFERROR(__xludf.DUMMYFUNCTION("""COMPUTED_VALUE"""),"1_ufF1kvClwUUTsCz0V0fLuXjs_JRZWRSMCWkUEd8co4")</f>
        <v>1_ufF1kvClwUUTsCz0V0fLuXjs_JRZWRSMCWkUEd8co4</v>
      </c>
      <c r="C62" s="41" t="str">
        <f>IFERROR(__xludf.DUMMYFUNCTION("""COMPUTED_VALUE"""),"1HaBdPkxZx1GRiw5WlqxQhbxPWuW-mZVFEoUho7tsLDY")</f>
        <v>1HaBdPkxZx1GRiw5WlqxQhbxPWuW-mZVFEoUho7tsLDY</v>
      </c>
    </row>
    <row r="63">
      <c r="A63" s="41" t="str">
        <f>IFERROR(__xludf.DUMMYFUNCTION("""COMPUTED_VALUE"""),"798 - Seminario de Sistemas 2")</f>
        <v>798 - Seminario de Sistemas 2</v>
      </c>
      <c r="B63" s="41" t="str">
        <f>IFERROR(__xludf.DUMMYFUNCTION("""COMPUTED_VALUE"""),"1v6hbJdWzxkj7s5D7oM894pu3kMAvhEZGXUMfRFv7yKQ")</f>
        <v>1v6hbJdWzxkj7s5D7oM894pu3kMAvhEZGXUMfRFv7yKQ</v>
      </c>
      <c r="C63" s="41" t="str">
        <f>IFERROR(__xludf.DUMMYFUNCTION("""COMPUTED_VALUE"""),"1LxPO_wuZRiAXrS1EicVG-gQWzjILKll8Nqvs3MS7G_k")</f>
        <v>1LxPO_wuZRiAXrS1EicVG-gQWzjILKll8Nqvs3MS7G_k</v>
      </c>
    </row>
    <row r="64">
      <c r="A64" s="41" t="str">
        <f>IFERROR(__xludf.DUMMYFUNCTION("""COMPUTED_VALUE"""),"788 - Sistemas Aplicados 1")</f>
        <v>788 - Sistemas Aplicados 1</v>
      </c>
      <c r="B64" s="41"/>
      <c r="C64" s="41"/>
    </row>
    <row r="65">
      <c r="A65" s="41" t="str">
        <f>IFERROR(__xludf.DUMMYFUNCTION("""COMPUTED_VALUE"""),"776 - Bases de Datos Avanzadas")</f>
        <v>776 - Bases de Datos Avanzadas</v>
      </c>
      <c r="B65" s="41" t="str">
        <f>IFERROR(__xludf.DUMMYFUNCTION("""COMPUTED_VALUE"""),"1SZ2dJz29IsruB5vMYQ514xwGe6wyVx6cjMu_iwnHpFo")</f>
        <v>1SZ2dJz29IsruB5vMYQ514xwGe6wyVx6cjMu_iwnHpFo</v>
      </c>
      <c r="C65" s="41"/>
    </row>
    <row r="66">
      <c r="A66" s="41" t="str">
        <f>IFERROR(__xludf.DUMMYFUNCTION("""COMPUTED_VALUE"""),"2009 - Prácticas Finales Ingeniería Ciencias y Sistemas")</f>
        <v>2009 - Prácticas Finales Ingeniería Ciencias y Sistemas</v>
      </c>
      <c r="B66" s="41"/>
      <c r="C66" s="41"/>
    </row>
    <row r="67">
      <c r="A67" s="41" t="str">
        <f>IFERROR(__xludf.DUMMYFUNCTION("""COMPUTED_VALUE"""),"720 - Modelación y Simulación 2")</f>
        <v>720 - Modelación y Simulación 2</v>
      </c>
      <c r="B67" s="41" t="str">
        <f>IFERROR(__xludf.DUMMYFUNCTION("""COMPUTED_VALUE"""),"1ebc3-I4AbsLDHtzhtolQz7pqZDPvmSE0yZJu1xY6lLY")</f>
        <v>1ebc3-I4AbsLDHtzhtolQz7pqZDPvmSE0yZJu1xY6lLY</v>
      </c>
      <c r="C67" s="41" t="str">
        <f>IFERROR(__xludf.DUMMYFUNCTION("""COMPUTED_VALUE"""),"1VnSdYE6hCH1oAG4XdaAltDp-IuIjLZzv9KdrOGh2-0Y")</f>
        <v>1VnSdYE6hCH1oAG4XdaAltDp-IuIjLZzv9KdrOGh2-0Y</v>
      </c>
    </row>
    <row r="68">
      <c r="A68" s="41" t="str">
        <f>IFERROR(__xludf.DUMMYFUNCTION("""COMPUTED_VALUE"""),"787 - Sistemas Organizacionales y Gerenciales 2")</f>
        <v>787 - Sistemas Organizacionales y Gerenciales 2</v>
      </c>
      <c r="B68" s="41" t="str">
        <f>IFERROR(__xludf.DUMMYFUNCTION("""COMPUTED_VALUE"""),"1KpYHYX_EAJ-h4GLtSoCT8Rqz-xU4Qh5pUnEiPyxmEZA")</f>
        <v>1KpYHYX_EAJ-h4GLtSoCT8Rqz-xU4Qh5pUnEiPyxmEZA</v>
      </c>
      <c r="C68" s="41" t="str">
        <f>IFERROR(__xludf.DUMMYFUNCTION("""COMPUTED_VALUE"""),"106SYnPHxQ47_qT62NOXndjd6mPwE7LV7AXR9D4-euB8")</f>
        <v>106SYnPHxQ47_qT62NOXndjd6mPwE7LV7AXR9D4-euB8</v>
      </c>
    </row>
    <row r="69">
      <c r="A69" s="41" t="str">
        <f>IFERROR(__xludf.DUMMYFUNCTION("""COMPUTED_VALUE"""),"790 - Emprendedores de Negocios Informáticos")</f>
        <v>790 - Emprendedores de Negocios Informáticos</v>
      </c>
      <c r="B69" s="41"/>
      <c r="C69" s="41"/>
    </row>
    <row r="70">
      <c r="A70" s="41" t="str">
        <f>IFERROR(__xludf.DUMMYFUNCTION("""COMPUTED_VALUE"""),"968 - Inteligencia Artificial 2")</f>
        <v>968 - Inteligencia Artificial 2</v>
      </c>
      <c r="B70" s="41"/>
      <c r="C70" s="41"/>
    </row>
    <row r="71">
      <c r="A71" s="41" t="str">
        <f>IFERROR(__xludf.DUMMYFUNCTION("""COMPUTED_VALUE"""),"974 - Redes de Nueva Generación")</f>
        <v>974 - Redes de Nueva Generación</v>
      </c>
      <c r="B71" s="41"/>
      <c r="C71" s="41"/>
    </row>
    <row r="72">
      <c r="A72" s="41" t="str">
        <f>IFERROR(__xludf.DUMMYFUNCTION("""COMPUTED_VALUE"""),"780 - Software Avanzado")</f>
        <v>780 - Software Avanzado</v>
      </c>
      <c r="B72" s="41" t="str">
        <f>IFERROR(__xludf.DUMMYFUNCTION("""COMPUTED_VALUE"""),"1SZ2dJz29IsruB5vMYQ514xwGe6wyVx6cjMu_iwnHpFo")</f>
        <v>1SZ2dJz29IsruB5vMYQ514xwGe6wyVx6cjMu_iwnHpFo</v>
      </c>
      <c r="C72" s="41" t="str">
        <f>IFERROR(__xludf.DUMMYFUNCTION("""COMPUTED_VALUE"""),"13JrqVT0c3I6SzCOF1sKpi1qJKOryNTT4TsCaNwuV-24")</f>
        <v>13JrqVT0c3I6SzCOF1sKpi1qJKOryNTT4TsCaNwuV-24</v>
      </c>
    </row>
    <row r="73">
      <c r="A73" s="41" t="str">
        <f>IFERROR(__xludf.DUMMYFUNCTION("""COMPUTED_VALUE"""),"789 - Sistemas Aplicados 2")</f>
        <v>789 - Sistemas Aplicados 2</v>
      </c>
      <c r="B73" s="41"/>
      <c r="C73" s="41"/>
    </row>
    <row r="74">
      <c r="A74" s="41" t="str">
        <f>IFERROR(__xludf.DUMMYFUNCTION("""COMPUTED_VALUE"""),"735 - Auditoría de Proyectos de Software")</f>
        <v>735 - Auditoría de Proyectos de Software</v>
      </c>
      <c r="B74" s="41"/>
      <c r="C74" s="41"/>
    </row>
    <row r="75">
      <c r="A75" s="41" t="str">
        <f>IFERROR(__xludf.DUMMYFUNCTION("""COMPUTED_VALUE"""),"7999 - Seminario de Investigación EPS Sistemas")</f>
        <v>7999 - Seminario de Investigación EPS Sistemas</v>
      </c>
      <c r="B75" s="41"/>
      <c r="C75" s="41"/>
    </row>
    <row r="76">
      <c r="A76" s="41" t="str">
        <f>IFERROR(__xludf.DUMMYFUNCTION("""COMPUTED_VALUE"""),"799 - Seminario de Investigación")</f>
        <v>799 - Seminario de Investigación</v>
      </c>
      <c r="B76" s="41"/>
      <c r="C76" s="41"/>
    </row>
    <row r="77">
      <c r="A77" s="41" t="str">
        <f>IFERROR(__xludf.DUMMYFUNCTION("""COMPUTED_VALUE"""),"90 - Programacion de Computadoras 1")</f>
        <v>90 - Programacion de Computadoras 1</v>
      </c>
      <c r="B77" s="41" t="str">
        <f>IFERROR(__xludf.DUMMYFUNCTION("""COMPUTED_VALUE"""),"1qvDDGj5yCc7f5CzNszeAsW2HPXfptQjvWIcbjskCMYM")</f>
        <v>1qvDDGj5yCc7f5CzNszeAsW2HPXfptQjvWIcbjskCMYM</v>
      </c>
      <c r="C77" s="41" t="str">
        <f>IFERROR(__xludf.DUMMYFUNCTION("""COMPUTED_VALUE"""),"1YPGQg3r0TE0ZsibgKarHMDVR2FLaHLC0G5O84_GpNhw")</f>
        <v>1YPGQg3r0TE0ZsibgKarHMDVR2FLaHLC0G5O84_GpNhw</v>
      </c>
    </row>
    <row r="78">
      <c r="A78" s="41" t="str">
        <f>IFERROR(__xludf.DUMMYFUNCTION("""COMPUTED_VALUE"""),"92 - Programacion de Computadoras 2")</f>
        <v>92 - Programacion de Computadoras 2</v>
      </c>
      <c r="B78" s="41" t="str">
        <f>IFERROR(__xludf.DUMMYFUNCTION("""COMPUTED_VALUE"""),"1SCiXODhHsEGBVGnnYk9ZrO_gSOSvcGwu7lDEJBfLaEw")</f>
        <v>1SCiXODhHsEGBVGnnYk9ZrO_gSOSvcGwu7lDEJBfLaEw</v>
      </c>
      <c r="C78" s="41" t="str">
        <f>IFERROR(__xludf.DUMMYFUNCTION("""COMPUTED_VALUE"""),"1Bf3nWt47xcnM3VU3BvJaD4AcWQd-1GK4pJm4b69PzDk")</f>
        <v>1Bf3nWt47xcnM3VU3BvJaD4AcWQd-1GK4pJm4b69PzDk</v>
      </c>
    </row>
    <row r="79">
      <c r="A79" s="41" t="str">
        <f>IFERROR(__xludf.DUMMYFUNCTION("""COMPUTED_VALUE"""),"667 - Programacion Comercial 1")</f>
        <v>667 - Programacion Comercial 1</v>
      </c>
      <c r="B79" s="41" t="str">
        <f>IFERROR(__xludf.DUMMYFUNCTION("""COMPUTED_VALUE"""),"1q-0CM7N_hXOxknvTAL7P8U9-t9hqpm1-3l5E6r3G-qg")</f>
        <v>1q-0CM7N_hXOxknvTAL7P8U9-t9hqpm1-3l5E6r3G-qg</v>
      </c>
      <c r="C79" s="41" t="str">
        <f>IFERROR(__xludf.DUMMYFUNCTION("""COMPUTED_VALUE"""),"1R41rwbBQZrh9qjZ3XYjH5mTM9rwh34s58Htn787_YnY")</f>
        <v>1R41rwbBQZrh9qjZ3XYjH5mTM9rwh34s58Htn787_YnY</v>
      </c>
    </row>
    <row r="80">
      <c r="A80" s="41" t="str">
        <f>IFERROR(__xludf.DUMMYFUNCTION("""COMPUTED_VALUE"""),"768 - Algoritmos")</f>
        <v>768 - Algoritmos</v>
      </c>
      <c r="B80" s="41" t="str">
        <f>IFERROR(__xludf.DUMMYFUNCTION("""COMPUTED_VALUE"""),"1SjAd6zUsLAnVyCAYH7AjoRBdaM836qJGVSbcpa5npcA")</f>
        <v>1SjAd6zUsLAnVyCAYH7AjoRBdaM836qJGVSbcpa5npcA</v>
      </c>
      <c r="C80" s="41" t="str">
        <f>IFERROR(__xludf.DUMMYFUNCTION("""COMPUTED_VALUE"""),"1afm0IKlaJOgHVN4bCH6AUAoNUqhq0_44_T5aENeyCWo")</f>
        <v>1afm0IKlaJOgHVN4bCH6AUAoNUqhq0_44_T5aENeyCWo</v>
      </c>
    </row>
    <row r="81">
      <c r="A81" s="41"/>
      <c r="B81" s="41"/>
      <c r="C81" s="41"/>
    </row>
    <row r="82">
      <c r="A82" s="41"/>
      <c r="B82" s="41"/>
      <c r="C82" s="41"/>
    </row>
    <row r="83">
      <c r="A83" s="41"/>
      <c r="B83" s="41"/>
      <c r="C83" s="41"/>
    </row>
    <row r="84">
      <c r="A84" s="41"/>
      <c r="B84" s="41"/>
      <c r="C84" s="41"/>
    </row>
    <row r="85">
      <c r="A85" s="41"/>
      <c r="B85" s="41"/>
      <c r="C85" s="41"/>
    </row>
    <row r="86">
      <c r="A86" s="41"/>
      <c r="B86" s="41"/>
      <c r="C86" s="41"/>
    </row>
    <row r="87">
      <c r="A87" s="41"/>
      <c r="B87" s="41"/>
      <c r="C87" s="41"/>
    </row>
    <row r="88">
      <c r="A88" s="41"/>
      <c r="B88" s="41"/>
      <c r="C88" s="41"/>
    </row>
    <row r="89">
      <c r="A89" s="41"/>
      <c r="B89" s="41"/>
      <c r="C89" s="41"/>
    </row>
    <row r="90">
      <c r="A90" s="41"/>
      <c r="B90" s="41"/>
      <c r="C90" s="41"/>
    </row>
    <row r="91">
      <c r="A91" s="41"/>
      <c r="B91" s="41"/>
      <c r="C91" s="41"/>
    </row>
    <row r="92">
      <c r="A92" s="41"/>
      <c r="B92" s="41"/>
      <c r="C92" s="41"/>
    </row>
    <row r="93">
      <c r="A93" s="41"/>
      <c r="B93" s="41"/>
      <c r="C93" s="41"/>
    </row>
    <row r="94">
      <c r="A94" s="41"/>
      <c r="B94" s="41"/>
      <c r="C94" s="41"/>
    </row>
    <row r="95">
      <c r="A95" s="41"/>
      <c r="B95" s="41"/>
      <c r="C95" s="41"/>
    </row>
    <row r="96">
      <c r="A96" s="41"/>
      <c r="B96" s="41"/>
      <c r="C96" s="41"/>
    </row>
    <row r="97">
      <c r="A97" s="41"/>
      <c r="B97" s="41"/>
      <c r="C97" s="41"/>
    </row>
    <row r="98">
      <c r="A98" s="41"/>
      <c r="B98" s="41"/>
      <c r="C98" s="41"/>
    </row>
    <row r="99">
      <c r="A99" s="41"/>
      <c r="B99" s="41"/>
      <c r="C99" s="41"/>
    </row>
    <row r="100">
      <c r="A100" s="41"/>
      <c r="B100" s="41"/>
      <c r="C100" s="41"/>
    </row>
    <row r="101">
      <c r="A101" s="41"/>
      <c r="B101" s="41"/>
      <c r="C101" s="41"/>
    </row>
    <row r="102">
      <c r="A102" s="41"/>
      <c r="B102" s="41"/>
      <c r="C102" s="41"/>
    </row>
    <row r="103">
      <c r="A103" s="41"/>
      <c r="B103" s="41"/>
      <c r="C103" s="41"/>
    </row>
    <row r="104">
      <c r="A104" s="41"/>
      <c r="B104" s="41"/>
      <c r="C104" s="41"/>
    </row>
    <row r="105">
      <c r="A105" s="41"/>
      <c r="B105" s="41"/>
      <c r="C105" s="41"/>
    </row>
    <row r="106">
      <c r="A106" s="41"/>
      <c r="B106" s="41"/>
      <c r="C106" s="41"/>
    </row>
    <row r="107">
      <c r="A107" s="41"/>
      <c r="B107" s="41"/>
      <c r="C107" s="41"/>
    </row>
    <row r="108">
      <c r="A108" s="41"/>
      <c r="B108" s="41"/>
      <c r="C108" s="41"/>
    </row>
    <row r="109">
      <c r="A109" s="41"/>
      <c r="B109" s="41"/>
      <c r="C109" s="41"/>
    </row>
    <row r="110">
      <c r="A110" s="41"/>
      <c r="B110" s="41"/>
      <c r="C110" s="41"/>
    </row>
    <row r="111">
      <c r="A111" s="41"/>
      <c r="B111" s="41"/>
      <c r="C111" s="41"/>
    </row>
    <row r="112">
      <c r="A112" s="41"/>
      <c r="B112" s="41"/>
      <c r="C112" s="41"/>
    </row>
    <row r="113">
      <c r="A113" s="41"/>
      <c r="B113" s="41"/>
      <c r="C113" s="41"/>
    </row>
    <row r="114">
      <c r="A114" s="41"/>
      <c r="B114" s="41"/>
      <c r="C114" s="41"/>
    </row>
    <row r="115">
      <c r="A115" s="41"/>
      <c r="B115" s="41"/>
      <c r="C115" s="41"/>
    </row>
    <row r="116">
      <c r="A116" s="41"/>
      <c r="B116" s="41"/>
      <c r="C116" s="41"/>
    </row>
    <row r="117">
      <c r="A117" s="41"/>
      <c r="B117" s="41"/>
      <c r="C117" s="41"/>
    </row>
    <row r="118">
      <c r="A118" s="41"/>
      <c r="B118" s="41"/>
      <c r="C118" s="41"/>
    </row>
    <row r="119">
      <c r="A119" s="41"/>
      <c r="B119" s="41"/>
      <c r="C119" s="41"/>
    </row>
    <row r="120">
      <c r="A120" s="41"/>
      <c r="B120" s="41"/>
      <c r="C120" s="41"/>
    </row>
    <row r="121">
      <c r="A121" s="41"/>
      <c r="B121" s="41"/>
      <c r="C121" s="41"/>
    </row>
    <row r="122">
      <c r="A122" s="41"/>
      <c r="B122" s="41"/>
      <c r="C122" s="41"/>
    </row>
    <row r="123">
      <c r="A123" s="41"/>
      <c r="B123" s="41"/>
      <c r="C123" s="41"/>
    </row>
    <row r="124">
      <c r="A124" s="41"/>
      <c r="B124" s="41"/>
      <c r="C124" s="41"/>
    </row>
    <row r="125">
      <c r="A125" s="41"/>
      <c r="B125" s="41"/>
      <c r="C125" s="41"/>
    </row>
    <row r="126">
      <c r="A126" s="41"/>
      <c r="B126" s="41"/>
      <c r="C126" s="41"/>
    </row>
    <row r="127">
      <c r="A127" s="41"/>
      <c r="B127" s="41"/>
      <c r="C127" s="41"/>
    </row>
    <row r="128">
      <c r="A128" s="41"/>
      <c r="B128" s="41"/>
      <c r="C128" s="41"/>
    </row>
    <row r="129">
      <c r="A129" s="41"/>
      <c r="B129" s="41"/>
      <c r="C129" s="41"/>
    </row>
    <row r="130">
      <c r="A130" s="41"/>
      <c r="B130" s="41"/>
      <c r="C130" s="41"/>
    </row>
    <row r="131">
      <c r="A131" s="41"/>
      <c r="B131" s="41"/>
      <c r="C131" s="41"/>
    </row>
    <row r="132">
      <c r="A132" s="41"/>
      <c r="B132" s="41"/>
      <c r="C132" s="41"/>
    </row>
    <row r="133">
      <c r="A133" s="41"/>
      <c r="B133" s="41"/>
      <c r="C133" s="41"/>
    </row>
    <row r="134">
      <c r="A134" s="41"/>
      <c r="B134" s="41"/>
      <c r="C134" s="41"/>
    </row>
    <row r="135">
      <c r="A135" s="41"/>
      <c r="B135" s="41"/>
      <c r="C135" s="41"/>
    </row>
    <row r="136">
      <c r="A136" s="41"/>
      <c r="B136" s="41"/>
      <c r="C136" s="41"/>
    </row>
    <row r="137">
      <c r="A137" s="41"/>
      <c r="B137" s="41"/>
      <c r="C137" s="41"/>
    </row>
    <row r="138">
      <c r="A138" s="41"/>
      <c r="B138" s="41"/>
      <c r="C138" s="41"/>
    </row>
    <row r="139">
      <c r="A139" s="41"/>
      <c r="B139" s="41"/>
      <c r="C139" s="41"/>
    </row>
    <row r="140">
      <c r="A140" s="41"/>
      <c r="B140" s="41"/>
      <c r="C140" s="41"/>
    </row>
    <row r="141">
      <c r="A141" s="41"/>
      <c r="B141" s="41"/>
      <c r="C141" s="41"/>
    </row>
    <row r="142">
      <c r="A142" s="41"/>
      <c r="B142" s="41"/>
      <c r="C142" s="41"/>
    </row>
    <row r="143">
      <c r="A143" s="41"/>
      <c r="B143" s="41"/>
      <c r="C143" s="41"/>
    </row>
    <row r="144">
      <c r="A144" s="41"/>
      <c r="B144" s="41"/>
      <c r="C144" s="41"/>
    </row>
    <row r="145">
      <c r="A145" s="41"/>
      <c r="B145" s="41"/>
      <c r="C145" s="41"/>
    </row>
    <row r="146">
      <c r="A146" s="41"/>
      <c r="B146" s="41"/>
      <c r="C146" s="41"/>
    </row>
    <row r="147">
      <c r="A147" s="41"/>
      <c r="B147" s="41"/>
      <c r="C147" s="41"/>
    </row>
    <row r="148">
      <c r="A148" s="41"/>
      <c r="B148" s="41"/>
      <c r="C148" s="41"/>
    </row>
    <row r="149">
      <c r="A149" s="41"/>
      <c r="B149" s="41"/>
      <c r="C149" s="41"/>
    </row>
    <row r="150">
      <c r="A150" s="41"/>
      <c r="B150" s="41"/>
      <c r="C150" s="41"/>
    </row>
    <row r="151">
      <c r="A151" s="41"/>
      <c r="B151" s="41"/>
      <c r="C151" s="41"/>
    </row>
    <row r="152">
      <c r="A152" s="41"/>
      <c r="B152" s="41"/>
      <c r="C152" s="41"/>
    </row>
    <row r="153">
      <c r="A153" s="41"/>
      <c r="B153" s="41"/>
      <c r="C153" s="41"/>
    </row>
    <row r="154">
      <c r="A154" s="41"/>
      <c r="B154" s="41"/>
      <c r="C154" s="41"/>
    </row>
    <row r="155">
      <c r="A155" s="41"/>
      <c r="B155" s="41"/>
      <c r="C155" s="41"/>
    </row>
    <row r="156">
      <c r="A156" s="41"/>
      <c r="B156" s="41"/>
      <c r="C156" s="41"/>
    </row>
    <row r="157">
      <c r="A157" s="41"/>
      <c r="B157" s="41"/>
      <c r="C157" s="41"/>
    </row>
    <row r="158">
      <c r="A158" s="41"/>
      <c r="B158" s="41"/>
      <c r="C158" s="41"/>
    </row>
    <row r="159">
      <c r="A159" s="41"/>
      <c r="B159" s="41"/>
      <c r="C159" s="41"/>
    </row>
    <row r="160">
      <c r="A160" s="41"/>
      <c r="B160" s="41"/>
      <c r="C160" s="41"/>
    </row>
    <row r="161">
      <c r="A161" s="41"/>
      <c r="B161" s="41"/>
      <c r="C161" s="41"/>
    </row>
    <row r="162">
      <c r="A162" s="41"/>
      <c r="B162" s="41"/>
      <c r="C162" s="41"/>
    </row>
    <row r="163">
      <c r="A163" s="41"/>
      <c r="B163" s="41"/>
      <c r="C163" s="41"/>
    </row>
    <row r="164">
      <c r="A164" s="41"/>
      <c r="B164" s="41"/>
      <c r="C164" s="41"/>
    </row>
    <row r="165">
      <c r="A165" s="41"/>
      <c r="B165" s="41"/>
      <c r="C165" s="41"/>
    </row>
    <row r="166">
      <c r="A166" s="41"/>
      <c r="B166" s="41"/>
      <c r="C166" s="41"/>
    </row>
    <row r="167">
      <c r="A167" s="41"/>
      <c r="B167" s="41"/>
      <c r="C167" s="41"/>
    </row>
    <row r="168">
      <c r="A168" s="41"/>
      <c r="B168" s="41"/>
      <c r="C168" s="41"/>
    </row>
    <row r="169">
      <c r="A169" s="41"/>
      <c r="B169" s="41"/>
      <c r="C169" s="41"/>
    </row>
    <row r="170">
      <c r="A170" s="41"/>
      <c r="B170" s="41"/>
      <c r="C170" s="41"/>
    </row>
    <row r="171">
      <c r="A171" s="41"/>
      <c r="B171" s="41"/>
      <c r="C171" s="41"/>
    </row>
    <row r="172">
      <c r="A172" s="41"/>
      <c r="B172" s="41"/>
      <c r="C172" s="41"/>
    </row>
    <row r="173">
      <c r="A173" s="41"/>
      <c r="B173" s="41"/>
      <c r="C173" s="41"/>
    </row>
    <row r="174">
      <c r="A174" s="41"/>
      <c r="B174" s="41"/>
      <c r="C174" s="41"/>
    </row>
    <row r="175">
      <c r="A175" s="41"/>
      <c r="B175" s="41"/>
      <c r="C175" s="41"/>
    </row>
    <row r="176">
      <c r="A176" s="41"/>
      <c r="B176" s="41"/>
      <c r="C176" s="41"/>
    </row>
    <row r="177">
      <c r="A177" s="41"/>
      <c r="B177" s="41"/>
      <c r="C177" s="41"/>
    </row>
    <row r="178">
      <c r="A178" s="41"/>
      <c r="B178" s="41"/>
      <c r="C178" s="41"/>
    </row>
    <row r="179">
      <c r="A179" s="41"/>
      <c r="B179" s="41"/>
      <c r="C179" s="41"/>
    </row>
    <row r="180">
      <c r="A180" s="41"/>
      <c r="B180" s="41"/>
      <c r="C180" s="41"/>
    </row>
    <row r="181">
      <c r="A181" s="41"/>
      <c r="B181" s="41"/>
      <c r="C181" s="41"/>
    </row>
    <row r="182">
      <c r="A182" s="41"/>
      <c r="B182" s="41"/>
      <c r="C182" s="41"/>
    </row>
    <row r="183">
      <c r="A183" s="41"/>
      <c r="B183" s="41"/>
      <c r="C183" s="41"/>
    </row>
    <row r="184">
      <c r="A184" s="41"/>
      <c r="B184" s="41"/>
      <c r="C184" s="41"/>
    </row>
    <row r="185">
      <c r="A185" s="41"/>
      <c r="B185" s="41"/>
      <c r="C185" s="41"/>
    </row>
    <row r="186">
      <c r="A186" s="41"/>
      <c r="B186" s="41"/>
      <c r="C186" s="41"/>
    </row>
    <row r="187">
      <c r="A187" s="41"/>
      <c r="B187" s="41"/>
      <c r="C187" s="41"/>
    </row>
    <row r="188">
      <c r="A188" s="41"/>
      <c r="B188" s="41"/>
      <c r="C188" s="41"/>
    </row>
    <row r="189">
      <c r="A189" s="41"/>
      <c r="B189" s="41"/>
      <c r="C189" s="41"/>
    </row>
    <row r="190">
      <c r="A190" s="41"/>
      <c r="B190" s="41"/>
      <c r="C190" s="41"/>
    </row>
    <row r="191">
      <c r="A191" s="41"/>
      <c r="B191" s="41"/>
      <c r="C191" s="41"/>
    </row>
    <row r="192">
      <c r="A192" s="41"/>
      <c r="B192" s="41"/>
      <c r="C192" s="41"/>
    </row>
    <row r="193">
      <c r="A193" s="41"/>
      <c r="B193" s="41"/>
      <c r="C193" s="41"/>
    </row>
    <row r="194">
      <c r="A194" s="41"/>
      <c r="B194" s="41"/>
      <c r="C194" s="41"/>
    </row>
    <row r="195">
      <c r="A195" s="41"/>
      <c r="B195" s="41"/>
      <c r="C195" s="41"/>
    </row>
    <row r="196">
      <c r="A196" s="41"/>
      <c r="B196" s="41"/>
      <c r="C196" s="41"/>
    </row>
    <row r="197">
      <c r="A197" s="41"/>
      <c r="B197" s="41"/>
      <c r="C197" s="41"/>
    </row>
    <row r="198">
      <c r="A198" s="41"/>
      <c r="B198" s="41"/>
      <c r="C198" s="41"/>
    </row>
    <row r="199">
      <c r="A199" s="41"/>
      <c r="B199" s="41"/>
      <c r="C199" s="41"/>
    </row>
    <row r="200">
      <c r="A200" s="41"/>
      <c r="B200" s="41"/>
      <c r="C200" s="41"/>
    </row>
    <row r="201">
      <c r="A201" s="41"/>
      <c r="B201" s="41"/>
      <c r="C201" s="41"/>
    </row>
    <row r="202">
      <c r="A202" s="41"/>
      <c r="B202" s="41"/>
      <c r="C202" s="41"/>
    </row>
    <row r="203">
      <c r="A203" s="41"/>
      <c r="B203" s="41"/>
      <c r="C203" s="41"/>
    </row>
    <row r="204">
      <c r="A204" s="41"/>
      <c r="B204" s="41"/>
      <c r="C204" s="41"/>
    </row>
    <row r="205">
      <c r="A205" s="41"/>
      <c r="B205" s="41"/>
      <c r="C205" s="41"/>
    </row>
    <row r="206">
      <c r="A206" s="41"/>
      <c r="B206" s="41"/>
      <c r="C206" s="41"/>
    </row>
    <row r="207">
      <c r="A207" s="41"/>
      <c r="B207" s="41"/>
      <c r="C207" s="41"/>
    </row>
    <row r="208">
      <c r="A208" s="41"/>
      <c r="B208" s="41"/>
      <c r="C208" s="41"/>
    </row>
    <row r="209">
      <c r="A209" s="41"/>
      <c r="B209" s="41"/>
      <c r="C209" s="41"/>
    </row>
    <row r="210">
      <c r="A210" s="41"/>
      <c r="B210" s="41"/>
      <c r="C210" s="41"/>
    </row>
    <row r="211">
      <c r="A211" s="41"/>
      <c r="B211" s="41"/>
      <c r="C211" s="41"/>
    </row>
    <row r="212">
      <c r="A212" s="41"/>
      <c r="B212" s="41"/>
      <c r="C212" s="41"/>
    </row>
    <row r="213">
      <c r="A213" s="41"/>
      <c r="B213" s="41"/>
      <c r="C213" s="41"/>
    </row>
    <row r="214">
      <c r="A214" s="41"/>
      <c r="B214" s="41"/>
      <c r="C214" s="41"/>
    </row>
    <row r="215">
      <c r="A215" s="41"/>
      <c r="B215" s="41"/>
      <c r="C215" s="41"/>
    </row>
    <row r="216">
      <c r="A216" s="41"/>
      <c r="B216" s="41"/>
      <c r="C216" s="41"/>
    </row>
    <row r="217">
      <c r="A217" s="41"/>
      <c r="B217" s="41"/>
      <c r="C217" s="41"/>
    </row>
    <row r="218">
      <c r="A218" s="41"/>
      <c r="B218" s="41"/>
      <c r="C218" s="41"/>
    </row>
    <row r="219">
      <c r="A219" s="41"/>
      <c r="B219" s="41"/>
      <c r="C219" s="41"/>
    </row>
    <row r="220">
      <c r="A220" s="41"/>
      <c r="B220" s="41"/>
      <c r="C220" s="41"/>
    </row>
    <row r="221">
      <c r="A221" s="41"/>
      <c r="B221" s="41"/>
      <c r="C221" s="41"/>
    </row>
    <row r="222">
      <c r="A222" s="41"/>
      <c r="B222" s="41"/>
      <c r="C222" s="41"/>
    </row>
    <row r="223">
      <c r="A223" s="41"/>
      <c r="B223" s="41"/>
      <c r="C223" s="41"/>
    </row>
    <row r="224">
      <c r="A224" s="41"/>
      <c r="B224" s="41"/>
      <c r="C224" s="41"/>
    </row>
    <row r="225">
      <c r="A225" s="41"/>
      <c r="B225" s="41"/>
      <c r="C225" s="41"/>
    </row>
    <row r="226">
      <c r="A226" s="41"/>
      <c r="B226" s="41"/>
      <c r="C226" s="41"/>
    </row>
    <row r="227">
      <c r="A227" s="41"/>
      <c r="B227" s="41"/>
      <c r="C227" s="41"/>
    </row>
    <row r="228">
      <c r="A228" s="41"/>
      <c r="B228" s="41"/>
      <c r="C228" s="41"/>
    </row>
    <row r="229">
      <c r="A229" s="41"/>
      <c r="B229" s="41"/>
      <c r="C229" s="41"/>
    </row>
    <row r="230">
      <c r="A230" s="41"/>
      <c r="B230" s="41"/>
      <c r="C230" s="41"/>
    </row>
    <row r="231">
      <c r="A231" s="41"/>
      <c r="B231" s="41"/>
      <c r="C231" s="41"/>
    </row>
    <row r="232">
      <c r="A232" s="41"/>
      <c r="B232" s="41"/>
      <c r="C232" s="41"/>
    </row>
    <row r="233">
      <c r="A233" s="41"/>
      <c r="B233" s="41"/>
      <c r="C233" s="41"/>
    </row>
    <row r="234">
      <c r="A234" s="41"/>
      <c r="B234" s="41"/>
      <c r="C234" s="41"/>
    </row>
    <row r="235">
      <c r="A235" s="41"/>
      <c r="B235" s="41"/>
      <c r="C235" s="41"/>
    </row>
    <row r="236">
      <c r="A236" s="41"/>
      <c r="B236" s="41"/>
      <c r="C236" s="41"/>
    </row>
    <row r="237">
      <c r="A237" s="41"/>
      <c r="B237" s="41"/>
      <c r="C237" s="41"/>
    </row>
    <row r="238">
      <c r="A238" s="41"/>
      <c r="B238" s="41"/>
      <c r="C238" s="41"/>
    </row>
    <row r="239">
      <c r="A239" s="41"/>
      <c r="B239" s="41"/>
      <c r="C239" s="41"/>
    </row>
    <row r="240">
      <c r="A240" s="41"/>
      <c r="B240" s="41"/>
      <c r="C240" s="41"/>
    </row>
    <row r="241">
      <c r="A241" s="41"/>
      <c r="B241" s="41"/>
      <c r="C241" s="41"/>
    </row>
    <row r="242">
      <c r="A242" s="41"/>
      <c r="B242" s="41"/>
      <c r="C242" s="41"/>
    </row>
    <row r="243">
      <c r="A243" s="41"/>
      <c r="B243" s="41"/>
      <c r="C243" s="41"/>
    </row>
    <row r="244">
      <c r="A244" s="41"/>
      <c r="B244" s="41"/>
      <c r="C244" s="41"/>
    </row>
    <row r="245">
      <c r="A245" s="41"/>
      <c r="B245" s="41"/>
      <c r="C245" s="41"/>
    </row>
    <row r="246">
      <c r="A246" s="41"/>
      <c r="B246" s="41"/>
      <c r="C246" s="41"/>
    </row>
    <row r="247">
      <c r="A247" s="41"/>
      <c r="B247" s="41"/>
      <c r="C247" s="41"/>
    </row>
    <row r="248">
      <c r="A248" s="41"/>
      <c r="B248" s="41"/>
      <c r="C248" s="41"/>
    </row>
    <row r="249">
      <c r="A249" s="41"/>
      <c r="B249" s="41"/>
      <c r="C249" s="41"/>
    </row>
    <row r="250">
      <c r="A250" s="41"/>
      <c r="B250" s="41"/>
      <c r="C250" s="41"/>
    </row>
    <row r="251">
      <c r="A251" s="41"/>
      <c r="B251" s="41"/>
      <c r="C251" s="41"/>
    </row>
    <row r="252">
      <c r="A252" s="41"/>
      <c r="B252" s="41"/>
      <c r="C252" s="41"/>
    </row>
    <row r="253">
      <c r="A253" s="41"/>
      <c r="B253" s="41"/>
      <c r="C253" s="41"/>
    </row>
    <row r="254">
      <c r="A254" s="41"/>
      <c r="B254" s="41"/>
      <c r="C254" s="41"/>
    </row>
    <row r="255">
      <c r="A255" s="41"/>
      <c r="B255" s="41"/>
      <c r="C255" s="41"/>
    </row>
    <row r="256">
      <c r="A256" s="41"/>
      <c r="B256" s="41"/>
      <c r="C256" s="41"/>
    </row>
    <row r="257">
      <c r="A257" s="41"/>
      <c r="B257" s="41"/>
      <c r="C257" s="41"/>
    </row>
    <row r="258">
      <c r="A258" s="41"/>
      <c r="B258" s="41"/>
      <c r="C258" s="41"/>
    </row>
    <row r="259">
      <c r="A259" s="41"/>
      <c r="B259" s="41"/>
      <c r="C259" s="41"/>
    </row>
    <row r="260">
      <c r="A260" s="41"/>
      <c r="B260" s="41"/>
      <c r="C260" s="41"/>
    </row>
    <row r="261">
      <c r="A261" s="41"/>
      <c r="B261" s="41"/>
      <c r="C261" s="41"/>
    </row>
    <row r="262">
      <c r="A262" s="41"/>
      <c r="B262" s="41"/>
      <c r="C262" s="41"/>
    </row>
    <row r="263">
      <c r="A263" s="41"/>
      <c r="B263" s="41"/>
      <c r="C263" s="41"/>
    </row>
    <row r="264">
      <c r="A264" s="41"/>
      <c r="B264" s="41"/>
      <c r="C264" s="41"/>
    </row>
    <row r="265">
      <c r="A265" s="41"/>
      <c r="B265" s="41"/>
      <c r="C265" s="41"/>
    </row>
    <row r="266">
      <c r="A266" s="41"/>
      <c r="B266" s="41"/>
      <c r="C266" s="41"/>
    </row>
    <row r="267">
      <c r="A267" s="41"/>
      <c r="B267" s="41"/>
      <c r="C267" s="41"/>
    </row>
    <row r="268">
      <c r="A268" s="41"/>
      <c r="B268" s="41"/>
      <c r="C268" s="41"/>
    </row>
    <row r="269">
      <c r="A269" s="41"/>
      <c r="B269" s="41"/>
      <c r="C269" s="41"/>
    </row>
    <row r="270">
      <c r="A270" s="41"/>
      <c r="B270" s="41"/>
      <c r="C270" s="41"/>
    </row>
    <row r="271">
      <c r="A271" s="41"/>
      <c r="B271" s="41"/>
      <c r="C271" s="41"/>
    </row>
    <row r="272">
      <c r="A272" s="41"/>
      <c r="B272" s="41"/>
      <c r="C272" s="41"/>
    </row>
    <row r="273">
      <c r="A273" s="41"/>
      <c r="B273" s="41"/>
      <c r="C273" s="41"/>
    </row>
    <row r="274">
      <c r="A274" s="41"/>
      <c r="B274" s="41"/>
      <c r="C274" s="41"/>
    </row>
    <row r="275">
      <c r="A275" s="41"/>
      <c r="B275" s="41"/>
      <c r="C275" s="41"/>
    </row>
    <row r="276">
      <c r="A276" s="41"/>
      <c r="B276" s="41"/>
      <c r="C276" s="41"/>
    </row>
    <row r="277">
      <c r="A277" s="41"/>
      <c r="B277" s="41"/>
      <c r="C277" s="41"/>
    </row>
    <row r="278">
      <c r="A278" s="41"/>
      <c r="B278" s="41"/>
      <c r="C278" s="41"/>
    </row>
    <row r="279">
      <c r="A279" s="41"/>
      <c r="B279" s="41"/>
      <c r="C279" s="41"/>
    </row>
    <row r="280">
      <c r="A280" s="41"/>
      <c r="B280" s="41"/>
      <c r="C280" s="41"/>
    </row>
    <row r="281">
      <c r="A281" s="41"/>
      <c r="B281" s="41"/>
      <c r="C281" s="41"/>
    </row>
    <row r="282">
      <c r="A282" s="41"/>
      <c r="B282" s="41"/>
      <c r="C282" s="41"/>
    </row>
    <row r="283">
      <c r="A283" s="41"/>
      <c r="B283" s="41"/>
      <c r="C283" s="41"/>
    </row>
    <row r="284">
      <c r="A284" s="41"/>
      <c r="B284" s="41"/>
      <c r="C284" s="41"/>
    </row>
    <row r="285">
      <c r="A285" s="41"/>
      <c r="B285" s="41"/>
      <c r="C285" s="41"/>
    </row>
    <row r="286">
      <c r="A286" s="41"/>
      <c r="B286" s="41"/>
      <c r="C286" s="41"/>
    </row>
    <row r="287">
      <c r="A287" s="41"/>
      <c r="B287" s="41"/>
      <c r="C287" s="41"/>
    </row>
    <row r="288">
      <c r="A288" s="41"/>
      <c r="B288" s="41"/>
      <c r="C288" s="41"/>
    </row>
    <row r="289">
      <c r="A289" s="41"/>
      <c r="B289" s="41"/>
      <c r="C289" s="41"/>
    </row>
    <row r="290">
      <c r="A290" s="41"/>
      <c r="B290" s="41"/>
      <c r="C290" s="41"/>
    </row>
    <row r="291">
      <c r="A291" s="41"/>
      <c r="B291" s="41"/>
      <c r="C291" s="41"/>
    </row>
    <row r="292">
      <c r="A292" s="41"/>
      <c r="B292" s="41"/>
      <c r="C292" s="41"/>
    </row>
    <row r="293">
      <c r="A293" s="41"/>
      <c r="B293" s="41"/>
      <c r="C293" s="41"/>
    </row>
    <row r="294">
      <c r="A294" s="41"/>
      <c r="B294" s="41"/>
      <c r="C294" s="41"/>
    </row>
    <row r="295">
      <c r="A295" s="41"/>
      <c r="B295" s="41"/>
      <c r="C295" s="41"/>
    </row>
    <row r="296">
      <c r="A296" s="41"/>
      <c r="B296" s="41"/>
      <c r="C296" s="41"/>
    </row>
    <row r="297">
      <c r="A297" s="41"/>
      <c r="B297" s="41"/>
      <c r="C297" s="41"/>
    </row>
    <row r="298">
      <c r="A298" s="41"/>
      <c r="B298" s="41"/>
      <c r="C298" s="41"/>
    </row>
    <row r="299">
      <c r="A299" s="41"/>
      <c r="B299" s="41"/>
      <c r="C299" s="41"/>
    </row>
    <row r="300">
      <c r="A300" s="41"/>
      <c r="B300" s="41"/>
      <c r="C300" s="41"/>
    </row>
    <row r="301">
      <c r="A301" s="41"/>
      <c r="B301" s="41"/>
      <c r="C301" s="41"/>
    </row>
    <row r="302">
      <c r="A302" s="41"/>
      <c r="B302" s="41"/>
      <c r="C302" s="41"/>
    </row>
    <row r="303">
      <c r="A303" s="41"/>
      <c r="B303" s="41"/>
      <c r="C303" s="41"/>
    </row>
    <row r="304">
      <c r="A304" s="41"/>
      <c r="B304" s="41"/>
      <c r="C304" s="41"/>
    </row>
    <row r="305">
      <c r="A305" s="41"/>
      <c r="B305" s="41"/>
      <c r="C305" s="41"/>
    </row>
    <row r="306">
      <c r="A306" s="41"/>
      <c r="B306" s="41"/>
      <c r="C306" s="41"/>
    </row>
    <row r="307">
      <c r="A307" s="41"/>
      <c r="B307" s="41"/>
      <c r="C307" s="41"/>
    </row>
    <row r="308">
      <c r="A308" s="41"/>
      <c r="B308" s="41"/>
      <c r="C308" s="41"/>
    </row>
    <row r="309">
      <c r="A309" s="41"/>
      <c r="B309" s="41"/>
      <c r="C309" s="41"/>
    </row>
    <row r="310">
      <c r="A310" s="41"/>
      <c r="B310" s="41"/>
      <c r="C310" s="41"/>
    </row>
    <row r="311">
      <c r="A311" s="41"/>
      <c r="B311" s="41"/>
      <c r="C311" s="41"/>
    </row>
    <row r="312">
      <c r="A312" s="41"/>
      <c r="B312" s="41"/>
      <c r="C312" s="41"/>
    </row>
    <row r="313">
      <c r="A313" s="41"/>
      <c r="B313" s="41"/>
      <c r="C313" s="41"/>
    </row>
    <row r="314">
      <c r="A314" s="41"/>
      <c r="B314" s="41"/>
      <c r="C314" s="41"/>
    </row>
    <row r="315">
      <c r="A315" s="41"/>
      <c r="B315" s="41"/>
      <c r="C315" s="41"/>
    </row>
    <row r="316">
      <c r="A316" s="41"/>
      <c r="B316" s="41"/>
      <c r="C316" s="41"/>
    </row>
    <row r="317">
      <c r="A317" s="41"/>
      <c r="B317" s="41"/>
      <c r="C317" s="41"/>
    </row>
    <row r="318">
      <c r="A318" s="41"/>
      <c r="B318" s="41"/>
      <c r="C318" s="41"/>
    </row>
    <row r="319">
      <c r="A319" s="41"/>
      <c r="B319" s="41"/>
      <c r="C319" s="41"/>
    </row>
    <row r="320">
      <c r="A320" s="41"/>
      <c r="B320" s="41"/>
      <c r="C320" s="41"/>
    </row>
    <row r="321">
      <c r="A321" s="41"/>
      <c r="B321" s="41"/>
      <c r="C321" s="41"/>
    </row>
    <row r="322">
      <c r="A322" s="41"/>
      <c r="B322" s="41"/>
      <c r="C322" s="41"/>
    </row>
    <row r="323">
      <c r="A323" s="41"/>
      <c r="B323" s="41"/>
      <c r="C323" s="41"/>
    </row>
    <row r="324">
      <c r="A324" s="41"/>
      <c r="B324" s="41"/>
      <c r="C324" s="41"/>
    </row>
    <row r="325">
      <c r="A325" s="41"/>
      <c r="B325" s="41"/>
      <c r="C325" s="41"/>
    </row>
    <row r="326">
      <c r="A326" s="41"/>
      <c r="B326" s="41"/>
      <c r="C326" s="41"/>
    </row>
    <row r="327">
      <c r="A327" s="41"/>
      <c r="B327" s="41"/>
      <c r="C327" s="41"/>
    </row>
    <row r="328">
      <c r="A328" s="41"/>
      <c r="B328" s="41"/>
      <c r="C328" s="41"/>
    </row>
    <row r="329">
      <c r="A329" s="41"/>
      <c r="B329" s="41"/>
      <c r="C329" s="41"/>
    </row>
    <row r="330">
      <c r="A330" s="41"/>
      <c r="B330" s="41"/>
      <c r="C330" s="41"/>
    </row>
    <row r="331">
      <c r="A331" s="41"/>
      <c r="B331" s="41"/>
      <c r="C331" s="41"/>
    </row>
    <row r="332">
      <c r="A332" s="41"/>
      <c r="B332" s="41"/>
      <c r="C332" s="41"/>
    </row>
    <row r="333">
      <c r="A333" s="41"/>
      <c r="B333" s="41"/>
      <c r="C333" s="41"/>
    </row>
    <row r="334">
      <c r="A334" s="41"/>
      <c r="B334" s="41"/>
      <c r="C334" s="41"/>
    </row>
    <row r="335">
      <c r="A335" s="41"/>
      <c r="B335" s="41"/>
      <c r="C335" s="41"/>
    </row>
    <row r="336">
      <c r="A336" s="41"/>
      <c r="B336" s="41"/>
      <c r="C336" s="41"/>
    </row>
    <row r="337">
      <c r="A337" s="41"/>
      <c r="B337" s="41"/>
      <c r="C337" s="41"/>
    </row>
    <row r="338">
      <c r="A338" s="41"/>
      <c r="B338" s="41"/>
      <c r="C338" s="41"/>
    </row>
    <row r="339">
      <c r="A339" s="41"/>
      <c r="B339" s="41"/>
      <c r="C339" s="41"/>
    </row>
    <row r="340">
      <c r="A340" s="41"/>
      <c r="B340" s="41"/>
      <c r="C340" s="41"/>
    </row>
    <row r="341">
      <c r="A341" s="41"/>
      <c r="B341" s="41"/>
      <c r="C341" s="41"/>
    </row>
    <row r="342">
      <c r="A342" s="41"/>
      <c r="B342" s="41"/>
      <c r="C342" s="41"/>
    </row>
    <row r="343">
      <c r="A343" s="41"/>
      <c r="B343" s="41"/>
      <c r="C343" s="41"/>
    </row>
    <row r="344">
      <c r="A344" s="41"/>
      <c r="B344" s="41"/>
      <c r="C344" s="41"/>
    </row>
    <row r="345">
      <c r="A345" s="41"/>
      <c r="B345" s="41"/>
      <c r="C345" s="41"/>
    </row>
    <row r="346">
      <c r="A346" s="41"/>
      <c r="B346" s="41"/>
      <c r="C346" s="41"/>
    </row>
    <row r="347">
      <c r="A347" s="41"/>
      <c r="B347" s="41"/>
      <c r="C347" s="41"/>
    </row>
    <row r="348">
      <c r="A348" s="41"/>
      <c r="B348" s="41"/>
      <c r="C348" s="41"/>
    </row>
    <row r="349">
      <c r="A349" s="41"/>
      <c r="B349" s="41"/>
      <c r="C349" s="41"/>
    </row>
    <row r="350">
      <c r="A350" s="41"/>
      <c r="B350" s="41"/>
      <c r="C350" s="41"/>
    </row>
    <row r="351">
      <c r="A351" s="41"/>
      <c r="B351" s="41"/>
      <c r="C351" s="41"/>
    </row>
    <row r="352">
      <c r="A352" s="41"/>
      <c r="B352" s="41"/>
      <c r="C352" s="41"/>
    </row>
    <row r="353">
      <c r="A353" s="41"/>
      <c r="B353" s="41"/>
      <c r="C353" s="41"/>
    </row>
    <row r="354">
      <c r="A354" s="41"/>
      <c r="B354" s="41"/>
      <c r="C354" s="41"/>
    </row>
    <row r="355">
      <c r="A355" s="41"/>
      <c r="B355" s="41"/>
      <c r="C355" s="41"/>
    </row>
    <row r="356">
      <c r="A356" s="41"/>
      <c r="B356" s="41"/>
      <c r="C356" s="41"/>
    </row>
    <row r="357">
      <c r="A357" s="41"/>
      <c r="B357" s="41"/>
      <c r="C357" s="41"/>
    </row>
    <row r="358">
      <c r="A358" s="41"/>
      <c r="B358" s="41"/>
      <c r="C358" s="41"/>
    </row>
    <row r="359">
      <c r="A359" s="41"/>
      <c r="B359" s="41"/>
      <c r="C359" s="41"/>
    </row>
    <row r="360">
      <c r="A360" s="41"/>
      <c r="B360" s="41"/>
      <c r="C360" s="41"/>
    </row>
    <row r="361">
      <c r="A361" s="41"/>
      <c r="B361" s="41"/>
      <c r="C361" s="41"/>
    </row>
    <row r="362">
      <c r="A362" s="41"/>
      <c r="B362" s="41"/>
      <c r="C362" s="41"/>
    </row>
    <row r="363">
      <c r="A363" s="41"/>
      <c r="B363" s="41"/>
      <c r="C363" s="41"/>
    </row>
    <row r="364">
      <c r="A364" s="41"/>
      <c r="B364" s="41"/>
      <c r="C364" s="41"/>
    </row>
    <row r="365">
      <c r="A365" s="41"/>
      <c r="B365" s="41"/>
      <c r="C365" s="41"/>
    </row>
    <row r="366">
      <c r="A366" s="41"/>
      <c r="B366" s="41"/>
      <c r="C366" s="41"/>
    </row>
    <row r="367">
      <c r="A367" s="41"/>
      <c r="B367" s="41"/>
      <c r="C367" s="41"/>
    </row>
    <row r="368">
      <c r="A368" s="41"/>
      <c r="B368" s="41"/>
      <c r="C368" s="41"/>
    </row>
    <row r="369">
      <c r="A369" s="41"/>
      <c r="B369" s="41"/>
      <c r="C369" s="41"/>
    </row>
    <row r="370">
      <c r="A370" s="41"/>
      <c r="B370" s="41"/>
      <c r="C370" s="41"/>
    </row>
    <row r="371">
      <c r="A371" s="41"/>
      <c r="B371" s="41"/>
      <c r="C371" s="41"/>
    </row>
    <row r="372">
      <c r="A372" s="41"/>
      <c r="B372" s="41"/>
      <c r="C372" s="41"/>
    </row>
    <row r="373">
      <c r="A373" s="41"/>
      <c r="B373" s="41"/>
      <c r="C373" s="41"/>
    </row>
    <row r="374">
      <c r="A374" s="41"/>
      <c r="B374" s="41"/>
      <c r="C374" s="41"/>
    </row>
    <row r="375">
      <c r="A375" s="41"/>
      <c r="B375" s="41"/>
      <c r="C375" s="41"/>
    </row>
    <row r="376">
      <c r="A376" s="41"/>
      <c r="B376" s="41"/>
      <c r="C376" s="41"/>
    </row>
    <row r="377">
      <c r="A377" s="41"/>
      <c r="B377" s="41"/>
      <c r="C377" s="41"/>
    </row>
    <row r="378">
      <c r="A378" s="41"/>
      <c r="B378" s="41"/>
      <c r="C378" s="41"/>
    </row>
    <row r="379">
      <c r="A379" s="41"/>
      <c r="B379" s="41"/>
      <c r="C379" s="41"/>
    </row>
    <row r="380">
      <c r="A380" s="41"/>
      <c r="B380" s="41"/>
      <c r="C380" s="41"/>
    </row>
    <row r="381">
      <c r="A381" s="41"/>
      <c r="B381" s="41"/>
      <c r="C381" s="41"/>
    </row>
    <row r="382">
      <c r="A382" s="41"/>
      <c r="B382" s="41"/>
      <c r="C382" s="41"/>
    </row>
    <row r="383">
      <c r="A383" s="41"/>
      <c r="B383" s="41"/>
      <c r="C383" s="41"/>
    </row>
    <row r="384">
      <c r="A384" s="41"/>
      <c r="B384" s="41"/>
      <c r="C384" s="41"/>
    </row>
    <row r="385">
      <c r="A385" s="41"/>
      <c r="B385" s="41"/>
      <c r="C385" s="41"/>
    </row>
    <row r="386">
      <c r="A386" s="41"/>
      <c r="B386" s="41"/>
      <c r="C386" s="41"/>
    </row>
    <row r="387">
      <c r="A387" s="41"/>
      <c r="B387" s="41"/>
      <c r="C387" s="41"/>
    </row>
    <row r="388">
      <c r="A388" s="41"/>
      <c r="B388" s="41"/>
      <c r="C388" s="41"/>
    </row>
    <row r="389">
      <c r="A389" s="41"/>
      <c r="B389" s="41"/>
      <c r="C389" s="41"/>
    </row>
    <row r="390">
      <c r="A390" s="41"/>
      <c r="B390" s="41"/>
      <c r="C390" s="41"/>
    </row>
    <row r="391">
      <c r="A391" s="41"/>
      <c r="B391" s="41"/>
      <c r="C391" s="41"/>
    </row>
    <row r="392">
      <c r="A392" s="41"/>
      <c r="B392" s="41"/>
      <c r="C392" s="41"/>
    </row>
    <row r="393">
      <c r="A393" s="41"/>
      <c r="B393" s="41"/>
      <c r="C393" s="41"/>
    </row>
    <row r="394">
      <c r="A394" s="41"/>
      <c r="B394" s="41"/>
      <c r="C394" s="41"/>
    </row>
    <row r="395">
      <c r="A395" s="41"/>
      <c r="B395" s="41"/>
      <c r="C395" s="41"/>
    </row>
    <row r="396">
      <c r="A396" s="41"/>
      <c r="B396" s="41"/>
      <c r="C396" s="41"/>
    </row>
    <row r="397">
      <c r="A397" s="41"/>
      <c r="B397" s="41"/>
      <c r="C397" s="41"/>
    </row>
    <row r="398">
      <c r="A398" s="41"/>
      <c r="B398" s="41"/>
      <c r="C398" s="41"/>
    </row>
    <row r="399">
      <c r="A399" s="41"/>
      <c r="B399" s="41"/>
      <c r="C399" s="41"/>
    </row>
    <row r="400">
      <c r="A400" s="41"/>
      <c r="B400" s="41"/>
      <c r="C400" s="41"/>
    </row>
    <row r="401">
      <c r="A401" s="41"/>
      <c r="B401" s="41"/>
      <c r="C401" s="41"/>
    </row>
    <row r="402">
      <c r="A402" s="41"/>
      <c r="B402" s="41"/>
      <c r="C402" s="41"/>
    </row>
    <row r="403">
      <c r="A403" s="41"/>
      <c r="B403" s="41"/>
      <c r="C403" s="41"/>
    </row>
    <row r="404">
      <c r="A404" s="41"/>
      <c r="B404" s="41"/>
      <c r="C404" s="41"/>
    </row>
    <row r="405">
      <c r="A405" s="41"/>
      <c r="B405" s="41"/>
      <c r="C405" s="41"/>
    </row>
    <row r="406">
      <c r="A406" s="41"/>
      <c r="B406" s="41"/>
      <c r="C406" s="41"/>
    </row>
    <row r="407">
      <c r="A407" s="41"/>
      <c r="B407" s="41"/>
      <c r="C407" s="41"/>
    </row>
    <row r="408">
      <c r="A408" s="41"/>
      <c r="B408" s="41"/>
      <c r="C408" s="41"/>
    </row>
    <row r="409">
      <c r="A409" s="41"/>
      <c r="B409" s="41"/>
      <c r="C409" s="41"/>
    </row>
    <row r="410">
      <c r="A410" s="41"/>
      <c r="B410" s="41"/>
      <c r="C410" s="41"/>
    </row>
    <row r="411">
      <c r="A411" s="41"/>
      <c r="B411" s="41"/>
      <c r="C411" s="41"/>
    </row>
    <row r="412">
      <c r="A412" s="41"/>
      <c r="B412" s="41"/>
      <c r="C412" s="41"/>
    </row>
    <row r="413">
      <c r="A413" s="41"/>
      <c r="B413" s="41"/>
      <c r="C413" s="41"/>
    </row>
    <row r="414">
      <c r="A414" s="41"/>
      <c r="B414" s="41"/>
      <c r="C414" s="41"/>
    </row>
    <row r="415">
      <c r="A415" s="41"/>
      <c r="B415" s="41"/>
      <c r="C415" s="41"/>
    </row>
    <row r="416">
      <c r="A416" s="41"/>
      <c r="B416" s="41"/>
      <c r="C416" s="41"/>
    </row>
    <row r="417">
      <c r="A417" s="41"/>
      <c r="B417" s="41"/>
      <c r="C417" s="41"/>
    </row>
    <row r="418">
      <c r="A418" s="41"/>
      <c r="B418" s="41"/>
      <c r="C418" s="41"/>
    </row>
    <row r="419">
      <c r="A419" s="41"/>
      <c r="B419" s="41"/>
      <c r="C419" s="41"/>
    </row>
    <row r="420">
      <c r="A420" s="41"/>
      <c r="B420" s="41"/>
      <c r="C420" s="41"/>
    </row>
    <row r="421">
      <c r="A421" s="41"/>
      <c r="B421" s="41"/>
      <c r="C421" s="41"/>
    </row>
    <row r="422">
      <c r="A422" s="41"/>
      <c r="B422" s="41"/>
      <c r="C422" s="41"/>
    </row>
    <row r="423">
      <c r="A423" s="41"/>
      <c r="B423" s="41"/>
      <c r="C423" s="41"/>
    </row>
    <row r="424">
      <c r="A424" s="41"/>
      <c r="B424" s="41"/>
      <c r="C424" s="41"/>
    </row>
    <row r="425">
      <c r="A425" s="41"/>
      <c r="B425" s="41"/>
      <c r="C425" s="41"/>
    </row>
    <row r="426">
      <c r="A426" s="41"/>
      <c r="B426" s="41"/>
      <c r="C426" s="41"/>
    </row>
    <row r="427">
      <c r="A427" s="41"/>
      <c r="B427" s="41"/>
      <c r="C427" s="41"/>
    </row>
    <row r="428">
      <c r="A428" s="41"/>
      <c r="B428" s="41"/>
      <c r="C428" s="41"/>
    </row>
    <row r="429">
      <c r="A429" s="41"/>
      <c r="B429" s="41"/>
      <c r="C429" s="41"/>
    </row>
    <row r="430">
      <c r="A430" s="41"/>
      <c r="B430" s="41"/>
      <c r="C430" s="41"/>
    </row>
    <row r="431">
      <c r="A431" s="41"/>
      <c r="B431" s="41"/>
      <c r="C431" s="41"/>
    </row>
    <row r="432">
      <c r="A432" s="41"/>
      <c r="B432" s="41"/>
      <c r="C432" s="41"/>
    </row>
    <row r="433">
      <c r="A433" s="41"/>
      <c r="B433" s="41"/>
      <c r="C433" s="41"/>
    </row>
    <row r="434">
      <c r="A434" s="41"/>
      <c r="B434" s="41"/>
      <c r="C434" s="41"/>
    </row>
    <row r="435">
      <c r="A435" s="41"/>
      <c r="B435" s="41"/>
      <c r="C435" s="41"/>
    </row>
    <row r="436">
      <c r="A436" s="41"/>
      <c r="B436" s="41"/>
      <c r="C436" s="41"/>
    </row>
    <row r="437">
      <c r="A437" s="41"/>
      <c r="B437" s="41"/>
      <c r="C437" s="41"/>
    </row>
    <row r="438">
      <c r="A438" s="41"/>
      <c r="B438" s="41"/>
      <c r="C438" s="41"/>
    </row>
    <row r="439">
      <c r="A439" s="41"/>
      <c r="B439" s="41"/>
      <c r="C439" s="41"/>
    </row>
    <row r="440">
      <c r="A440" s="41"/>
      <c r="B440" s="41"/>
      <c r="C440" s="41"/>
    </row>
    <row r="441">
      <c r="A441" s="41"/>
      <c r="B441" s="41"/>
      <c r="C441" s="41"/>
    </row>
    <row r="442">
      <c r="A442" s="41"/>
      <c r="B442" s="41"/>
      <c r="C442" s="41"/>
    </row>
    <row r="443">
      <c r="A443" s="41"/>
      <c r="B443" s="41"/>
      <c r="C443" s="41"/>
    </row>
    <row r="444">
      <c r="A444" s="41"/>
      <c r="B444" s="41"/>
      <c r="C444" s="41"/>
    </row>
    <row r="445">
      <c r="A445" s="41"/>
      <c r="B445" s="41"/>
      <c r="C445" s="41"/>
    </row>
    <row r="446">
      <c r="A446" s="41"/>
      <c r="B446" s="41"/>
      <c r="C446" s="41"/>
    </row>
    <row r="447">
      <c r="A447" s="41"/>
      <c r="B447" s="41"/>
      <c r="C447" s="41"/>
    </row>
    <row r="448">
      <c r="A448" s="41"/>
      <c r="B448" s="41"/>
      <c r="C448" s="41"/>
    </row>
    <row r="449">
      <c r="A449" s="41"/>
      <c r="B449" s="41"/>
      <c r="C449" s="41"/>
    </row>
    <row r="450">
      <c r="A450" s="41"/>
      <c r="B450" s="41"/>
      <c r="C450" s="41"/>
    </row>
    <row r="451">
      <c r="A451" s="41"/>
      <c r="B451" s="41"/>
      <c r="C451" s="41"/>
    </row>
    <row r="452">
      <c r="A452" s="41"/>
      <c r="B452" s="41"/>
      <c r="C452" s="41"/>
    </row>
    <row r="453">
      <c r="A453" s="41"/>
      <c r="B453" s="41"/>
      <c r="C453" s="41"/>
    </row>
    <row r="454">
      <c r="A454" s="41"/>
      <c r="B454" s="41"/>
      <c r="C454" s="41"/>
    </row>
    <row r="455">
      <c r="A455" s="41"/>
      <c r="B455" s="41"/>
      <c r="C455" s="41"/>
    </row>
    <row r="456">
      <c r="A456" s="41"/>
      <c r="B456" s="41"/>
      <c r="C456" s="41"/>
    </row>
    <row r="457">
      <c r="A457" s="41"/>
      <c r="B457" s="41"/>
      <c r="C457" s="41"/>
    </row>
    <row r="458">
      <c r="A458" s="41"/>
      <c r="B458" s="41"/>
      <c r="C458" s="41"/>
    </row>
    <row r="459">
      <c r="A459" s="41"/>
      <c r="B459" s="41"/>
      <c r="C459" s="41"/>
    </row>
    <row r="460">
      <c r="A460" s="41"/>
      <c r="B460" s="41"/>
      <c r="C460" s="41"/>
    </row>
    <row r="461">
      <c r="A461" s="41"/>
      <c r="B461" s="41"/>
      <c r="C461" s="41"/>
    </row>
    <row r="462">
      <c r="A462" s="41"/>
      <c r="B462" s="41"/>
      <c r="C462" s="41"/>
    </row>
    <row r="463">
      <c r="A463" s="41"/>
      <c r="B463" s="41"/>
      <c r="C463" s="41"/>
    </row>
    <row r="464">
      <c r="A464" s="41"/>
      <c r="B464" s="41"/>
      <c r="C464" s="41"/>
    </row>
    <row r="465">
      <c r="A465" s="41"/>
      <c r="B465" s="41"/>
      <c r="C465" s="41"/>
    </row>
    <row r="466">
      <c r="A466" s="41"/>
      <c r="B466" s="41"/>
      <c r="C466" s="41"/>
    </row>
    <row r="467">
      <c r="A467" s="41"/>
      <c r="B467" s="41"/>
      <c r="C467" s="41"/>
    </row>
    <row r="468">
      <c r="A468" s="41"/>
      <c r="B468" s="41"/>
      <c r="C468" s="41"/>
    </row>
    <row r="469">
      <c r="A469" s="41"/>
      <c r="B469" s="41"/>
      <c r="C469" s="41"/>
    </row>
    <row r="470">
      <c r="A470" s="41"/>
      <c r="B470" s="41"/>
      <c r="C470" s="41"/>
    </row>
    <row r="471">
      <c r="A471" s="41"/>
      <c r="B471" s="41"/>
      <c r="C471" s="41"/>
    </row>
    <row r="472">
      <c r="A472" s="41"/>
      <c r="B472" s="41"/>
      <c r="C472" s="41"/>
    </row>
    <row r="473">
      <c r="A473" s="41"/>
      <c r="B473" s="41"/>
      <c r="C473" s="41"/>
    </row>
    <row r="474">
      <c r="A474" s="41"/>
      <c r="B474" s="41"/>
      <c r="C474" s="41"/>
    </row>
    <row r="475">
      <c r="A475" s="41"/>
      <c r="B475" s="41"/>
      <c r="C475" s="41"/>
    </row>
    <row r="476">
      <c r="A476" s="41"/>
      <c r="B476" s="41"/>
      <c r="C476" s="41"/>
    </row>
    <row r="477">
      <c r="A477" s="41"/>
      <c r="B477" s="41"/>
      <c r="C477" s="41"/>
    </row>
    <row r="478">
      <c r="A478" s="41"/>
      <c r="B478" s="41"/>
      <c r="C478" s="41"/>
    </row>
    <row r="479">
      <c r="A479" s="41"/>
      <c r="B479" s="41"/>
      <c r="C479" s="41"/>
    </row>
    <row r="480">
      <c r="A480" s="41"/>
      <c r="B480" s="41"/>
      <c r="C480" s="41"/>
    </row>
    <row r="481">
      <c r="A481" s="41"/>
      <c r="B481" s="41"/>
      <c r="C481" s="41"/>
    </row>
    <row r="482">
      <c r="A482" s="41"/>
      <c r="B482" s="41"/>
      <c r="C482" s="41"/>
    </row>
    <row r="483">
      <c r="A483" s="41"/>
      <c r="B483" s="41"/>
      <c r="C483" s="41"/>
    </row>
    <row r="484">
      <c r="A484" s="41"/>
      <c r="B484" s="41"/>
      <c r="C484" s="41"/>
    </row>
    <row r="485">
      <c r="A485" s="41"/>
      <c r="B485" s="41"/>
      <c r="C485" s="41"/>
    </row>
    <row r="486">
      <c r="A486" s="41"/>
      <c r="B486" s="41"/>
      <c r="C486" s="41"/>
    </row>
    <row r="487">
      <c r="A487" s="41"/>
      <c r="B487" s="41"/>
      <c r="C487" s="41"/>
    </row>
    <row r="488">
      <c r="A488" s="41"/>
      <c r="B488" s="41"/>
      <c r="C488" s="41"/>
    </row>
    <row r="489">
      <c r="A489" s="41"/>
      <c r="B489" s="41"/>
      <c r="C489" s="41"/>
    </row>
    <row r="490">
      <c r="A490" s="41"/>
      <c r="B490" s="41"/>
      <c r="C490" s="41"/>
    </row>
    <row r="491">
      <c r="A491" s="41"/>
      <c r="B491" s="41"/>
      <c r="C491" s="41"/>
    </row>
    <row r="492">
      <c r="A492" s="41"/>
      <c r="B492" s="41"/>
      <c r="C492" s="41"/>
    </row>
    <row r="493">
      <c r="A493" s="41"/>
      <c r="B493" s="41"/>
      <c r="C493" s="41"/>
    </row>
    <row r="494">
      <c r="A494" s="41"/>
      <c r="B494" s="41"/>
      <c r="C494" s="41"/>
    </row>
    <row r="495">
      <c r="A495" s="41"/>
      <c r="B495" s="41"/>
      <c r="C495" s="41"/>
    </row>
    <row r="496">
      <c r="A496" s="41"/>
      <c r="B496" s="41"/>
      <c r="C496" s="41"/>
    </row>
    <row r="497">
      <c r="A497" s="41"/>
      <c r="B497" s="41"/>
      <c r="C497" s="41"/>
    </row>
    <row r="498">
      <c r="A498" s="41"/>
      <c r="B498" s="41"/>
      <c r="C498" s="41"/>
    </row>
    <row r="499">
      <c r="A499" s="41"/>
      <c r="B499" s="41"/>
      <c r="C499" s="41"/>
    </row>
    <row r="500">
      <c r="A500" s="41"/>
      <c r="B500" s="41"/>
      <c r="C500" s="41"/>
    </row>
    <row r="501">
      <c r="A501" s="41"/>
      <c r="B501" s="41"/>
      <c r="C501" s="41"/>
    </row>
    <row r="502">
      <c r="A502" s="41"/>
      <c r="B502" s="41"/>
      <c r="C502" s="41"/>
    </row>
    <row r="503">
      <c r="A503" s="41"/>
      <c r="B503" s="41"/>
      <c r="C503" s="41"/>
    </row>
    <row r="504">
      <c r="A504" s="41"/>
      <c r="B504" s="41"/>
      <c r="C504" s="41"/>
    </row>
    <row r="505">
      <c r="A505" s="41"/>
      <c r="B505" s="41"/>
      <c r="C505" s="41"/>
    </row>
    <row r="506">
      <c r="A506" s="41"/>
      <c r="B506" s="41"/>
      <c r="C506" s="41"/>
    </row>
    <row r="507">
      <c r="A507" s="41"/>
      <c r="B507" s="41"/>
      <c r="C507" s="41"/>
    </row>
    <row r="508">
      <c r="A508" s="41"/>
      <c r="B508" s="41"/>
      <c r="C508" s="41"/>
    </row>
    <row r="509">
      <c r="A509" s="41"/>
      <c r="B509" s="41"/>
      <c r="C509" s="41"/>
    </row>
    <row r="510">
      <c r="A510" s="41"/>
      <c r="B510" s="41"/>
      <c r="C510" s="41"/>
    </row>
    <row r="511">
      <c r="A511" s="41"/>
      <c r="B511" s="41"/>
      <c r="C511" s="41"/>
    </row>
    <row r="512">
      <c r="A512" s="41"/>
      <c r="B512" s="41"/>
      <c r="C512" s="41"/>
    </row>
    <row r="513">
      <c r="A513" s="41"/>
      <c r="B513" s="41"/>
      <c r="C513" s="41"/>
    </row>
    <row r="514">
      <c r="A514" s="41"/>
      <c r="B514" s="41"/>
      <c r="C514" s="41"/>
    </row>
    <row r="515">
      <c r="A515" s="41"/>
      <c r="B515" s="41"/>
      <c r="C515" s="41"/>
    </row>
    <row r="516">
      <c r="A516" s="41"/>
      <c r="B516" s="41"/>
      <c r="C516" s="41"/>
    </row>
    <row r="517">
      <c r="A517" s="41"/>
      <c r="B517" s="41"/>
      <c r="C517" s="41"/>
    </row>
    <row r="518">
      <c r="A518" s="41"/>
      <c r="B518" s="41"/>
      <c r="C518" s="41"/>
    </row>
    <row r="519">
      <c r="A519" s="41"/>
      <c r="B519" s="41"/>
      <c r="C519" s="41"/>
    </row>
    <row r="520">
      <c r="A520" s="41"/>
      <c r="B520" s="41"/>
      <c r="C520" s="41"/>
    </row>
    <row r="521">
      <c r="A521" s="41"/>
      <c r="B521" s="41"/>
      <c r="C521" s="41"/>
    </row>
    <row r="522">
      <c r="A522" s="41"/>
      <c r="B522" s="41"/>
      <c r="C522" s="41"/>
    </row>
    <row r="523">
      <c r="A523" s="41"/>
      <c r="B523" s="41"/>
      <c r="C523" s="41"/>
    </row>
    <row r="524">
      <c r="A524" s="41"/>
      <c r="B524" s="41"/>
      <c r="C524" s="41"/>
    </row>
    <row r="525">
      <c r="A525" s="41"/>
      <c r="B525" s="41"/>
      <c r="C525" s="41"/>
    </row>
    <row r="526">
      <c r="A526" s="41"/>
      <c r="B526" s="41"/>
      <c r="C526" s="41"/>
    </row>
    <row r="527">
      <c r="A527" s="41"/>
      <c r="B527" s="41"/>
      <c r="C527" s="41"/>
    </row>
    <row r="528">
      <c r="A528" s="41"/>
      <c r="B528" s="41"/>
      <c r="C528" s="41"/>
    </row>
    <row r="529">
      <c r="A529" s="41"/>
      <c r="B529" s="41"/>
      <c r="C529" s="41"/>
    </row>
    <row r="530">
      <c r="A530" s="41"/>
      <c r="B530" s="41"/>
      <c r="C530" s="41"/>
    </row>
    <row r="531">
      <c r="A531" s="41"/>
      <c r="B531" s="41"/>
      <c r="C531" s="41"/>
    </row>
    <row r="532">
      <c r="A532" s="41"/>
      <c r="B532" s="41"/>
      <c r="C532" s="41"/>
    </row>
    <row r="533">
      <c r="A533" s="41"/>
      <c r="B533" s="41"/>
      <c r="C533" s="41"/>
    </row>
    <row r="534">
      <c r="A534" s="41"/>
      <c r="B534" s="41"/>
      <c r="C534" s="41"/>
    </row>
    <row r="535">
      <c r="A535" s="41"/>
      <c r="B535" s="41"/>
      <c r="C535" s="41"/>
    </row>
    <row r="536">
      <c r="A536" s="41"/>
      <c r="B536" s="41"/>
      <c r="C536" s="41"/>
    </row>
    <row r="537">
      <c r="A537" s="41"/>
      <c r="B537" s="41"/>
      <c r="C537" s="41"/>
    </row>
    <row r="538">
      <c r="A538" s="41"/>
      <c r="B538" s="41"/>
      <c r="C538" s="41"/>
    </row>
    <row r="539">
      <c r="A539" s="41"/>
      <c r="B539" s="41"/>
      <c r="C539" s="41"/>
    </row>
    <row r="540">
      <c r="A540" s="41"/>
      <c r="B540" s="41"/>
      <c r="C540" s="41"/>
    </row>
    <row r="541">
      <c r="A541" s="41"/>
      <c r="B541" s="41"/>
      <c r="C541" s="41"/>
    </row>
    <row r="542">
      <c r="A542" s="41"/>
      <c r="B542" s="41"/>
      <c r="C542" s="41"/>
    </row>
    <row r="543">
      <c r="A543" s="41"/>
      <c r="B543" s="41"/>
      <c r="C543" s="41"/>
    </row>
    <row r="544">
      <c r="A544" s="41"/>
      <c r="B544" s="41"/>
      <c r="C544" s="41"/>
    </row>
    <row r="545">
      <c r="A545" s="41"/>
      <c r="B545" s="41"/>
      <c r="C545" s="41"/>
    </row>
    <row r="546">
      <c r="A546" s="41"/>
      <c r="B546" s="41"/>
      <c r="C546" s="41"/>
    </row>
    <row r="547">
      <c r="A547" s="41"/>
      <c r="B547" s="41"/>
      <c r="C547" s="41"/>
    </row>
    <row r="548">
      <c r="A548" s="41"/>
      <c r="B548" s="41"/>
      <c r="C548" s="41"/>
    </row>
    <row r="549">
      <c r="A549" s="41"/>
      <c r="B549" s="41"/>
      <c r="C549" s="41"/>
    </row>
    <row r="550">
      <c r="A550" s="41"/>
      <c r="B550" s="41"/>
      <c r="C550" s="41"/>
    </row>
    <row r="551">
      <c r="A551" s="41"/>
      <c r="B551" s="41"/>
      <c r="C551" s="41"/>
    </row>
    <row r="552">
      <c r="A552" s="41"/>
      <c r="B552" s="41"/>
      <c r="C552" s="41"/>
    </row>
    <row r="553">
      <c r="A553" s="41"/>
      <c r="B553" s="41"/>
      <c r="C553" s="41"/>
    </row>
    <row r="554">
      <c r="A554" s="41"/>
      <c r="B554" s="41"/>
      <c r="C554" s="41"/>
    </row>
    <row r="555">
      <c r="A555" s="41"/>
      <c r="B555" s="41"/>
      <c r="C555" s="41"/>
    </row>
    <row r="556">
      <c r="A556" s="41"/>
      <c r="B556" s="41"/>
      <c r="C556" s="41"/>
    </row>
    <row r="557">
      <c r="A557" s="41"/>
      <c r="B557" s="41"/>
      <c r="C557" s="41"/>
    </row>
    <row r="558">
      <c r="A558" s="41"/>
      <c r="B558" s="41"/>
      <c r="C558" s="41"/>
    </row>
    <row r="559">
      <c r="A559" s="41"/>
      <c r="B559" s="41"/>
      <c r="C559" s="41"/>
    </row>
    <row r="560">
      <c r="A560" s="41"/>
      <c r="B560" s="41"/>
      <c r="C560" s="41"/>
    </row>
    <row r="561">
      <c r="A561" s="41"/>
      <c r="B561" s="41"/>
      <c r="C561" s="41"/>
    </row>
    <row r="562">
      <c r="A562" s="41"/>
      <c r="B562" s="41"/>
      <c r="C562" s="41"/>
    </row>
    <row r="563">
      <c r="A563" s="41"/>
      <c r="B563" s="41"/>
      <c r="C563" s="41"/>
    </row>
    <row r="564">
      <c r="A564" s="41"/>
      <c r="B564" s="41"/>
      <c r="C564" s="41"/>
    </row>
    <row r="565">
      <c r="A565" s="41"/>
      <c r="B565" s="41"/>
      <c r="C565" s="41"/>
    </row>
    <row r="566">
      <c r="A566" s="41"/>
      <c r="B566" s="41"/>
      <c r="C566" s="41"/>
    </row>
    <row r="567">
      <c r="A567" s="41"/>
      <c r="B567" s="41"/>
      <c r="C567" s="41"/>
    </row>
    <row r="568">
      <c r="A568" s="41"/>
      <c r="B568" s="41"/>
      <c r="C568" s="41"/>
    </row>
    <row r="569">
      <c r="A569" s="41"/>
      <c r="B569" s="41"/>
      <c r="C569" s="41"/>
    </row>
    <row r="570">
      <c r="A570" s="41"/>
      <c r="B570" s="41"/>
      <c r="C570" s="41"/>
    </row>
    <row r="571">
      <c r="A571" s="41"/>
      <c r="B571" s="41"/>
      <c r="C571" s="41"/>
    </row>
    <row r="572">
      <c r="A572" s="41"/>
      <c r="B572" s="41"/>
      <c r="C572" s="41"/>
    </row>
    <row r="573">
      <c r="A573" s="41"/>
      <c r="B573" s="41"/>
      <c r="C573" s="41"/>
    </row>
    <row r="574">
      <c r="A574" s="41"/>
      <c r="B574" s="41"/>
      <c r="C574" s="41"/>
    </row>
    <row r="575">
      <c r="A575" s="41"/>
      <c r="B575" s="41"/>
      <c r="C575" s="41"/>
    </row>
    <row r="576">
      <c r="A576" s="41"/>
      <c r="B576" s="41"/>
      <c r="C576" s="41"/>
    </row>
    <row r="577">
      <c r="A577" s="41"/>
      <c r="B577" s="41"/>
      <c r="C577" s="41"/>
    </row>
    <row r="578">
      <c r="A578" s="41"/>
      <c r="B578" s="41"/>
      <c r="C578" s="41"/>
    </row>
    <row r="579">
      <c r="A579" s="41"/>
      <c r="B579" s="41"/>
      <c r="C579" s="41"/>
    </row>
    <row r="580">
      <c r="A580" s="41"/>
      <c r="B580" s="41"/>
      <c r="C580" s="41"/>
    </row>
    <row r="581">
      <c r="A581" s="41"/>
      <c r="B581" s="41"/>
      <c r="C581" s="41"/>
    </row>
    <row r="582">
      <c r="A582" s="41"/>
      <c r="B582" s="41"/>
      <c r="C582" s="41"/>
    </row>
    <row r="583">
      <c r="A583" s="41"/>
      <c r="B583" s="41"/>
      <c r="C583" s="41"/>
    </row>
    <row r="584">
      <c r="A584" s="41"/>
      <c r="B584" s="41"/>
      <c r="C584" s="41"/>
    </row>
    <row r="585">
      <c r="A585" s="41"/>
      <c r="B585" s="41"/>
      <c r="C585" s="41"/>
    </row>
    <row r="586">
      <c r="A586" s="41"/>
      <c r="B586" s="41"/>
      <c r="C586" s="41"/>
    </row>
    <row r="587">
      <c r="A587" s="41"/>
      <c r="B587" s="41"/>
      <c r="C587" s="41"/>
    </row>
    <row r="588">
      <c r="A588" s="41"/>
      <c r="B588" s="41"/>
      <c r="C588" s="41"/>
    </row>
    <row r="589">
      <c r="A589" s="41"/>
      <c r="B589" s="41"/>
      <c r="C589" s="41"/>
    </row>
    <row r="590">
      <c r="A590" s="41"/>
      <c r="B590" s="41"/>
      <c r="C590" s="41"/>
    </row>
    <row r="591">
      <c r="A591" s="41"/>
      <c r="B591" s="41"/>
      <c r="C591" s="41"/>
    </row>
    <row r="592">
      <c r="A592" s="41"/>
      <c r="B592" s="41"/>
      <c r="C592" s="41"/>
    </row>
    <row r="593">
      <c r="A593" s="41"/>
      <c r="B593" s="41"/>
      <c r="C593" s="41"/>
    </row>
    <row r="594">
      <c r="A594" s="41"/>
      <c r="B594" s="41"/>
      <c r="C594" s="41"/>
    </row>
    <row r="595">
      <c r="A595" s="41"/>
      <c r="B595" s="41"/>
      <c r="C595" s="41"/>
    </row>
    <row r="596">
      <c r="A596" s="41"/>
      <c r="B596" s="41"/>
      <c r="C596" s="41"/>
    </row>
    <row r="597">
      <c r="A597" s="41"/>
      <c r="B597" s="41"/>
      <c r="C597" s="41"/>
    </row>
    <row r="598">
      <c r="A598" s="41"/>
      <c r="B598" s="41"/>
      <c r="C598" s="41"/>
    </row>
    <row r="599">
      <c r="A599" s="41"/>
      <c r="B599" s="41"/>
      <c r="C599" s="41"/>
    </row>
    <row r="600">
      <c r="A600" s="41"/>
      <c r="B600" s="41"/>
      <c r="C600" s="41"/>
    </row>
    <row r="601">
      <c r="A601" s="41"/>
      <c r="B601" s="41"/>
      <c r="C601" s="41"/>
    </row>
    <row r="602">
      <c r="A602" s="41"/>
      <c r="B602" s="41"/>
      <c r="C602" s="41"/>
    </row>
    <row r="603">
      <c r="A603" s="41"/>
      <c r="B603" s="41"/>
      <c r="C603" s="41"/>
    </row>
    <row r="604">
      <c r="A604" s="41"/>
      <c r="B604" s="41"/>
      <c r="C604" s="41"/>
    </row>
    <row r="605">
      <c r="A605" s="41"/>
      <c r="B605" s="41"/>
      <c r="C605" s="41"/>
    </row>
    <row r="606">
      <c r="A606" s="41"/>
      <c r="B606" s="41"/>
      <c r="C606" s="41"/>
    </row>
    <row r="607">
      <c r="A607" s="41"/>
      <c r="B607" s="41"/>
      <c r="C607" s="41"/>
    </row>
    <row r="608">
      <c r="A608" s="41"/>
      <c r="B608" s="41"/>
      <c r="C608" s="41"/>
    </row>
    <row r="609">
      <c r="A609" s="41"/>
      <c r="B609" s="41"/>
      <c r="C609" s="41"/>
    </row>
    <row r="610">
      <c r="A610" s="41"/>
      <c r="B610" s="41"/>
      <c r="C610" s="41"/>
    </row>
    <row r="611">
      <c r="A611" s="41"/>
      <c r="B611" s="41"/>
      <c r="C611" s="41"/>
    </row>
    <row r="612">
      <c r="A612" s="41"/>
      <c r="B612" s="41"/>
      <c r="C612" s="41"/>
    </row>
    <row r="613">
      <c r="A613" s="41"/>
      <c r="B613" s="41"/>
      <c r="C613" s="41"/>
    </row>
    <row r="614">
      <c r="A614" s="41"/>
      <c r="B614" s="41"/>
      <c r="C614" s="41"/>
    </row>
    <row r="615">
      <c r="A615" s="41"/>
      <c r="B615" s="41"/>
      <c r="C615" s="41"/>
    </row>
    <row r="616">
      <c r="A616" s="41"/>
      <c r="B616" s="41"/>
      <c r="C616" s="41"/>
    </row>
    <row r="617">
      <c r="A617" s="41"/>
      <c r="B617" s="41"/>
      <c r="C617" s="41"/>
    </row>
    <row r="618">
      <c r="A618" s="41"/>
      <c r="B618" s="41"/>
      <c r="C618" s="41"/>
    </row>
    <row r="619">
      <c r="A619" s="41"/>
      <c r="B619" s="41"/>
      <c r="C619" s="41"/>
    </row>
    <row r="620">
      <c r="A620" s="41"/>
      <c r="B620" s="41"/>
      <c r="C620" s="41"/>
    </row>
    <row r="621">
      <c r="A621" s="41"/>
      <c r="B621" s="41"/>
      <c r="C621" s="41"/>
    </row>
    <row r="622">
      <c r="A622" s="41"/>
      <c r="B622" s="41"/>
      <c r="C622" s="41"/>
    </row>
    <row r="623">
      <c r="A623" s="41"/>
      <c r="B623" s="41"/>
      <c r="C623" s="41"/>
    </row>
    <row r="624">
      <c r="A624" s="41"/>
      <c r="B624" s="41"/>
      <c r="C624" s="41"/>
    </row>
    <row r="625">
      <c r="A625" s="41"/>
      <c r="B625" s="41"/>
      <c r="C625" s="41"/>
    </row>
    <row r="626">
      <c r="A626" s="41"/>
      <c r="B626" s="41"/>
      <c r="C626" s="41"/>
    </row>
    <row r="627">
      <c r="A627" s="41"/>
      <c r="B627" s="41"/>
      <c r="C627" s="41"/>
    </row>
    <row r="628">
      <c r="A628" s="41"/>
      <c r="B628" s="41"/>
      <c r="C628" s="41"/>
    </row>
    <row r="629">
      <c r="A629" s="41"/>
      <c r="B629" s="41"/>
      <c r="C629" s="41"/>
    </row>
    <row r="630">
      <c r="A630" s="41"/>
      <c r="B630" s="41"/>
      <c r="C630" s="41"/>
    </row>
    <row r="631">
      <c r="A631" s="41"/>
      <c r="B631" s="41"/>
      <c r="C631" s="41"/>
    </row>
    <row r="632">
      <c r="A632" s="41"/>
      <c r="B632" s="41"/>
      <c r="C632" s="41"/>
    </row>
    <row r="633">
      <c r="A633" s="41"/>
      <c r="B633" s="41"/>
      <c r="C633" s="41"/>
    </row>
    <row r="634">
      <c r="A634" s="41"/>
      <c r="B634" s="41"/>
      <c r="C634" s="41"/>
    </row>
    <row r="635">
      <c r="A635" s="41"/>
      <c r="B635" s="41"/>
      <c r="C635" s="41"/>
    </row>
    <row r="636">
      <c r="A636" s="41"/>
      <c r="B636" s="41"/>
      <c r="C636" s="41"/>
    </row>
    <row r="637">
      <c r="A637" s="41"/>
      <c r="B637" s="41"/>
      <c r="C637" s="41"/>
    </row>
    <row r="638">
      <c r="A638" s="41"/>
      <c r="B638" s="41"/>
      <c r="C638" s="41"/>
    </row>
    <row r="639">
      <c r="A639" s="41"/>
      <c r="B639" s="41"/>
      <c r="C639" s="41"/>
    </row>
    <row r="640">
      <c r="A640" s="41"/>
      <c r="B640" s="41"/>
      <c r="C640" s="41"/>
    </row>
    <row r="641">
      <c r="A641" s="41"/>
      <c r="B641" s="41"/>
      <c r="C641" s="41"/>
    </row>
    <row r="642">
      <c r="A642" s="41"/>
      <c r="B642" s="41"/>
      <c r="C642" s="41"/>
    </row>
    <row r="643">
      <c r="A643" s="41"/>
      <c r="B643" s="41"/>
      <c r="C643" s="41"/>
    </row>
    <row r="644">
      <c r="A644" s="41"/>
      <c r="B644" s="41"/>
      <c r="C644" s="41"/>
    </row>
    <row r="645">
      <c r="A645" s="41"/>
      <c r="B645" s="41"/>
      <c r="C645" s="41"/>
    </row>
    <row r="646">
      <c r="A646" s="41"/>
      <c r="B646" s="41"/>
      <c r="C646" s="41"/>
    </row>
    <row r="647">
      <c r="A647" s="41"/>
      <c r="B647" s="41"/>
      <c r="C647" s="41"/>
    </row>
    <row r="648">
      <c r="A648" s="41"/>
      <c r="B648" s="41"/>
      <c r="C648" s="41"/>
    </row>
    <row r="649">
      <c r="A649" s="41"/>
      <c r="B649" s="41"/>
      <c r="C649" s="41"/>
    </row>
    <row r="650">
      <c r="A650" s="41"/>
      <c r="B650" s="41"/>
      <c r="C650" s="41"/>
    </row>
    <row r="651">
      <c r="A651" s="41"/>
      <c r="B651" s="41"/>
      <c r="C651" s="41"/>
    </row>
    <row r="652">
      <c r="A652" s="41"/>
      <c r="B652" s="41"/>
      <c r="C652" s="41"/>
    </row>
    <row r="653">
      <c r="A653" s="41"/>
      <c r="B653" s="41"/>
      <c r="C653" s="41"/>
    </row>
    <row r="654">
      <c r="A654" s="41"/>
      <c r="B654" s="41"/>
      <c r="C654" s="41"/>
    </row>
    <row r="655">
      <c r="A655" s="41"/>
      <c r="B655" s="41"/>
      <c r="C655" s="41"/>
    </row>
    <row r="656">
      <c r="A656" s="41"/>
      <c r="B656" s="41"/>
      <c r="C656" s="41"/>
    </row>
    <row r="657">
      <c r="A657" s="41"/>
      <c r="B657" s="41"/>
      <c r="C657" s="41"/>
    </row>
    <row r="658">
      <c r="A658" s="41"/>
      <c r="B658" s="41"/>
      <c r="C658" s="41"/>
    </row>
    <row r="659">
      <c r="A659" s="41"/>
      <c r="B659" s="41"/>
      <c r="C659" s="41"/>
    </row>
    <row r="660">
      <c r="A660" s="41"/>
      <c r="B660" s="41"/>
      <c r="C660" s="41"/>
    </row>
    <row r="661">
      <c r="A661" s="41"/>
      <c r="B661" s="41"/>
      <c r="C661" s="41"/>
    </row>
    <row r="662">
      <c r="A662" s="41"/>
      <c r="B662" s="41"/>
      <c r="C662" s="41"/>
    </row>
    <row r="663">
      <c r="A663" s="41"/>
      <c r="B663" s="41"/>
      <c r="C663" s="41"/>
    </row>
    <row r="664">
      <c r="A664" s="41"/>
      <c r="B664" s="41"/>
      <c r="C664" s="41"/>
    </row>
    <row r="665">
      <c r="A665" s="41"/>
      <c r="B665" s="41"/>
      <c r="C665" s="41"/>
    </row>
    <row r="666">
      <c r="A666" s="41"/>
      <c r="B666" s="41"/>
      <c r="C666" s="41"/>
    </row>
    <row r="667">
      <c r="A667" s="41"/>
      <c r="B667" s="41"/>
      <c r="C667" s="41"/>
    </row>
    <row r="668">
      <c r="A668" s="41"/>
      <c r="B668" s="41"/>
      <c r="C668" s="41"/>
    </row>
    <row r="669">
      <c r="A669" s="41"/>
      <c r="B669" s="41"/>
      <c r="C669" s="41"/>
    </row>
    <row r="670">
      <c r="A670" s="41"/>
      <c r="B670" s="41"/>
      <c r="C670" s="41"/>
    </row>
    <row r="671">
      <c r="A671" s="41"/>
      <c r="B671" s="41"/>
      <c r="C671" s="41"/>
    </row>
    <row r="672">
      <c r="A672" s="41"/>
      <c r="B672" s="41"/>
      <c r="C672" s="41"/>
    </row>
    <row r="673">
      <c r="A673" s="41"/>
      <c r="B673" s="41"/>
      <c r="C673" s="41"/>
    </row>
    <row r="674">
      <c r="A674" s="41"/>
      <c r="B674" s="41"/>
      <c r="C674" s="41"/>
    </row>
    <row r="675">
      <c r="A675" s="41"/>
      <c r="B675" s="41"/>
      <c r="C675" s="41"/>
    </row>
    <row r="676">
      <c r="A676" s="41"/>
      <c r="B676" s="41"/>
      <c r="C676" s="41"/>
    </row>
    <row r="677">
      <c r="A677" s="41"/>
      <c r="B677" s="41"/>
      <c r="C677" s="41"/>
    </row>
    <row r="678">
      <c r="A678" s="41"/>
      <c r="B678" s="41"/>
      <c r="C678" s="41"/>
    </row>
    <row r="679">
      <c r="A679" s="41"/>
      <c r="B679" s="41"/>
      <c r="C679" s="41"/>
    </row>
    <row r="680">
      <c r="A680" s="41"/>
      <c r="B680" s="41"/>
      <c r="C680" s="41"/>
    </row>
    <row r="681">
      <c r="A681" s="41"/>
      <c r="B681" s="41"/>
      <c r="C681" s="41"/>
    </row>
    <row r="682">
      <c r="A682" s="41"/>
      <c r="B682" s="41"/>
      <c r="C682" s="41"/>
    </row>
    <row r="683">
      <c r="A683" s="41"/>
      <c r="B683" s="41"/>
      <c r="C683" s="41"/>
    </row>
    <row r="684">
      <c r="A684" s="41"/>
      <c r="B684" s="41"/>
      <c r="C684" s="41"/>
    </row>
    <row r="685">
      <c r="A685" s="41"/>
      <c r="B685" s="41"/>
      <c r="C685" s="41"/>
    </row>
    <row r="686">
      <c r="A686" s="41"/>
      <c r="B686" s="41"/>
      <c r="C686" s="41"/>
    </row>
    <row r="687">
      <c r="A687" s="41"/>
      <c r="B687" s="41"/>
      <c r="C687" s="41"/>
    </row>
    <row r="688">
      <c r="A688" s="41"/>
      <c r="B688" s="41"/>
      <c r="C688" s="41"/>
    </row>
    <row r="689">
      <c r="A689" s="41"/>
      <c r="B689" s="41"/>
      <c r="C689" s="41"/>
    </row>
    <row r="690">
      <c r="A690" s="41"/>
      <c r="B690" s="41"/>
      <c r="C690" s="41"/>
    </row>
    <row r="691">
      <c r="A691" s="41"/>
      <c r="B691" s="41"/>
      <c r="C691" s="41"/>
    </row>
    <row r="692">
      <c r="A692" s="41"/>
      <c r="B692" s="41"/>
      <c r="C692" s="41"/>
    </row>
    <row r="693">
      <c r="A693" s="41"/>
      <c r="B693" s="41"/>
      <c r="C693" s="41"/>
    </row>
    <row r="694">
      <c r="A694" s="41"/>
      <c r="B694" s="41"/>
      <c r="C694" s="41"/>
    </row>
    <row r="695">
      <c r="A695" s="41"/>
      <c r="B695" s="41"/>
      <c r="C695" s="41"/>
    </row>
    <row r="696">
      <c r="A696" s="41"/>
      <c r="B696" s="41"/>
      <c r="C696" s="41"/>
    </row>
    <row r="697">
      <c r="A697" s="41"/>
      <c r="B697" s="41"/>
      <c r="C697" s="41"/>
    </row>
    <row r="698">
      <c r="A698" s="41"/>
      <c r="B698" s="41"/>
      <c r="C698" s="41"/>
    </row>
    <row r="699">
      <c r="A699" s="41"/>
      <c r="B699" s="41"/>
      <c r="C699" s="41"/>
    </row>
    <row r="700">
      <c r="A700" s="41"/>
      <c r="B700" s="41"/>
      <c r="C700" s="41"/>
    </row>
    <row r="701">
      <c r="A701" s="41"/>
      <c r="B701" s="41"/>
      <c r="C701" s="41"/>
    </row>
    <row r="702">
      <c r="A702" s="41"/>
      <c r="B702" s="41"/>
      <c r="C702" s="41"/>
    </row>
    <row r="703">
      <c r="A703" s="41"/>
      <c r="B703" s="41"/>
      <c r="C703" s="41"/>
    </row>
    <row r="704">
      <c r="A704" s="41"/>
      <c r="B704" s="41"/>
      <c r="C704" s="41"/>
    </row>
    <row r="705">
      <c r="A705" s="41"/>
      <c r="B705" s="41"/>
      <c r="C705" s="41"/>
    </row>
    <row r="706">
      <c r="A706" s="41"/>
      <c r="B706" s="41"/>
      <c r="C706" s="41"/>
    </row>
    <row r="707">
      <c r="A707" s="41"/>
      <c r="B707" s="41"/>
      <c r="C707" s="41"/>
    </row>
    <row r="708">
      <c r="A708" s="41"/>
      <c r="B708" s="41"/>
      <c r="C708" s="41"/>
    </row>
    <row r="709">
      <c r="A709" s="41"/>
      <c r="B709" s="41"/>
      <c r="C709" s="41"/>
    </row>
    <row r="710">
      <c r="A710" s="41"/>
      <c r="B710" s="41"/>
      <c r="C710" s="41"/>
    </row>
    <row r="711">
      <c r="A711" s="41"/>
      <c r="B711" s="41"/>
      <c r="C711" s="41"/>
    </row>
    <row r="712">
      <c r="A712" s="41"/>
      <c r="B712" s="41"/>
      <c r="C712" s="41"/>
    </row>
    <row r="713">
      <c r="A713" s="41"/>
      <c r="B713" s="41"/>
      <c r="C713" s="41"/>
    </row>
    <row r="714">
      <c r="A714" s="41"/>
      <c r="B714" s="41"/>
      <c r="C714" s="41"/>
    </row>
    <row r="715">
      <c r="A715" s="41"/>
      <c r="B715" s="41"/>
      <c r="C715" s="41"/>
    </row>
    <row r="716">
      <c r="A716" s="41"/>
      <c r="B716" s="41"/>
      <c r="C716" s="41"/>
    </row>
    <row r="717">
      <c r="A717" s="41"/>
      <c r="B717" s="41"/>
      <c r="C717" s="41"/>
    </row>
    <row r="718">
      <c r="A718" s="41"/>
      <c r="B718" s="41"/>
      <c r="C718" s="41"/>
    </row>
    <row r="719">
      <c r="A719" s="41"/>
      <c r="B719" s="41"/>
      <c r="C719" s="41"/>
    </row>
    <row r="720">
      <c r="A720" s="41"/>
      <c r="B720" s="41"/>
      <c r="C720" s="41"/>
    </row>
    <row r="721">
      <c r="A721" s="41"/>
      <c r="B721" s="41"/>
      <c r="C721" s="41"/>
    </row>
    <row r="722">
      <c r="A722" s="41"/>
      <c r="B722" s="41"/>
      <c r="C722" s="41"/>
    </row>
    <row r="723">
      <c r="A723" s="41"/>
      <c r="B723" s="41"/>
      <c r="C723" s="41"/>
    </row>
    <row r="724">
      <c r="A724" s="41"/>
      <c r="B724" s="41"/>
      <c r="C724" s="41"/>
    </row>
    <row r="725">
      <c r="A725" s="41"/>
      <c r="B725" s="41"/>
      <c r="C725" s="41"/>
    </row>
    <row r="726">
      <c r="A726" s="41"/>
      <c r="B726" s="41"/>
      <c r="C726" s="41"/>
    </row>
    <row r="727">
      <c r="A727" s="41"/>
      <c r="B727" s="41"/>
      <c r="C727" s="41"/>
    </row>
    <row r="728">
      <c r="A728" s="41"/>
      <c r="B728" s="41"/>
      <c r="C728" s="41"/>
    </row>
    <row r="729">
      <c r="A729" s="41"/>
      <c r="B729" s="41"/>
      <c r="C729" s="41"/>
    </row>
    <row r="730">
      <c r="A730" s="41"/>
      <c r="B730" s="41"/>
      <c r="C730" s="41"/>
    </row>
    <row r="731">
      <c r="A731" s="41"/>
      <c r="B731" s="41"/>
      <c r="C731" s="41"/>
    </row>
    <row r="732">
      <c r="A732" s="41"/>
      <c r="B732" s="41"/>
      <c r="C732" s="41"/>
    </row>
    <row r="733">
      <c r="A733" s="41"/>
      <c r="B733" s="41"/>
      <c r="C733" s="41"/>
    </row>
    <row r="734">
      <c r="A734" s="41"/>
      <c r="B734" s="41"/>
      <c r="C734" s="41"/>
    </row>
    <row r="735">
      <c r="A735" s="41"/>
      <c r="B735" s="41"/>
      <c r="C735" s="41"/>
    </row>
    <row r="736">
      <c r="A736" s="41"/>
      <c r="B736" s="41"/>
      <c r="C736" s="41"/>
    </row>
    <row r="737">
      <c r="A737" s="41"/>
      <c r="B737" s="41"/>
      <c r="C737" s="41"/>
    </row>
    <row r="738">
      <c r="A738" s="41"/>
      <c r="B738" s="41"/>
      <c r="C738" s="41"/>
    </row>
    <row r="739">
      <c r="A739" s="41"/>
      <c r="B739" s="41"/>
      <c r="C739" s="41"/>
    </row>
    <row r="740">
      <c r="A740" s="41"/>
      <c r="B740" s="41"/>
      <c r="C740" s="41"/>
    </row>
    <row r="741">
      <c r="A741" s="41"/>
      <c r="B741" s="41"/>
      <c r="C741" s="41"/>
    </row>
    <row r="742">
      <c r="A742" s="41"/>
      <c r="B742" s="41"/>
      <c r="C742" s="41"/>
    </row>
    <row r="743">
      <c r="A743" s="41"/>
      <c r="B743" s="41"/>
      <c r="C743" s="41"/>
    </row>
    <row r="744">
      <c r="A744" s="41"/>
      <c r="B744" s="41"/>
      <c r="C744" s="41"/>
    </row>
    <row r="745">
      <c r="A745" s="41"/>
      <c r="B745" s="41"/>
      <c r="C745" s="41"/>
    </row>
    <row r="746">
      <c r="A746" s="41"/>
      <c r="B746" s="41"/>
      <c r="C746" s="41"/>
    </row>
    <row r="747">
      <c r="A747" s="41"/>
      <c r="B747" s="41"/>
      <c r="C747" s="41"/>
    </row>
    <row r="748">
      <c r="A748" s="41"/>
      <c r="B748" s="41"/>
      <c r="C748" s="41"/>
    </row>
    <row r="749">
      <c r="A749" s="41"/>
      <c r="B749" s="41"/>
      <c r="C749" s="41"/>
    </row>
    <row r="750">
      <c r="A750" s="41"/>
      <c r="B750" s="41"/>
      <c r="C750" s="41"/>
    </row>
    <row r="751">
      <c r="A751" s="41"/>
      <c r="B751" s="41"/>
      <c r="C751" s="41"/>
    </row>
    <row r="752">
      <c r="A752" s="41"/>
      <c r="B752" s="41"/>
      <c r="C752" s="41"/>
    </row>
    <row r="753">
      <c r="A753" s="41"/>
      <c r="B753" s="41"/>
      <c r="C753" s="41"/>
    </row>
    <row r="754">
      <c r="A754" s="41"/>
      <c r="B754" s="41"/>
      <c r="C754" s="41"/>
    </row>
    <row r="755">
      <c r="A755" s="41"/>
      <c r="B755" s="41"/>
      <c r="C755" s="41"/>
    </row>
    <row r="756">
      <c r="A756" s="41"/>
      <c r="B756" s="41"/>
      <c r="C756" s="41"/>
    </row>
    <row r="757">
      <c r="A757" s="41"/>
      <c r="B757" s="41"/>
      <c r="C757" s="41"/>
    </row>
    <row r="758">
      <c r="A758" s="41"/>
      <c r="B758" s="41"/>
      <c r="C758" s="41"/>
    </row>
    <row r="759">
      <c r="A759" s="41"/>
      <c r="B759" s="41"/>
      <c r="C759" s="41"/>
    </row>
    <row r="760">
      <c r="A760" s="41"/>
      <c r="B760" s="41"/>
      <c r="C760" s="41"/>
    </row>
    <row r="761">
      <c r="A761" s="41"/>
      <c r="B761" s="41"/>
      <c r="C761" s="41"/>
    </row>
    <row r="762">
      <c r="A762" s="41"/>
      <c r="B762" s="41"/>
      <c r="C762" s="41"/>
    </row>
    <row r="763">
      <c r="A763" s="41"/>
      <c r="B763" s="41"/>
      <c r="C763" s="41"/>
    </row>
    <row r="764">
      <c r="A764" s="41"/>
      <c r="B764" s="41"/>
      <c r="C764" s="41"/>
    </row>
    <row r="765">
      <c r="A765" s="41"/>
      <c r="B765" s="41"/>
      <c r="C765" s="41"/>
    </row>
    <row r="766">
      <c r="A766" s="41"/>
      <c r="B766" s="41"/>
      <c r="C766" s="41"/>
    </row>
    <row r="767">
      <c r="A767" s="41"/>
      <c r="B767" s="41"/>
      <c r="C767" s="41"/>
    </row>
    <row r="768">
      <c r="A768" s="41"/>
      <c r="B768" s="41"/>
      <c r="C768" s="41"/>
    </row>
    <row r="769">
      <c r="A769" s="41"/>
      <c r="B769" s="41"/>
      <c r="C769" s="41"/>
    </row>
    <row r="770">
      <c r="A770" s="41"/>
      <c r="B770" s="41"/>
      <c r="C770" s="41"/>
    </row>
    <row r="771">
      <c r="A771" s="41"/>
      <c r="B771" s="41"/>
      <c r="C771" s="41"/>
    </row>
    <row r="772">
      <c r="A772" s="41"/>
      <c r="B772" s="41"/>
      <c r="C772" s="41"/>
    </row>
    <row r="773">
      <c r="A773" s="41"/>
      <c r="B773" s="41"/>
      <c r="C773" s="41"/>
    </row>
    <row r="774">
      <c r="A774" s="41"/>
      <c r="B774" s="41"/>
      <c r="C774" s="41"/>
    </row>
    <row r="775">
      <c r="A775" s="41"/>
      <c r="B775" s="41"/>
      <c r="C775" s="41"/>
    </row>
    <row r="776">
      <c r="A776" s="41"/>
      <c r="B776" s="41"/>
      <c r="C776" s="41"/>
    </row>
    <row r="777">
      <c r="A777" s="41"/>
      <c r="B777" s="41"/>
      <c r="C777" s="41"/>
    </row>
    <row r="778">
      <c r="A778" s="41"/>
      <c r="B778" s="41"/>
      <c r="C778" s="41"/>
    </row>
    <row r="779">
      <c r="A779" s="41"/>
      <c r="B779" s="41"/>
      <c r="C779" s="41"/>
    </row>
    <row r="780">
      <c r="A780" s="41"/>
      <c r="B780" s="41"/>
      <c r="C780" s="41"/>
    </row>
    <row r="781">
      <c r="A781" s="41"/>
      <c r="B781" s="41"/>
      <c r="C781" s="41"/>
    </row>
    <row r="782">
      <c r="A782" s="41"/>
      <c r="B782" s="41"/>
      <c r="C782" s="41"/>
    </row>
    <row r="783">
      <c r="A783" s="41"/>
      <c r="B783" s="41"/>
      <c r="C783" s="41"/>
    </row>
    <row r="784">
      <c r="A784" s="41"/>
      <c r="B784" s="41"/>
      <c r="C784" s="41"/>
    </row>
    <row r="785">
      <c r="A785" s="41"/>
      <c r="B785" s="41"/>
      <c r="C785" s="41"/>
    </row>
    <row r="786">
      <c r="A786" s="41"/>
      <c r="B786" s="41"/>
      <c r="C786" s="41"/>
    </row>
    <row r="787">
      <c r="A787" s="41"/>
      <c r="B787" s="41"/>
      <c r="C787" s="41"/>
    </row>
    <row r="788">
      <c r="A788" s="41"/>
      <c r="B788" s="41"/>
      <c r="C788" s="41"/>
    </row>
    <row r="789">
      <c r="A789" s="41"/>
      <c r="B789" s="41"/>
      <c r="C789" s="41"/>
    </row>
    <row r="790">
      <c r="A790" s="41"/>
      <c r="B790" s="41"/>
      <c r="C790" s="41"/>
    </row>
    <row r="791">
      <c r="A791" s="41"/>
      <c r="B791" s="41"/>
      <c r="C791" s="41"/>
    </row>
    <row r="792">
      <c r="A792" s="41"/>
      <c r="B792" s="41"/>
      <c r="C792" s="41"/>
    </row>
    <row r="793">
      <c r="A793" s="41"/>
      <c r="B793" s="41"/>
      <c r="C793" s="41"/>
    </row>
    <row r="794">
      <c r="A794" s="41"/>
      <c r="B794" s="41"/>
      <c r="C794" s="41"/>
    </row>
    <row r="795">
      <c r="A795" s="41"/>
      <c r="B795" s="41"/>
      <c r="C795" s="41"/>
    </row>
    <row r="796">
      <c r="A796" s="41"/>
      <c r="B796" s="41"/>
      <c r="C796" s="41"/>
    </row>
    <row r="797">
      <c r="A797" s="41"/>
      <c r="B797" s="41"/>
      <c r="C797" s="41"/>
    </row>
    <row r="798">
      <c r="A798" s="41"/>
      <c r="B798" s="41"/>
      <c r="C798" s="41"/>
    </row>
    <row r="799">
      <c r="A799" s="41"/>
      <c r="B799" s="41"/>
      <c r="C799" s="41"/>
    </row>
    <row r="800">
      <c r="A800" s="41"/>
      <c r="B800" s="41"/>
      <c r="C800" s="41"/>
    </row>
    <row r="801">
      <c r="A801" s="41"/>
      <c r="B801" s="41"/>
      <c r="C801" s="41"/>
    </row>
    <row r="802">
      <c r="A802" s="41"/>
      <c r="B802" s="41"/>
      <c r="C802" s="41"/>
    </row>
    <row r="803">
      <c r="A803" s="41"/>
      <c r="B803" s="41"/>
      <c r="C803" s="41"/>
    </row>
    <row r="804">
      <c r="A804" s="41"/>
      <c r="B804" s="41"/>
      <c r="C804" s="41"/>
    </row>
    <row r="805">
      <c r="A805" s="41"/>
      <c r="B805" s="41"/>
      <c r="C805" s="41"/>
    </row>
    <row r="806">
      <c r="A806" s="41"/>
      <c r="B806" s="41"/>
      <c r="C806" s="41"/>
    </row>
    <row r="807">
      <c r="A807" s="41"/>
      <c r="B807" s="41"/>
      <c r="C807" s="41"/>
    </row>
    <row r="808">
      <c r="A808" s="41"/>
      <c r="B808" s="41"/>
      <c r="C808" s="41"/>
    </row>
    <row r="809">
      <c r="A809" s="41"/>
      <c r="B809" s="41"/>
      <c r="C809" s="41"/>
    </row>
    <row r="810">
      <c r="A810" s="41"/>
      <c r="B810" s="41"/>
      <c r="C810" s="41"/>
    </row>
    <row r="811">
      <c r="A811" s="41"/>
      <c r="B811" s="41"/>
      <c r="C811" s="41"/>
    </row>
    <row r="812">
      <c r="A812" s="41"/>
      <c r="B812" s="41"/>
      <c r="C812" s="41"/>
    </row>
    <row r="813">
      <c r="A813" s="41"/>
      <c r="B813" s="41"/>
      <c r="C813" s="41"/>
    </row>
    <row r="814">
      <c r="A814" s="41"/>
      <c r="B814" s="41"/>
      <c r="C814" s="41"/>
    </row>
    <row r="815">
      <c r="A815" s="41"/>
      <c r="B815" s="41"/>
      <c r="C815" s="41"/>
    </row>
    <row r="816">
      <c r="A816" s="41"/>
      <c r="B816" s="41"/>
      <c r="C816" s="41"/>
    </row>
    <row r="817">
      <c r="A817" s="41"/>
      <c r="B817" s="41"/>
      <c r="C817" s="41"/>
    </row>
    <row r="818">
      <c r="A818" s="41"/>
      <c r="B818" s="41"/>
      <c r="C818" s="41"/>
    </row>
    <row r="819">
      <c r="A819" s="41"/>
      <c r="B819" s="41"/>
      <c r="C819" s="41"/>
    </row>
    <row r="820">
      <c r="A820" s="41"/>
      <c r="B820" s="41"/>
      <c r="C820" s="41"/>
    </row>
    <row r="821">
      <c r="A821" s="41"/>
      <c r="B821" s="41"/>
      <c r="C821" s="41"/>
    </row>
    <row r="822">
      <c r="A822" s="41"/>
      <c r="B822" s="41"/>
      <c r="C822" s="41"/>
    </row>
    <row r="823">
      <c r="A823" s="41"/>
      <c r="B823" s="41"/>
      <c r="C823" s="41"/>
    </row>
    <row r="824">
      <c r="A824" s="41"/>
      <c r="B824" s="41"/>
      <c r="C824" s="41"/>
    </row>
    <row r="825">
      <c r="A825" s="41"/>
      <c r="B825" s="41"/>
      <c r="C825" s="41"/>
    </row>
    <row r="826">
      <c r="A826" s="41"/>
      <c r="B826" s="41"/>
      <c r="C826" s="41"/>
    </row>
    <row r="827">
      <c r="A827" s="41"/>
      <c r="B827" s="41"/>
      <c r="C827" s="41"/>
    </row>
    <row r="828">
      <c r="A828" s="41"/>
      <c r="B828" s="41"/>
      <c r="C828" s="41"/>
    </row>
    <row r="829">
      <c r="A829" s="41"/>
      <c r="B829" s="41"/>
      <c r="C829" s="41"/>
    </row>
    <row r="830">
      <c r="A830" s="41"/>
      <c r="B830" s="41"/>
      <c r="C830" s="41"/>
    </row>
    <row r="831">
      <c r="A831" s="41"/>
      <c r="B831" s="41"/>
      <c r="C831" s="41"/>
    </row>
    <row r="832">
      <c r="A832" s="41"/>
      <c r="B832" s="41"/>
      <c r="C832" s="41"/>
    </row>
    <row r="833">
      <c r="A833" s="41"/>
      <c r="B833" s="41"/>
      <c r="C833" s="41"/>
    </row>
    <row r="834">
      <c r="A834" s="41"/>
      <c r="B834" s="41"/>
      <c r="C834" s="41"/>
    </row>
    <row r="835">
      <c r="A835" s="41"/>
      <c r="B835" s="41"/>
      <c r="C835" s="41"/>
    </row>
    <row r="836">
      <c r="A836" s="41"/>
      <c r="B836" s="41"/>
      <c r="C836" s="41"/>
    </row>
    <row r="837">
      <c r="A837" s="41"/>
      <c r="B837" s="41"/>
      <c r="C837" s="41"/>
    </row>
    <row r="838">
      <c r="A838" s="41"/>
      <c r="B838" s="41"/>
      <c r="C838" s="41"/>
    </row>
    <row r="839">
      <c r="A839" s="41"/>
      <c r="B839" s="41"/>
      <c r="C839" s="41"/>
    </row>
    <row r="840">
      <c r="A840" s="41"/>
      <c r="B840" s="41"/>
      <c r="C840" s="41"/>
    </row>
    <row r="841">
      <c r="A841" s="41"/>
      <c r="B841" s="41"/>
      <c r="C841" s="41"/>
    </row>
    <row r="842">
      <c r="A842" s="41"/>
      <c r="B842" s="41"/>
      <c r="C842" s="41"/>
    </row>
    <row r="843">
      <c r="A843" s="41"/>
      <c r="B843" s="41"/>
      <c r="C843" s="41"/>
    </row>
    <row r="844">
      <c r="A844" s="41"/>
      <c r="B844" s="41"/>
      <c r="C844" s="41"/>
    </row>
    <row r="845">
      <c r="A845" s="41"/>
      <c r="B845" s="41"/>
      <c r="C845" s="41"/>
    </row>
    <row r="846">
      <c r="A846" s="41"/>
      <c r="B846" s="41"/>
      <c r="C846" s="41"/>
    </row>
    <row r="847">
      <c r="A847" s="41"/>
      <c r="B847" s="41"/>
      <c r="C847" s="41"/>
    </row>
    <row r="848">
      <c r="A848" s="41"/>
      <c r="B848" s="41"/>
      <c r="C848" s="41"/>
    </row>
    <row r="849">
      <c r="A849" s="41"/>
      <c r="B849" s="41"/>
      <c r="C849" s="41"/>
    </row>
    <row r="850">
      <c r="A850" s="41"/>
      <c r="B850" s="41"/>
      <c r="C850" s="41"/>
    </row>
    <row r="851">
      <c r="A851" s="41"/>
      <c r="B851" s="41"/>
      <c r="C851" s="41"/>
    </row>
    <row r="852">
      <c r="A852" s="41"/>
      <c r="B852" s="41"/>
      <c r="C852" s="41"/>
    </row>
    <row r="853">
      <c r="A853" s="41"/>
      <c r="B853" s="41"/>
      <c r="C853" s="41"/>
    </row>
    <row r="854">
      <c r="A854" s="41"/>
      <c r="B854" s="41"/>
      <c r="C854" s="41"/>
    </row>
    <row r="855">
      <c r="A855" s="41"/>
      <c r="B855" s="41"/>
      <c r="C855" s="41"/>
    </row>
    <row r="856">
      <c r="A856" s="41"/>
      <c r="B856" s="41"/>
      <c r="C856" s="41"/>
    </row>
    <row r="857">
      <c r="A857" s="41"/>
      <c r="B857" s="41"/>
      <c r="C857" s="41"/>
    </row>
    <row r="858">
      <c r="A858" s="41"/>
      <c r="B858" s="41"/>
      <c r="C858" s="41"/>
    </row>
    <row r="859">
      <c r="A859" s="41"/>
      <c r="B859" s="41"/>
      <c r="C859" s="41"/>
    </row>
    <row r="860">
      <c r="A860" s="41"/>
      <c r="B860" s="41"/>
      <c r="C860" s="41"/>
    </row>
    <row r="861">
      <c r="A861" s="41"/>
      <c r="B861" s="41"/>
      <c r="C861" s="41"/>
    </row>
    <row r="862">
      <c r="A862" s="41"/>
      <c r="B862" s="41"/>
      <c r="C862" s="41"/>
    </row>
    <row r="863">
      <c r="A863" s="41"/>
      <c r="B863" s="41"/>
      <c r="C863" s="41"/>
    </row>
    <row r="864">
      <c r="A864" s="41"/>
      <c r="B864" s="41"/>
      <c r="C864" s="41"/>
    </row>
    <row r="865">
      <c r="A865" s="41"/>
      <c r="B865" s="41"/>
      <c r="C865" s="41"/>
    </row>
    <row r="866">
      <c r="A866" s="41"/>
      <c r="B866" s="41"/>
      <c r="C866" s="41"/>
    </row>
    <row r="867">
      <c r="A867" s="41"/>
      <c r="B867" s="41"/>
      <c r="C867" s="41"/>
    </row>
    <row r="868">
      <c r="A868" s="41"/>
      <c r="B868" s="41"/>
      <c r="C868" s="41"/>
    </row>
    <row r="869">
      <c r="A869" s="41"/>
      <c r="B869" s="41"/>
      <c r="C869" s="41"/>
    </row>
    <row r="870">
      <c r="A870" s="41"/>
      <c r="B870" s="41"/>
      <c r="C870" s="41"/>
    </row>
    <row r="871">
      <c r="A871" s="41"/>
      <c r="B871" s="41"/>
      <c r="C871" s="41"/>
    </row>
    <row r="872">
      <c r="A872" s="41"/>
      <c r="B872" s="41"/>
      <c r="C872" s="41"/>
    </row>
    <row r="873">
      <c r="A873" s="41"/>
      <c r="B873" s="41"/>
      <c r="C873" s="41"/>
    </row>
    <row r="874">
      <c r="A874" s="41"/>
      <c r="B874" s="41"/>
      <c r="C874" s="41"/>
    </row>
    <row r="875">
      <c r="A875" s="41"/>
      <c r="B875" s="41"/>
      <c r="C875" s="41"/>
    </row>
    <row r="876">
      <c r="A876" s="41"/>
      <c r="B876" s="41"/>
      <c r="C876" s="41"/>
    </row>
    <row r="877">
      <c r="A877" s="41"/>
      <c r="B877" s="41"/>
      <c r="C877" s="41"/>
    </row>
    <row r="878">
      <c r="A878" s="41"/>
      <c r="B878" s="41"/>
      <c r="C878" s="41"/>
    </row>
    <row r="879">
      <c r="A879" s="41"/>
      <c r="B879" s="41"/>
      <c r="C879" s="41"/>
    </row>
    <row r="880">
      <c r="A880" s="41"/>
      <c r="B880" s="41"/>
      <c r="C880" s="41"/>
    </row>
    <row r="881">
      <c r="A881" s="41"/>
      <c r="B881" s="41"/>
      <c r="C881" s="41"/>
    </row>
    <row r="882">
      <c r="A882" s="41"/>
      <c r="B882" s="41"/>
      <c r="C882" s="41"/>
    </row>
    <row r="883">
      <c r="A883" s="41"/>
      <c r="B883" s="41"/>
      <c r="C883" s="41"/>
    </row>
    <row r="884">
      <c r="A884" s="41"/>
      <c r="B884" s="41"/>
      <c r="C884" s="41"/>
    </row>
    <row r="885">
      <c r="A885" s="41"/>
      <c r="B885" s="41"/>
      <c r="C885" s="41"/>
    </row>
    <row r="886">
      <c r="A886" s="41"/>
      <c r="B886" s="41"/>
      <c r="C886" s="41"/>
    </row>
    <row r="887">
      <c r="A887" s="41"/>
      <c r="B887" s="41"/>
      <c r="C887" s="41"/>
    </row>
    <row r="888">
      <c r="A888" s="41"/>
      <c r="B888" s="41"/>
      <c r="C888" s="41"/>
    </row>
    <row r="889">
      <c r="A889" s="41"/>
      <c r="B889" s="41"/>
      <c r="C889" s="41"/>
    </row>
    <row r="890">
      <c r="A890" s="41"/>
      <c r="B890" s="41"/>
      <c r="C890" s="41"/>
    </row>
    <row r="891">
      <c r="A891" s="41"/>
      <c r="B891" s="41"/>
      <c r="C891" s="41"/>
    </row>
    <row r="892">
      <c r="A892" s="41"/>
      <c r="B892" s="41"/>
      <c r="C892" s="41"/>
    </row>
    <row r="893">
      <c r="A893" s="41"/>
      <c r="B893" s="41"/>
      <c r="C893" s="41"/>
    </row>
    <row r="894">
      <c r="A894" s="41"/>
      <c r="B894" s="41"/>
      <c r="C894" s="41"/>
    </row>
    <row r="895">
      <c r="A895" s="41"/>
      <c r="B895" s="41"/>
      <c r="C895" s="41"/>
    </row>
    <row r="896">
      <c r="A896" s="41"/>
      <c r="B896" s="41"/>
      <c r="C896" s="41"/>
    </row>
    <row r="897">
      <c r="A897" s="41"/>
      <c r="B897" s="41"/>
      <c r="C897" s="41"/>
    </row>
    <row r="898">
      <c r="A898" s="41"/>
      <c r="B898" s="41"/>
      <c r="C898" s="41"/>
    </row>
    <row r="899">
      <c r="A899" s="41"/>
      <c r="B899" s="41"/>
      <c r="C899" s="41"/>
    </row>
    <row r="900">
      <c r="A900" s="41"/>
      <c r="B900" s="41"/>
      <c r="C900" s="41"/>
    </row>
    <row r="901">
      <c r="A901" s="41"/>
      <c r="B901" s="41"/>
      <c r="C901" s="41"/>
    </row>
    <row r="902">
      <c r="A902" s="41"/>
      <c r="B902" s="41"/>
      <c r="C902" s="41"/>
    </row>
    <row r="903">
      <c r="A903" s="41"/>
      <c r="B903" s="41"/>
      <c r="C903" s="41"/>
    </row>
    <row r="904">
      <c r="A904" s="41"/>
      <c r="B904" s="41"/>
      <c r="C904" s="41"/>
    </row>
    <row r="905">
      <c r="A905" s="41"/>
      <c r="B905" s="41"/>
      <c r="C905" s="41"/>
    </row>
    <row r="906">
      <c r="A906" s="41"/>
      <c r="B906" s="41"/>
      <c r="C906" s="41"/>
    </row>
    <row r="907">
      <c r="A907" s="41"/>
      <c r="B907" s="41"/>
      <c r="C907" s="41"/>
    </row>
    <row r="908">
      <c r="A908" s="41"/>
      <c r="B908" s="41"/>
      <c r="C908" s="41"/>
    </row>
    <row r="909">
      <c r="A909" s="41"/>
      <c r="B909" s="41"/>
      <c r="C909" s="41"/>
    </row>
    <row r="910">
      <c r="A910" s="41"/>
      <c r="B910" s="41"/>
      <c r="C910" s="41"/>
    </row>
    <row r="911">
      <c r="A911" s="41"/>
      <c r="B911" s="41"/>
      <c r="C911" s="41"/>
    </row>
    <row r="912">
      <c r="A912" s="41"/>
      <c r="B912" s="41"/>
      <c r="C912" s="41"/>
    </row>
    <row r="913">
      <c r="A913" s="41"/>
      <c r="B913" s="41"/>
      <c r="C913" s="41"/>
    </row>
    <row r="914">
      <c r="A914" s="41"/>
      <c r="B914" s="41"/>
      <c r="C914" s="41"/>
    </row>
    <row r="915">
      <c r="A915" s="41"/>
      <c r="B915" s="41"/>
      <c r="C915" s="41"/>
    </row>
    <row r="916">
      <c r="A916" s="41"/>
      <c r="B916" s="41"/>
      <c r="C916" s="41"/>
    </row>
    <row r="917">
      <c r="A917" s="41"/>
      <c r="B917" s="41"/>
      <c r="C917" s="41"/>
    </row>
    <row r="918">
      <c r="A918" s="41"/>
      <c r="B918" s="41"/>
      <c r="C918" s="41"/>
    </row>
    <row r="919">
      <c r="A919" s="41"/>
      <c r="B919" s="41"/>
      <c r="C919" s="41"/>
    </row>
    <row r="920">
      <c r="A920" s="41"/>
      <c r="B920" s="41"/>
      <c r="C920" s="41"/>
    </row>
    <row r="921">
      <c r="A921" s="41"/>
      <c r="B921" s="41"/>
      <c r="C921" s="41"/>
    </row>
    <row r="922">
      <c r="A922" s="41"/>
      <c r="B922" s="41"/>
      <c r="C922" s="41"/>
    </row>
    <row r="923">
      <c r="A923" s="41"/>
      <c r="B923" s="41"/>
      <c r="C923" s="41"/>
    </row>
    <row r="924">
      <c r="A924" s="41"/>
      <c r="B924" s="41"/>
      <c r="C924" s="41"/>
    </row>
    <row r="925">
      <c r="A925" s="41"/>
      <c r="B925" s="41"/>
      <c r="C925" s="41"/>
    </row>
    <row r="926">
      <c r="A926" s="41"/>
      <c r="B926" s="41"/>
      <c r="C926" s="41"/>
    </row>
    <row r="927">
      <c r="A927" s="41"/>
      <c r="B927" s="41"/>
      <c r="C927" s="41"/>
    </row>
    <row r="928">
      <c r="A928" s="41"/>
      <c r="B928" s="41"/>
      <c r="C928" s="41"/>
    </row>
    <row r="929">
      <c r="A929" s="41"/>
      <c r="B929" s="41"/>
      <c r="C929" s="41"/>
    </row>
    <row r="930">
      <c r="A930" s="41"/>
      <c r="B930" s="41"/>
      <c r="C930" s="41"/>
    </row>
    <row r="931">
      <c r="A931" s="41"/>
      <c r="B931" s="41"/>
      <c r="C931" s="41"/>
    </row>
    <row r="932">
      <c r="A932" s="41"/>
      <c r="B932" s="41"/>
      <c r="C932" s="41"/>
    </row>
    <row r="933">
      <c r="A933" s="41"/>
      <c r="B933" s="41"/>
      <c r="C933" s="41"/>
    </row>
    <row r="934">
      <c r="A934" s="41"/>
      <c r="B934" s="41"/>
      <c r="C934" s="41"/>
    </row>
    <row r="935">
      <c r="A935" s="41"/>
      <c r="B935" s="41"/>
      <c r="C935" s="41"/>
    </row>
    <row r="936">
      <c r="A936" s="41"/>
      <c r="B936" s="41"/>
      <c r="C936" s="41"/>
    </row>
    <row r="937">
      <c r="A937" s="41"/>
      <c r="B937" s="41"/>
      <c r="C937" s="41"/>
    </row>
    <row r="938">
      <c r="A938" s="41"/>
      <c r="B938" s="41"/>
      <c r="C938" s="41"/>
    </row>
    <row r="939">
      <c r="A939" s="41"/>
      <c r="B939" s="41"/>
      <c r="C939" s="41"/>
    </row>
    <row r="940">
      <c r="A940" s="41"/>
      <c r="B940" s="41"/>
      <c r="C940" s="41"/>
    </row>
    <row r="941">
      <c r="A941" s="41"/>
      <c r="B941" s="41"/>
      <c r="C941" s="41"/>
    </row>
    <row r="942">
      <c r="A942" s="41"/>
      <c r="B942" s="41"/>
      <c r="C942" s="41"/>
    </row>
    <row r="943">
      <c r="A943" s="41"/>
      <c r="B943" s="41"/>
      <c r="C943" s="41"/>
    </row>
    <row r="944">
      <c r="A944" s="41"/>
      <c r="B944" s="41"/>
      <c r="C944" s="41"/>
    </row>
    <row r="945">
      <c r="A945" s="41"/>
      <c r="B945" s="41"/>
      <c r="C945" s="41"/>
    </row>
    <row r="946">
      <c r="A946" s="41"/>
      <c r="B946" s="41"/>
      <c r="C946" s="41"/>
    </row>
    <row r="947">
      <c r="A947" s="41"/>
      <c r="B947" s="41"/>
      <c r="C947" s="41"/>
    </row>
    <row r="948">
      <c r="A948" s="41"/>
      <c r="B948" s="41"/>
      <c r="C948" s="41"/>
    </row>
    <row r="949">
      <c r="A949" s="41"/>
      <c r="B949" s="41"/>
      <c r="C949" s="41"/>
    </row>
    <row r="950">
      <c r="A950" s="41"/>
      <c r="B950" s="41"/>
      <c r="C950" s="41"/>
    </row>
    <row r="951">
      <c r="A951" s="41"/>
      <c r="B951" s="41"/>
      <c r="C951" s="41"/>
    </row>
    <row r="952">
      <c r="A952" s="41"/>
      <c r="B952" s="41"/>
      <c r="C952" s="41"/>
    </row>
    <row r="953">
      <c r="A953" s="41"/>
      <c r="B953" s="41"/>
      <c r="C953" s="41"/>
    </row>
    <row r="954">
      <c r="A954" s="41"/>
      <c r="B954" s="41"/>
      <c r="C954" s="41"/>
    </row>
    <row r="955">
      <c r="A955" s="41"/>
      <c r="B955" s="41"/>
      <c r="C955" s="41"/>
    </row>
    <row r="956">
      <c r="A956" s="41"/>
      <c r="B956" s="41"/>
      <c r="C956" s="41"/>
    </row>
    <row r="957">
      <c r="A957" s="41"/>
      <c r="B957" s="41"/>
      <c r="C957" s="41"/>
    </row>
    <row r="958">
      <c r="A958" s="41"/>
      <c r="B958" s="41"/>
      <c r="C958" s="41"/>
    </row>
    <row r="959">
      <c r="A959" s="41"/>
      <c r="B959" s="41"/>
      <c r="C959" s="41"/>
    </row>
    <row r="960">
      <c r="A960" s="41"/>
      <c r="B960" s="41"/>
      <c r="C960" s="41"/>
    </row>
    <row r="961">
      <c r="A961" s="41"/>
      <c r="B961" s="41"/>
      <c r="C961" s="41"/>
    </row>
    <row r="962">
      <c r="A962" s="41"/>
      <c r="B962" s="41"/>
      <c r="C962" s="41"/>
    </row>
    <row r="963">
      <c r="A963" s="41"/>
      <c r="B963" s="41"/>
      <c r="C963" s="41"/>
    </row>
    <row r="964">
      <c r="A964" s="41"/>
      <c r="B964" s="41"/>
      <c r="C964" s="41"/>
    </row>
    <row r="965">
      <c r="A965" s="41"/>
      <c r="B965" s="41"/>
      <c r="C965" s="41"/>
    </row>
    <row r="966">
      <c r="A966" s="41"/>
      <c r="B966" s="41"/>
      <c r="C966" s="41"/>
    </row>
    <row r="967">
      <c r="A967" s="41"/>
      <c r="B967" s="41"/>
      <c r="C967" s="41"/>
    </row>
    <row r="968">
      <c r="A968" s="41"/>
      <c r="B968" s="41"/>
      <c r="C968" s="41"/>
    </row>
    <row r="969">
      <c r="A969" s="41"/>
      <c r="B969" s="41"/>
      <c r="C969" s="41"/>
    </row>
    <row r="970">
      <c r="A970" s="41"/>
      <c r="B970" s="41"/>
      <c r="C970" s="41"/>
    </row>
    <row r="971">
      <c r="A971" s="41"/>
      <c r="B971" s="41"/>
      <c r="C971" s="41"/>
    </row>
    <row r="972">
      <c r="A972" s="41"/>
      <c r="B972" s="41"/>
      <c r="C972" s="41"/>
    </row>
    <row r="973">
      <c r="A973" s="41"/>
      <c r="B973" s="41"/>
      <c r="C973" s="41"/>
    </row>
    <row r="974">
      <c r="A974" s="41"/>
      <c r="B974" s="41"/>
      <c r="C974" s="41"/>
    </row>
    <row r="975">
      <c r="A975" s="41"/>
      <c r="B975" s="41"/>
      <c r="C975" s="41"/>
    </row>
    <row r="976">
      <c r="A976" s="41"/>
      <c r="B976" s="41"/>
      <c r="C976" s="41"/>
    </row>
    <row r="977">
      <c r="A977" s="41"/>
      <c r="B977" s="41"/>
      <c r="C977" s="41"/>
    </row>
    <row r="978">
      <c r="A978" s="41"/>
      <c r="B978" s="41"/>
      <c r="C978" s="41"/>
    </row>
    <row r="979">
      <c r="A979" s="41"/>
      <c r="B979" s="41"/>
      <c r="C979" s="41"/>
    </row>
    <row r="980">
      <c r="A980" s="41"/>
      <c r="B980" s="41"/>
      <c r="C980" s="41"/>
    </row>
    <row r="981">
      <c r="A981" s="41"/>
      <c r="B981" s="41"/>
      <c r="C981" s="41"/>
    </row>
    <row r="982">
      <c r="A982" s="41"/>
      <c r="B982" s="41"/>
      <c r="C982" s="41"/>
    </row>
    <row r="983">
      <c r="A983" s="41"/>
      <c r="B983" s="41"/>
      <c r="C983" s="41"/>
    </row>
    <row r="984">
      <c r="A984" s="41"/>
      <c r="B984" s="41"/>
      <c r="C984" s="41"/>
    </row>
    <row r="985">
      <c r="A985" s="41"/>
      <c r="B985" s="41"/>
      <c r="C985" s="41"/>
    </row>
    <row r="986">
      <c r="A986" s="41"/>
      <c r="B986" s="41"/>
      <c r="C986" s="41"/>
    </row>
    <row r="987">
      <c r="A987" s="41"/>
      <c r="B987" s="41"/>
      <c r="C987" s="41"/>
    </row>
    <row r="988">
      <c r="A988" s="41"/>
      <c r="B988" s="41"/>
      <c r="C988" s="41"/>
    </row>
    <row r="989">
      <c r="A989" s="41"/>
      <c r="B989" s="41"/>
      <c r="C989" s="41"/>
    </row>
    <row r="990">
      <c r="A990" s="41"/>
      <c r="B990" s="41"/>
      <c r="C990" s="41"/>
    </row>
    <row r="991">
      <c r="A991" s="41"/>
      <c r="B991" s="41"/>
      <c r="C991" s="41"/>
    </row>
    <row r="992">
      <c r="A992" s="41"/>
      <c r="B992" s="41"/>
      <c r="C992" s="41"/>
    </row>
    <row r="993">
      <c r="A993" s="41"/>
      <c r="B993" s="41"/>
      <c r="C993" s="41"/>
    </row>
    <row r="994">
      <c r="A994" s="41"/>
      <c r="B994" s="41"/>
      <c r="C994" s="41"/>
    </row>
    <row r="995">
      <c r="A995" s="41"/>
      <c r="B995" s="41"/>
      <c r="C995" s="41"/>
    </row>
    <row r="996">
      <c r="A996" s="41"/>
      <c r="B996" s="41"/>
      <c r="C996" s="41"/>
    </row>
    <row r="997">
      <c r="A997" s="41"/>
      <c r="B997" s="41"/>
      <c r="C997" s="41"/>
    </row>
    <row r="998">
      <c r="A998" s="41"/>
      <c r="B998" s="41"/>
      <c r="C998" s="41"/>
    </row>
    <row r="999">
      <c r="A999" s="41"/>
      <c r="B999" s="41"/>
      <c r="C999" s="41"/>
    </row>
    <row r="1000">
      <c r="A1000" s="41"/>
      <c r="B1000" s="41"/>
      <c r="C1000" s="41"/>
    </row>
  </sheetData>
  <drawing r:id="rId1"/>
</worksheet>
</file>