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GABRIEL_ALEJANDRO_DIAZ_" sheetId="1" r:id="rId5"/>
    <sheet state="visible" name="Docente_JURGEN_ANDONI_RAMIREZ_R" sheetId="2" r:id="rId6"/>
    <sheet state="visible" name="CONSOLIDADO" sheetId="3" r:id="rId7"/>
  </sheets>
  <definedNames/>
  <calcPr/>
</workbook>
</file>

<file path=xl/sharedStrings.xml><?xml version="1.0" encoding="utf-8"?>
<sst xmlns="http://schemas.openxmlformats.org/spreadsheetml/2006/main" count="102" uniqueCount="36">
  <si>
    <t>Criterios y Expectativas para el Primer Semestre 2026</t>
  </si>
  <si>
    <t>Nombre del Curso</t>
  </si>
  <si>
    <t>Arquitectura de Computadoras y Ensambladores 2</t>
  </si>
  <si>
    <t>Codigo del Curso</t>
  </si>
  <si>
    <t>Docente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</si>
  <si>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</si>
  <si>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</si>
  <si>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</si>
  <si>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 xml:space="preserve">¿Qué tecnologías, lenguajes de programación, plataformas, hardware o software considera indispensable incluir en el laboratorio? </t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</si>
  <si>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</si>
  <si>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</si>
  <si>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</si>
  <si>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</si>
  <si>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</si>
  <si>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Activididas</t>
  </si>
  <si>
    <t>Aspectos clave que debe abordar</t>
  </si>
  <si>
    <t>Actividades durante el peridodo de laboratorio</t>
  </si>
  <si>
    <t>Proyectos</t>
  </si>
  <si>
    <t>Prácticas</t>
  </si>
  <si>
    <t>Tareas</t>
  </si>
  <si>
    <t>Total de Punteo Asignado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</si>
  <si>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</si>
  <si>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</si>
  <si>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</si>
  <si>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</si>
  <si>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</si>
  <si>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Escribe libremente la competencia o puedes usar la estructura de la parte inferior para guiarte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</si>
  <si>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</si>
  <si>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</si>
  <si>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</si>
  <si>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</si>
  <si>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</si>
  <si>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>Ejemplos. https://drive.google.com/drive/folders/1szLcpzkwozPD6nD4uuaiZQ3mmDRuVKVy?usp=sharing</t>
  </si>
  <si>
    <t>Consolidado</t>
  </si>
  <si>
    <t xml:space="preserve">Basado en semestres anteriores incluir dos actividades en calse, y un examen final </t>
  </si>
  <si>
    <t>Incluir dos tareas una relacionada al primer proyecto, y la siguiente relacioanda al segundo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</si>
</sst>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8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b/>
      <sz val="12.0"/>
      <color theme="4"/>
      <name val="Arial"/>
      <scheme val="minor"/>
    </font>
    <font>
      <color rgb="FF666666"/>
      <name val="Arial"/>
      <scheme val="minor"/>
    </font>
    <font>
      <b/>
      <color theme="4"/>
      <name val="Arial"/>
      <scheme val="minor"/>
    </font>
    <font>
      <color theme="1"/>
      <name val="Arial"/>
      <scheme val="minor"/>
    </font>
    <font/>
    <font>
      <sz val="12.0"/>
      <color rgb="FF000000"/>
      <name val="Arial"/>
    </font>
    <font>
      <b/>
      <sz val="11.0"/>
      <color rgb="FFCCCCCC"/>
      <name val="Arial"/>
    </font>
    <font>
      <sz val="11.0"/>
      <color theme="1"/>
      <name val="Arial"/>
    </font>
    <font>
      <b/>
      <sz val="11.0"/>
      <color theme="1"/>
      <name val="Arial"/>
    </font>
    <font>
      <color rgb="FFB7B7B7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2">
    <border/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1" fillId="2" fontId="7" numFmtId="0" xfId="0" applyAlignment="1" applyBorder="1" applyFill="1" applyFont="1">
      <alignment readingOrder="0" shrinkToFit="0" wrapText="1"/>
    </xf>
    <xf borderId="2" fillId="0" fontId="8" numFmtId="0" xfId="0" applyBorder="1" applyFont="1"/>
    <xf borderId="3" fillId="0" fontId="8" numFmtId="0" xfId="0" applyBorder="1" applyFont="1"/>
    <xf borderId="4" fillId="0" fontId="7" numFmtId="0" xfId="0" applyAlignment="1" applyBorder="1" applyFont="1">
      <alignment readingOrder="0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8" fillId="0" fontId="8" numFmtId="0" xfId="0" applyBorder="1" applyFont="1"/>
    <xf borderId="9" fillId="0" fontId="8" numFmtId="0" xfId="0" applyBorder="1" applyFont="1"/>
    <xf borderId="0" fillId="0" fontId="7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0" fillId="3" fontId="2" numFmtId="0" xfId="0" applyAlignment="1" applyBorder="1" applyFill="1" applyFont="1">
      <alignment readingOrder="0" shrinkToFit="0" wrapText="1"/>
    </xf>
    <xf borderId="1" fillId="3" fontId="2" numFmtId="0" xfId="0" applyAlignment="1" applyBorder="1" applyFont="1">
      <alignment readingOrder="0" shrinkToFit="0" wrapText="1"/>
    </xf>
    <xf borderId="10" fillId="0" fontId="9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/>
    </xf>
    <xf borderId="1" fillId="0" fontId="7" numFmtId="0" xfId="0" applyAlignment="1" applyBorder="1" applyFont="1">
      <alignment readingOrder="0" shrinkToFit="0" wrapText="1"/>
    </xf>
    <xf borderId="10" fillId="0" fontId="9" numFmtId="0" xfId="0" applyAlignment="1" applyBorder="1" applyFont="1">
      <alignment readingOrder="0"/>
    </xf>
    <xf borderId="1" fillId="0" fontId="7" numFmtId="0" xfId="0" applyAlignment="1" applyBorder="1" applyFont="1">
      <alignment shrinkToFit="0" wrapText="1"/>
    </xf>
    <xf borderId="11" fillId="0" fontId="9" numFmtId="0" xfId="0" applyAlignment="1" applyBorder="1" applyFont="1">
      <alignment readingOrder="0"/>
    </xf>
    <xf borderId="11" fillId="0" fontId="7" numFmtId="0" xfId="0" applyAlignment="1" applyBorder="1" applyFont="1">
      <alignment readingOrder="0"/>
    </xf>
    <xf borderId="12" fillId="4" fontId="2" numFmtId="0" xfId="0" applyAlignment="1" applyBorder="1" applyFill="1" applyFont="1">
      <alignment readingOrder="0" shrinkToFit="0" wrapText="1"/>
    </xf>
    <xf borderId="12" fillId="4" fontId="7" numFmtId="0" xfId="0" applyBorder="1" applyFont="1"/>
    <xf borderId="4" fillId="0" fontId="7" numFmtId="0" xfId="0" applyBorder="1" applyFont="1"/>
    <xf borderId="4" fillId="2" fontId="7" numFmtId="0" xfId="0" applyAlignment="1" applyBorder="1" applyFont="1">
      <alignment readingOrder="0" shrinkToFit="0" wrapText="1"/>
    </xf>
    <xf borderId="13" fillId="0" fontId="10" numFmtId="0" xfId="0" applyAlignment="1" applyBorder="1" applyFont="1">
      <alignment horizontal="center" readingOrder="0" vertical="bottom"/>
    </xf>
    <xf borderId="14" fillId="0" fontId="8" numFmtId="0" xfId="0" applyBorder="1" applyFont="1"/>
    <xf borderId="15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19" fillId="2" fontId="11" numFmtId="0" xfId="0" applyAlignment="1" applyBorder="1" applyFont="1">
      <alignment horizontal="left" vertical="bottom"/>
    </xf>
    <xf borderId="20" fillId="0" fontId="8" numFmtId="0" xfId="0" applyBorder="1" applyFont="1"/>
    <xf borderId="21" fillId="0" fontId="8" numFmtId="0" xfId="0" applyBorder="1" applyFont="1"/>
    <xf borderId="12" fillId="5" fontId="12" numFmtId="0" xfId="0" applyAlignment="1" applyBorder="1" applyFill="1" applyFont="1">
      <alignment horizontal="center" vertical="bottom"/>
    </xf>
    <xf borderId="19" fillId="5" fontId="12" numFmtId="0" xfId="0" applyAlignment="1" applyBorder="1" applyFont="1">
      <alignment horizontal="center" vertical="bottom"/>
    </xf>
    <xf borderId="12" fillId="5" fontId="12" numFmtId="0" xfId="0" applyAlignment="1" applyBorder="1" applyFont="1">
      <alignment horizontal="center" readingOrder="0" shrinkToFit="0" vertical="bottom" wrapText="1"/>
    </xf>
    <xf borderId="19" fillId="5" fontId="12" numFmtId="0" xfId="0" applyAlignment="1" applyBorder="1" applyFont="1">
      <alignment horizontal="center" shrinkToFit="0" vertical="bottom" wrapText="1"/>
    </xf>
    <xf borderId="12" fillId="6" fontId="3" numFmtId="0" xfId="0" applyAlignment="1" applyBorder="1" applyFill="1" applyFont="1">
      <alignment readingOrder="0" shrinkToFit="0" vertical="bottom" wrapText="1"/>
    </xf>
    <xf borderId="19" fillId="7" fontId="3" numFmtId="0" xfId="0" applyAlignment="1" applyBorder="1" applyFill="1" applyFont="1">
      <alignment shrinkToFit="0" vertical="bottom" wrapText="1"/>
    </xf>
    <xf borderId="12" fillId="8" fontId="3" numFmtId="0" xfId="0" applyAlignment="1" applyBorder="1" applyFill="1" applyFont="1">
      <alignment shrinkToFit="0" vertical="bottom" wrapText="1"/>
    </xf>
    <xf borderId="19" fillId="9" fontId="3" numFmtId="0" xfId="0" applyAlignment="1" applyBorder="1" applyFill="1" applyFont="1">
      <alignment shrinkToFit="0" vertical="bottom" wrapText="1"/>
    </xf>
    <xf borderId="0" fillId="0" fontId="13" numFmtId="0" xfId="0" applyAlignment="1" applyFont="1">
      <alignment readingOrder="0"/>
    </xf>
    <xf borderId="10" fillId="0" fontId="7" numFmtId="0" xfId="0" applyBorder="1" applyFont="1"/>
    <xf borderId="1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4">
        <f>IFERROR(__xludf.DUMMYFUNCTION("INDEX(
  QUERY(
    IMPORTRANGE(
      ""https://docs.google.com/spreadsheets/d/1rNNjJXEbbFk-tp1oCnmvsGUasYrK05YsXLDjblwpnKw/edit?gid=0#gid=0"",
      ""BD!A:J""
    ),
    ""select Col2 where Col3 = '"" &amp; C3 &amp; ""' limit 1"",
    1
  ),
  2
)
"),779.0)</f>
        <v>779</v>
      </c>
    </row>
    <row r="5">
      <c r="B5" s="2" t="s">
        <v>4</v>
      </c>
      <c r="C5" s="5" t="str">
        <f>IFERROR(__xludf.DUMMYFUNCTION("INDEX(
  QUERY(
    IMPORTRANGE(
      ""https://docs.google.com/spreadsheets/d/1rNNjJXEbbFk-tp1oCnmvsGUasYrK05YsXLDjblwpnKw/edit?gid=0#gid=0"",
      ""BD!A:J""
    ),
    ""select Col5 where Col8 = 'Docente' and Col3 = '"" &amp; C3 &amp; ""'"",
    0
  ),
  1
)"&amp;"
"),"GABRIEL ALEJANDRO DIAZ LOPEZ")</f>
        <v>GABRIEL ALEJANDRO DIAZ LOPEZ</v>
      </c>
    </row>
    <row r="7">
      <c r="B7" s="6" t="s">
        <v>5</v>
      </c>
    </row>
    <row r="8">
      <c r="B8" s="7" t="s">
        <v>6</v>
      </c>
    </row>
    <row r="10">
      <c r="B10" s="8" t="s">
        <v>7</v>
      </c>
    </row>
    <row r="12">
      <c r="B12" s="9" t="s">
        <v>8</v>
      </c>
      <c r="C12" s="10"/>
      <c r="D12" s="10"/>
      <c r="E12" s="10"/>
      <c r="F12" s="10"/>
      <c r="G12" s="11"/>
    </row>
    <row r="13">
      <c r="B13" s="12"/>
      <c r="C13" s="13"/>
      <c r="D13" s="13"/>
      <c r="E13" s="13"/>
      <c r="F13" s="13"/>
      <c r="G13" s="14"/>
    </row>
    <row r="14" ht="29.25" customHeight="1">
      <c r="B14" s="15"/>
      <c r="C14" s="16"/>
      <c r="D14" s="16"/>
      <c r="E14" s="16"/>
      <c r="F14" s="16"/>
      <c r="G14" s="17"/>
    </row>
    <row r="16" ht="33.0" customHeight="1">
      <c r="B16" s="9" t="s">
        <v>9</v>
      </c>
      <c r="C16" s="10"/>
      <c r="D16" s="10"/>
      <c r="E16" s="10"/>
      <c r="F16" s="10"/>
      <c r="G16" s="11"/>
    </row>
    <row r="17">
      <c r="B17" s="12"/>
      <c r="C17" s="13"/>
      <c r="D17" s="13"/>
      <c r="E17" s="13"/>
      <c r="F17" s="13"/>
      <c r="G17" s="14"/>
    </row>
    <row r="18">
      <c r="B18" s="15"/>
      <c r="C18" s="16"/>
      <c r="D18" s="16"/>
      <c r="E18" s="16"/>
      <c r="F18" s="16"/>
      <c r="G18" s="17"/>
    </row>
    <row r="20">
      <c r="B20" s="8" t="s">
        <v>10</v>
      </c>
    </row>
    <row r="21">
      <c r="B21" s="7" t="s">
        <v>11</v>
      </c>
    </row>
    <row r="22">
      <c r="A22" s="18"/>
      <c r="B22" s="19"/>
      <c r="C22" s="19"/>
      <c r="D22" s="19"/>
      <c r="E22" s="19"/>
      <c r="F22" s="19"/>
      <c r="G22" s="19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>
      <c r="A23" s="18"/>
      <c r="B23" s="20" t="s">
        <v>12</v>
      </c>
      <c r="C23" s="20" t="s">
        <v>13</v>
      </c>
      <c r="D23" s="20" t="s">
        <v>14</v>
      </c>
      <c r="E23" s="21" t="s">
        <v>15</v>
      </c>
      <c r="F23" s="10"/>
      <c r="G23" s="11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>
      <c r="B24" s="22" t="s">
        <v>16</v>
      </c>
      <c r="C24" s="23">
        <v>10.0</v>
      </c>
      <c r="D24" s="23">
        <v>3.0</v>
      </c>
      <c r="E24" s="24"/>
      <c r="F24" s="10"/>
      <c r="G24" s="11"/>
    </row>
    <row r="25" ht="45.0" customHeight="1">
      <c r="B25" s="25" t="s">
        <v>17</v>
      </c>
      <c r="C25" s="23">
        <v>75.0</v>
      </c>
      <c r="D25" s="23">
        <v>3.0</v>
      </c>
      <c r="E25" s="24"/>
      <c r="F25" s="10"/>
      <c r="G25" s="11"/>
    </row>
    <row r="26" ht="36.75" customHeight="1">
      <c r="B26" s="25" t="s">
        <v>18</v>
      </c>
      <c r="C26" s="23">
        <v>0.0</v>
      </c>
      <c r="D26" s="23">
        <v>0.0</v>
      </c>
      <c r="E26" s="26"/>
      <c r="F26" s="10"/>
      <c r="G26" s="11"/>
    </row>
    <row r="27" ht="36.0" customHeight="1">
      <c r="B27" s="27" t="s">
        <v>19</v>
      </c>
      <c r="C27" s="28">
        <v>15.0</v>
      </c>
      <c r="D27" s="23">
        <v>4.0</v>
      </c>
      <c r="E27" s="24"/>
      <c r="F27" s="10"/>
      <c r="G27" s="11"/>
    </row>
    <row r="28">
      <c r="B28" s="29" t="s">
        <v>20</v>
      </c>
      <c r="C28" s="30">
        <f>SUM(C24:C27)</f>
        <v>100</v>
      </c>
    </row>
    <row r="29">
      <c r="B29" s="2"/>
    </row>
    <row r="30">
      <c r="B30" s="6" t="s">
        <v>21</v>
      </c>
    </row>
    <row r="31">
      <c r="B31" s="7" t="s">
        <v>22</v>
      </c>
    </row>
    <row r="33">
      <c r="B33" s="9" t="s">
        <v>23</v>
      </c>
      <c r="C33" s="10"/>
      <c r="D33" s="10"/>
      <c r="E33" s="10"/>
      <c r="F33" s="10"/>
      <c r="G33" s="11"/>
    </row>
    <row r="34">
      <c r="B34" s="31"/>
      <c r="C34" s="13"/>
      <c r="D34" s="13"/>
      <c r="E34" s="13"/>
      <c r="F34" s="13"/>
      <c r="G34" s="14"/>
    </row>
    <row r="35">
      <c r="B35" s="15"/>
      <c r="C35" s="16"/>
      <c r="D35" s="16"/>
      <c r="E35" s="16"/>
      <c r="F35" s="16"/>
      <c r="G35" s="17"/>
    </row>
    <row r="37">
      <c r="B37" s="9" t="s">
        <v>24</v>
      </c>
      <c r="C37" s="10"/>
      <c r="D37" s="10"/>
      <c r="E37" s="10"/>
      <c r="F37" s="10"/>
      <c r="G37" s="11"/>
    </row>
    <row r="38">
      <c r="B38" s="31"/>
      <c r="C38" s="13"/>
      <c r="D38" s="13"/>
      <c r="E38" s="13"/>
      <c r="F38" s="13"/>
      <c r="G38" s="14"/>
    </row>
    <row r="39">
      <c r="B39" s="15"/>
      <c r="C39" s="16"/>
      <c r="D39" s="16"/>
      <c r="E39" s="16"/>
      <c r="F39" s="16"/>
      <c r="G39" s="17"/>
    </row>
    <row r="41">
      <c r="B41" s="32" t="s">
        <v>25</v>
      </c>
      <c r="C41" s="13"/>
      <c r="D41" s="13"/>
      <c r="E41" s="13"/>
      <c r="F41" s="13"/>
      <c r="G41" s="14"/>
    </row>
    <row r="42">
      <c r="B42" s="33" t="s">
        <v>26</v>
      </c>
      <c r="C42" s="34"/>
      <c r="D42" s="34"/>
      <c r="E42" s="34"/>
      <c r="F42" s="34"/>
      <c r="G42" s="35"/>
    </row>
    <row r="43">
      <c r="B43" s="36"/>
      <c r="C43" s="37"/>
      <c r="D43" s="37"/>
      <c r="E43" s="37"/>
      <c r="F43" s="37"/>
      <c r="G43" s="38"/>
    </row>
    <row r="44">
      <c r="B44" s="39" t="str">
        <f>CONCATENATE("El Estudiante",B46,C46,E46,F46)</f>
        <v>El Estudiante....</v>
      </c>
      <c r="C44" s="40"/>
      <c r="D44" s="40"/>
      <c r="E44" s="40"/>
      <c r="F44" s="40"/>
      <c r="G44" s="41"/>
    </row>
    <row r="45">
      <c r="B45" s="42" t="s">
        <v>27</v>
      </c>
      <c r="C45" s="43" t="s">
        <v>28</v>
      </c>
      <c r="D45" s="41"/>
      <c r="E45" s="44" t="s">
        <v>29</v>
      </c>
      <c r="F45" s="45" t="s">
        <v>30</v>
      </c>
      <c r="G45" s="41"/>
    </row>
    <row r="46" ht="54.75" customHeight="1">
      <c r="A46" s="18"/>
      <c r="B46" s="46" t="s">
        <v>31</v>
      </c>
      <c r="C46" s="47"/>
      <c r="D46" s="41"/>
      <c r="E46" s="48"/>
      <c r="F46" s="49"/>
      <c r="G46" s="41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>
      <c r="B47" s="50" t="s">
        <v>32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4">
        <f>IFERROR(__xludf.DUMMYFUNCTION("INDEX(
  QUERY(
    IMPORTRANGE(
      ""https://docs.google.com/spreadsheets/d/1rNNjJXEbbFk-tp1oCnmvsGUasYrK05YsXLDjblwpnKw/edit?gid=0#gid=0"",
      ""BD!A:J""
    ),
    ""select Col2 where Col3 = '"" &amp; C3 &amp; ""' limit 1"",
    1
  ),
  2
)
"),779.0)</f>
        <v>779</v>
      </c>
    </row>
    <row r="5">
      <c r="B5" s="2" t="s">
        <v>4</v>
      </c>
      <c r="C5" s="5" t="str">
        <f>IFERROR(__xludf.DUMMYFUNCTION("INDEX(
  QUERY(
    IMPORTRANGE(
      ""https://docs.google.com/spreadsheets/d/1rNNjJXEbbFk-tp1oCnmvsGUasYrK05YsXLDjblwpnKw/edit?gid=0#gid=0"",
      ""BD!A:J""
    ),
    ""select Col5 where Col8 = 'Docente' and Col3 = '"" &amp; C3 &amp; ""'"",
    0
  ),
  2
)"&amp;"
"),"JURGEN ANDONI RAMIREZ RAMÍREZ        ")</f>
        <v>JURGEN ANDONI RAMIREZ RAMÍREZ        </v>
      </c>
    </row>
    <row r="7">
      <c r="B7" s="6" t="s">
        <v>5</v>
      </c>
    </row>
    <row r="8">
      <c r="B8" s="7" t="s">
        <v>6</v>
      </c>
    </row>
    <row r="10">
      <c r="B10" s="8" t="s">
        <v>7</v>
      </c>
    </row>
    <row r="12">
      <c r="B12" s="9" t="s">
        <v>8</v>
      </c>
      <c r="C12" s="10"/>
      <c r="D12" s="10"/>
      <c r="E12" s="10"/>
      <c r="F12" s="10"/>
      <c r="G12" s="11"/>
    </row>
    <row r="13">
      <c r="B13" s="12"/>
      <c r="C13" s="13"/>
      <c r="D13" s="13"/>
      <c r="E13" s="13"/>
      <c r="F13" s="13"/>
      <c r="G13" s="14"/>
    </row>
    <row r="14" ht="29.25" customHeight="1">
      <c r="B14" s="15"/>
      <c r="C14" s="16"/>
      <c r="D14" s="16"/>
      <c r="E14" s="16"/>
      <c r="F14" s="16"/>
      <c r="G14" s="17"/>
    </row>
    <row r="16" ht="33.0" customHeight="1">
      <c r="B16" s="9" t="s">
        <v>9</v>
      </c>
      <c r="C16" s="10"/>
      <c r="D16" s="10"/>
      <c r="E16" s="10"/>
      <c r="F16" s="10"/>
      <c r="G16" s="11"/>
    </row>
    <row r="17">
      <c r="B17" s="31"/>
      <c r="C17" s="13"/>
      <c r="D17" s="13"/>
      <c r="E17" s="13"/>
      <c r="F17" s="13"/>
      <c r="G17" s="14"/>
    </row>
    <row r="18">
      <c r="B18" s="15"/>
      <c r="C18" s="16"/>
      <c r="D18" s="16"/>
      <c r="E18" s="16"/>
      <c r="F18" s="16"/>
      <c r="G18" s="17"/>
    </row>
    <row r="20">
      <c r="B20" s="8" t="s">
        <v>10</v>
      </c>
    </row>
    <row r="21">
      <c r="B21" s="7" t="s">
        <v>11</v>
      </c>
    </row>
    <row r="22">
      <c r="A22" s="18"/>
      <c r="B22" s="19"/>
      <c r="C22" s="19"/>
      <c r="D22" s="19"/>
      <c r="E22" s="19"/>
      <c r="F22" s="19"/>
      <c r="G22" s="19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>
      <c r="A23" s="18"/>
      <c r="B23" s="20" t="s">
        <v>12</v>
      </c>
      <c r="C23" s="20" t="s">
        <v>13</v>
      </c>
      <c r="D23" s="20" t="s">
        <v>14</v>
      </c>
      <c r="E23" s="21" t="s">
        <v>15</v>
      </c>
      <c r="F23" s="10"/>
      <c r="G23" s="11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>
      <c r="B24" s="22" t="s">
        <v>16</v>
      </c>
      <c r="C24" s="51"/>
      <c r="D24" s="51"/>
      <c r="E24" s="24"/>
      <c r="F24" s="10"/>
      <c r="G24" s="11"/>
    </row>
    <row r="25" ht="45.0" customHeight="1">
      <c r="B25" s="25" t="s">
        <v>17</v>
      </c>
      <c r="C25" s="51"/>
      <c r="D25" s="51"/>
      <c r="E25" s="26"/>
      <c r="F25" s="10"/>
      <c r="G25" s="11"/>
    </row>
    <row r="26" ht="36.75" customHeight="1">
      <c r="B26" s="25" t="s">
        <v>18</v>
      </c>
      <c r="C26" s="51"/>
      <c r="D26" s="51"/>
      <c r="E26" s="26"/>
      <c r="F26" s="10"/>
      <c r="G26" s="11"/>
    </row>
    <row r="27" ht="36.0" customHeight="1">
      <c r="B27" s="27" t="s">
        <v>19</v>
      </c>
      <c r="C27" s="52"/>
      <c r="D27" s="51"/>
      <c r="E27" s="26"/>
      <c r="F27" s="10"/>
      <c r="G27" s="11"/>
    </row>
    <row r="28">
      <c r="B28" s="29" t="s">
        <v>20</v>
      </c>
      <c r="C28" s="30">
        <f>SUM(C24:C27)</f>
        <v>0</v>
      </c>
    </row>
    <row r="29">
      <c r="B29" s="2"/>
    </row>
    <row r="30">
      <c r="B30" s="6" t="s">
        <v>21</v>
      </c>
    </row>
    <row r="31">
      <c r="B31" s="7" t="s">
        <v>22</v>
      </c>
    </row>
    <row r="33">
      <c r="B33" s="9" t="s">
        <v>23</v>
      </c>
      <c r="C33" s="10"/>
      <c r="D33" s="10"/>
      <c r="E33" s="10"/>
      <c r="F33" s="10"/>
      <c r="G33" s="11"/>
    </row>
    <row r="34">
      <c r="B34" s="31"/>
      <c r="C34" s="13"/>
      <c r="D34" s="13"/>
      <c r="E34" s="13"/>
      <c r="F34" s="13"/>
      <c r="G34" s="14"/>
    </row>
    <row r="35">
      <c r="B35" s="15"/>
      <c r="C35" s="16"/>
      <c r="D35" s="16"/>
      <c r="E35" s="16"/>
      <c r="F35" s="16"/>
      <c r="G35" s="17"/>
    </row>
    <row r="37">
      <c r="B37" s="9" t="s">
        <v>24</v>
      </c>
      <c r="C37" s="10"/>
      <c r="D37" s="10"/>
      <c r="E37" s="10"/>
      <c r="F37" s="10"/>
      <c r="G37" s="11"/>
    </row>
    <row r="38">
      <c r="B38" s="31"/>
      <c r="C38" s="13"/>
      <c r="D38" s="13"/>
      <c r="E38" s="13"/>
      <c r="F38" s="13"/>
      <c r="G38" s="14"/>
    </row>
    <row r="39">
      <c r="B39" s="15"/>
      <c r="C39" s="16"/>
      <c r="D39" s="16"/>
      <c r="E39" s="16"/>
      <c r="F39" s="16"/>
      <c r="G39" s="17"/>
    </row>
    <row r="41">
      <c r="B41" s="32" t="s">
        <v>25</v>
      </c>
      <c r="C41" s="13"/>
      <c r="D41" s="13"/>
      <c r="E41" s="13"/>
      <c r="F41" s="13"/>
      <c r="G41" s="14"/>
    </row>
    <row r="42">
      <c r="B42" s="33" t="s">
        <v>26</v>
      </c>
      <c r="C42" s="34"/>
      <c r="D42" s="34"/>
      <c r="E42" s="34"/>
      <c r="F42" s="34"/>
      <c r="G42" s="35"/>
    </row>
    <row r="43">
      <c r="B43" s="36"/>
      <c r="C43" s="37"/>
      <c r="D43" s="37"/>
      <c r="E43" s="37"/>
      <c r="F43" s="37"/>
      <c r="G43" s="38"/>
    </row>
    <row r="44">
      <c r="B44" s="39" t="str">
        <f>CONCATENATE("El Estudiante",B46,C46,E46,F46)</f>
        <v>El Estudiante....</v>
      </c>
      <c r="C44" s="40"/>
      <c r="D44" s="40"/>
      <c r="E44" s="40"/>
      <c r="F44" s="40"/>
      <c r="G44" s="41"/>
    </row>
    <row r="45">
      <c r="B45" s="42" t="s">
        <v>27</v>
      </c>
      <c r="C45" s="43" t="s">
        <v>28</v>
      </c>
      <c r="D45" s="41"/>
      <c r="E45" s="44" t="s">
        <v>29</v>
      </c>
      <c r="F45" s="45" t="s">
        <v>30</v>
      </c>
      <c r="G45" s="41"/>
    </row>
    <row r="46" ht="54.75" customHeight="1">
      <c r="A46" s="18"/>
      <c r="B46" s="46" t="s">
        <v>31</v>
      </c>
      <c r="C46" s="47"/>
      <c r="D46" s="41"/>
      <c r="E46" s="48"/>
      <c r="F46" s="49"/>
      <c r="G46" s="41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>
      <c r="B47" s="50" t="s">
        <v>32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4">
        <f>IFERROR(__xludf.DUMMYFUNCTION("INDEX(
  QUERY(
    IMPORTRANGE(
      ""https://docs.google.com/spreadsheets/d/1rNNjJXEbbFk-tp1oCnmvsGUasYrK05YsXLDjblwpnKw/edit?gid=0#gid=0"",
      ""BD!A:J""
    ),
    ""select Col2 where Col3 = '"" &amp; C3 &amp; ""' limit 1"",
    1
  ),
  2
)
"),779.0)</f>
        <v>779</v>
      </c>
    </row>
    <row r="5">
      <c r="B5" s="2" t="s">
        <v>4</v>
      </c>
      <c r="C5" s="3" t="s">
        <v>33</v>
      </c>
    </row>
    <row r="7">
      <c r="B7" s="6" t="s">
        <v>5</v>
      </c>
    </row>
    <row r="8">
      <c r="B8" s="7" t="s">
        <v>6</v>
      </c>
    </row>
    <row r="10">
      <c r="B10" s="8" t="s">
        <v>7</v>
      </c>
    </row>
    <row r="12">
      <c r="B12" s="9" t="s">
        <v>8</v>
      </c>
      <c r="C12" s="10"/>
      <c r="D12" s="10"/>
      <c r="E12" s="10"/>
      <c r="F12" s="10"/>
      <c r="G12" s="11"/>
    </row>
    <row r="13">
      <c r="B13" s="12"/>
      <c r="C13" s="13"/>
      <c r="D13" s="13"/>
      <c r="E13" s="13"/>
      <c r="F13" s="13"/>
      <c r="G13" s="14"/>
    </row>
    <row r="14" ht="29.25" customHeight="1">
      <c r="B14" s="15"/>
      <c r="C14" s="16"/>
      <c r="D14" s="16"/>
      <c r="E14" s="16"/>
      <c r="F14" s="16"/>
      <c r="G14" s="17"/>
    </row>
    <row r="16" ht="33.0" customHeight="1">
      <c r="B16" s="9" t="s">
        <v>9</v>
      </c>
      <c r="C16" s="10"/>
      <c r="D16" s="10"/>
      <c r="E16" s="10"/>
      <c r="F16" s="10"/>
      <c r="G16" s="11"/>
    </row>
    <row r="17">
      <c r="B17" s="31"/>
      <c r="C17" s="13"/>
      <c r="D17" s="13"/>
      <c r="E17" s="13"/>
      <c r="F17" s="13"/>
      <c r="G17" s="14"/>
    </row>
    <row r="18">
      <c r="B18" s="15"/>
      <c r="C18" s="16"/>
      <c r="D18" s="16"/>
      <c r="E18" s="16"/>
      <c r="F18" s="16"/>
      <c r="G18" s="17"/>
    </row>
    <row r="20">
      <c r="B20" s="8" t="s">
        <v>10</v>
      </c>
    </row>
    <row r="21">
      <c r="B21" s="7" t="s">
        <v>11</v>
      </c>
    </row>
    <row r="22">
      <c r="A22" s="18"/>
      <c r="B22" s="19"/>
      <c r="C22" s="19"/>
      <c r="D22" s="19"/>
      <c r="E22" s="19"/>
      <c r="F22" s="19"/>
      <c r="G22" s="19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>
      <c r="A23" s="18"/>
      <c r="B23" s="20" t="s">
        <v>12</v>
      </c>
      <c r="C23" s="20" t="s">
        <v>13</v>
      </c>
      <c r="D23" s="20" t="s">
        <v>14</v>
      </c>
      <c r="E23" s="21" t="s">
        <v>15</v>
      </c>
      <c r="F23" s="10"/>
      <c r="G23" s="11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>
      <c r="B24" s="22" t="s">
        <v>16</v>
      </c>
      <c r="C24" s="23">
        <v>16.0</v>
      </c>
      <c r="D24" s="23">
        <v>3.0</v>
      </c>
      <c r="E24" s="24" t="s">
        <v>34</v>
      </c>
      <c r="F24" s="10"/>
      <c r="G24" s="11"/>
    </row>
    <row r="25" ht="45.0" customHeight="1">
      <c r="B25" s="25" t="s">
        <v>17</v>
      </c>
      <c r="C25" s="23">
        <v>70.0</v>
      </c>
      <c r="D25" s="23">
        <v>2.0</v>
      </c>
      <c r="E25" s="26"/>
      <c r="F25" s="10"/>
      <c r="G25" s="11"/>
    </row>
    <row r="26" ht="36.75" customHeight="1">
      <c r="B26" s="25" t="s">
        <v>18</v>
      </c>
      <c r="C26" s="23">
        <v>10.0</v>
      </c>
      <c r="D26" s="23">
        <v>1.0</v>
      </c>
      <c r="E26" s="24"/>
      <c r="F26" s="10"/>
      <c r="G26" s="11"/>
    </row>
    <row r="27" ht="48.75" customHeight="1">
      <c r="B27" s="27" t="s">
        <v>19</v>
      </c>
      <c r="C27" s="23">
        <v>4.0</v>
      </c>
      <c r="D27" s="23">
        <v>2.0</v>
      </c>
      <c r="E27" s="24" t="s">
        <v>35</v>
      </c>
      <c r="F27" s="10"/>
      <c r="G27" s="11"/>
    </row>
    <row r="28">
      <c r="B28" s="29" t="s">
        <v>20</v>
      </c>
      <c r="C28" s="30">
        <f>SUM(C24:C27)</f>
        <v>100</v>
      </c>
    </row>
    <row r="29">
      <c r="B29" s="2"/>
    </row>
    <row r="30">
      <c r="B30" s="6" t="s">
        <v>21</v>
      </c>
    </row>
    <row r="31">
      <c r="B31" s="7" t="s">
        <v>22</v>
      </c>
    </row>
    <row r="33">
      <c r="B33" s="9" t="s">
        <v>23</v>
      </c>
      <c r="C33" s="10"/>
      <c r="D33" s="10"/>
      <c r="E33" s="10"/>
      <c r="F33" s="10"/>
      <c r="G33" s="11"/>
    </row>
    <row r="34">
      <c r="B34" s="31"/>
      <c r="C34" s="13"/>
      <c r="D34" s="13"/>
      <c r="E34" s="13"/>
      <c r="F34" s="13"/>
      <c r="G34" s="14"/>
    </row>
    <row r="35">
      <c r="B35" s="15"/>
      <c r="C35" s="16"/>
      <c r="D35" s="16"/>
      <c r="E35" s="16"/>
      <c r="F35" s="16"/>
      <c r="G35" s="17"/>
    </row>
    <row r="37">
      <c r="B37" s="9" t="s">
        <v>24</v>
      </c>
      <c r="C37" s="10"/>
      <c r="D37" s="10"/>
      <c r="E37" s="10"/>
      <c r="F37" s="10"/>
      <c r="G37" s="11"/>
    </row>
    <row r="38">
      <c r="B38" s="31"/>
      <c r="C38" s="13"/>
      <c r="D38" s="13"/>
      <c r="E38" s="13"/>
      <c r="F38" s="13"/>
      <c r="G38" s="14"/>
    </row>
    <row r="39">
      <c r="B39" s="15"/>
      <c r="C39" s="16"/>
      <c r="D39" s="16"/>
      <c r="E39" s="16"/>
      <c r="F39" s="16"/>
      <c r="G39" s="17"/>
    </row>
    <row r="41">
      <c r="B41" s="32" t="s">
        <v>25</v>
      </c>
      <c r="C41" s="13"/>
      <c r="D41" s="13"/>
      <c r="E41" s="13"/>
      <c r="F41" s="13"/>
      <c r="G41" s="14"/>
    </row>
    <row r="42">
      <c r="B42" s="33" t="s">
        <v>26</v>
      </c>
      <c r="C42" s="34"/>
      <c r="D42" s="34"/>
      <c r="E42" s="34"/>
      <c r="F42" s="34"/>
      <c r="G42" s="35"/>
    </row>
    <row r="43">
      <c r="B43" s="36"/>
      <c r="C43" s="37"/>
      <c r="D43" s="37"/>
      <c r="E43" s="37"/>
      <c r="F43" s="37"/>
      <c r="G43" s="38"/>
    </row>
    <row r="44">
      <c r="B44" s="39" t="str">
        <f>CONCATENATE("El Estudiante",B46,C46,E46,F46)</f>
        <v>El Estudiante....</v>
      </c>
      <c r="C44" s="40"/>
      <c r="D44" s="40"/>
      <c r="E44" s="40"/>
      <c r="F44" s="40"/>
      <c r="G44" s="41"/>
    </row>
    <row r="45">
      <c r="B45" s="42" t="s">
        <v>27</v>
      </c>
      <c r="C45" s="43" t="s">
        <v>28</v>
      </c>
      <c r="D45" s="41"/>
      <c r="E45" s="44" t="s">
        <v>29</v>
      </c>
      <c r="F45" s="45" t="s">
        <v>30</v>
      </c>
      <c r="G45" s="41"/>
    </row>
    <row r="46" ht="54.75" customHeight="1">
      <c r="A46" s="18"/>
      <c r="B46" s="46" t="s">
        <v>31</v>
      </c>
      <c r="C46" s="47"/>
      <c r="D46" s="41"/>
      <c r="E46" s="48"/>
      <c r="F46" s="49"/>
      <c r="G46" s="41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>
      <c r="B47" s="50" t="s">
        <v>32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